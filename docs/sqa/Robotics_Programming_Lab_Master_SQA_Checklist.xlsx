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7.xml" ContentType="application/vnd.openxmlformats-officedocument.spreadsheetml.table+xml"/>
  <Override PartName="/xl/worksheets/sheet26.xml" ContentType="application/vnd.openxmlformats-officedocument.spreadsheetml.worksheet+xml"/>
  <Override PartName="/xl/tables/table8.xml" ContentType="application/vnd.openxmlformats-officedocument.spreadsheetml.table+xml"/>
  <Override PartName="/xl/worksheets/sheet27.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915" yWindow="3480" windowWidth="38700" windowHeight="15885" tabRatio="600" firstSheet="0" activeTab="0" autoFilterDateGrouping="1"/>
  </bookViews>
  <sheets>
    <sheet xmlns:r="http://schemas.openxmlformats.org/officeDocument/2006/relationships" name="V4 SQA Report" sheetId="1" state="visible" r:id="rId1"/>
    <sheet xmlns:r="http://schemas.openxmlformats.org/officeDocument/2006/relationships" name="Release Dashboard" sheetId="2" state="visible" r:id="rId2"/>
    <sheet xmlns:r="http://schemas.openxmlformats.org/officeDocument/2006/relationships" name="Master Checklist" sheetId="3" state="visible" r:id="rId3"/>
    <sheet xmlns:r="http://schemas.openxmlformats.org/officeDocument/2006/relationships" name="Assignment Matrix" sheetId="4" state="visible" r:id="rId4"/>
    <sheet xmlns:r="http://schemas.openxmlformats.org/officeDocument/2006/relationships" name="Defect Log" sheetId="5" state="visible" r:id="rId5"/>
    <sheet xmlns:r="http://schemas.openxmlformats.org/officeDocument/2006/relationships" name="Release Sign-off" sheetId="6" state="visible" r:id="rId6"/>
    <sheet xmlns:r="http://schemas.openxmlformats.org/officeDocument/2006/relationships" name="Runbook" sheetId="7" state="visible" r:id="rId7"/>
    <sheet xmlns:r="http://schemas.openxmlformats.org/officeDocument/2006/relationships" name="Lists" sheetId="8" state="visible" r:id="rId8"/>
    <sheet xmlns:r="http://schemas.openxmlformats.org/officeDocument/2006/relationships" name="V5.2 Neon &amp; Accounts" sheetId="9" state="visible" r:id="rId9"/>
    <sheet xmlns:r="http://schemas.openxmlformats.org/officeDocument/2006/relationships" name="Neon Architecture" sheetId="10" state="visible" r:id="rId10"/>
    <sheet xmlns:r="http://schemas.openxmlformats.org/officeDocument/2006/relationships" name="Grading Integrity QA" sheetId="11" state="visible" r:id="rId11"/>
    <sheet xmlns:r="http://schemas.openxmlformats.org/officeDocument/2006/relationships" name="V6.2 Workbench" sheetId="12" state="visible" r:id="rId12"/>
    <sheet xmlns:r="http://schemas.openxmlformats.org/officeDocument/2006/relationships" name="Staging QA 2026-10-02" sheetId="13" state="visible" r:id="rId13"/>
    <sheet xmlns:r="http://schemas.openxmlformats.org/officeDocument/2006/relationships" name="UI Refresh QA 2026-10-02" sheetId="14" state="visible" r:id="rId14"/>
    <sheet xmlns:r="http://schemas.openxmlformats.org/officeDocument/2006/relationships" name="Failure View QA 2026-10-02" sheetId="15" state="visible" r:id="rId15"/>
    <sheet xmlns:r="http://schemas.openxmlformats.org/officeDocument/2006/relationships" name="v6.3 Playground QA 2026-10-05" sheetId="16" state="visible" r:id="rId16"/>
    <sheet xmlns:r="http://schemas.openxmlformats.org/officeDocument/2006/relationships" name="v6.4 Playground QA 2026-10-05" sheetId="17" state="visible" r:id="rId17"/>
    <sheet xmlns:r="http://schemas.openxmlformats.org/officeDocument/2006/relationships" name="v6.5 Playground QA 2026-10-05" sheetId="18" state="visible" r:id="rId18"/>
    <sheet xmlns:r="http://schemas.openxmlformats.org/officeDocument/2006/relationships" name="Draft Persistence QA 2026-10-05" sheetId="19" state="visible" r:id="rId19"/>
    <sheet xmlns:r="http://schemas.openxmlformats.org/officeDocument/2006/relationships" name="Editor Terminal QA 2026-10-14" sheetId="20" state="visible" r:id="rId20"/>
    <sheet xmlns:r="http://schemas.openxmlformats.org/officeDocument/2006/relationships" name="VS Code Terminal QA 2026-10-14" sheetId="21" state="visible" r:id="rId21"/>
    <sheet xmlns:r="http://schemas.openxmlformats.org/officeDocument/2006/relationships" name="Traceback QA 2026-10-14" sheetId="22" state="visible" r:id="rId22"/>
    <sheet xmlns:r="http://schemas.openxmlformats.org/officeDocument/2006/relationships" name="Assignment Review QA 2026-10-05" sheetId="23" state="visible" r:id="rId23"/>
    <sheet xmlns:r="http://schemas.openxmlformats.org/officeDocument/2006/relationships" name="Review Fixes QA 2026-10-05" sheetId="24" state="visible" r:id="rId24"/>
    <sheet xmlns:r="http://schemas.openxmlformats.org/officeDocument/2006/relationships" name="QA Report Index" sheetId="25" state="visible" r:id="rId25"/>
    <sheet xmlns:r="http://schemas.openxmlformats.org/officeDocument/2006/relationships" name="QA Run History" sheetId="26" state="visible" r:id="rId26"/>
    <sheet xmlns:r="http://schemas.openxmlformats.org/officeDocument/2006/relationships" name="QA Report Archive" sheetId="27" state="visible" r:id="rId27"/>
  </sheets>
  <definedNames>
    <definedName name="AutomationOptions">Lists!$C$2:$C$4</definedName>
    <definedName name="CheckOptions">Lists!$D$2:$D$3</definedName>
    <definedName name="DecisionOptions">Lists!$H$2:$H$5</definedName>
    <definedName name="DefectStatusOptions">Lists!$F$2:$F$6</definedName>
    <definedName name="PriorityOptions">Lists!$B$2:$B$5</definedName>
    <definedName name="RetestOptions">Lists!$E$2:$E$6</definedName>
    <definedName name="ScopeOptions">Lists!$I$2:$I$3</definedName>
    <definedName name="SeverityOptions">Lists!$G$2:$G$5</definedName>
    <definedName name="StatusOptions">Lists!$A$2:$A$7</definedName>
    <definedName name="TestTypeOptions">Lists!$J$2:$J$10</definedName>
  </definedNames>
  <calcPr calcId="191029" fullCalcOnLoad="1"/>
</workbook>
</file>

<file path=xl/styles.xml><?xml version="1.0" encoding="utf-8"?>
<styleSheet xmlns="http://schemas.openxmlformats.org/spreadsheetml/2006/main">
  <numFmts count="2">
    <numFmt numFmtId="164" formatCode="yyyy\-mm\-dd"/>
    <numFmt numFmtId="165" formatCode="mm/dd/yy"/>
  </numFmts>
  <fonts count="25">
    <font>
      <name val="Aptos Narrow"/>
      <color theme="1"/>
      <sz val="11"/>
    </font>
    <font>
      <name val="Aptos Narrow"/>
      <color theme="10"/>
      <sz val="11"/>
    </font>
    <font>
      <name val="Aptos"/>
      <b val="1"/>
      <color rgb="FFFFFFFF"/>
      <sz val="10"/>
    </font>
    <font>
      <name val="Aptos"/>
      <color rgb="FF203B5A"/>
      <sz val="10"/>
    </font>
    <font>
      <name val="Aptos"/>
      <color theme="1"/>
      <sz val="10"/>
    </font>
    <font>
      <name val="Aptos"/>
      <b val="1"/>
      <color theme="1"/>
      <sz val="10"/>
    </font>
    <font>
      <name val="Aptos"/>
      <b val="1"/>
      <color rgb="FF203B5A"/>
      <sz val="10"/>
    </font>
    <font>
      <name val="Aptos"/>
      <color theme="10"/>
      <sz val="10"/>
    </font>
    <font>
      <name val="Aptos Narrow"/>
      <b val="1"/>
      <color theme="1"/>
      <sz val="11"/>
    </font>
    <font>
      <name val="Aptos Narrow"/>
      <b val="1"/>
      <color rgb="FFFFFFFF"/>
      <sz val="16"/>
    </font>
    <font>
      <name val="Aptos Narrow"/>
      <i val="1"/>
      <color rgb="FF153E45"/>
      <sz val="11"/>
    </font>
    <font>
      <name val="Aptos Narrow"/>
      <b val="1"/>
      <color rgb="FFFFFFFF"/>
      <sz val="11"/>
    </font>
    <font>
      <name val="Aptos Narrow"/>
      <b val="1"/>
      <color rgb="FF137A45"/>
      <sz val="11"/>
    </font>
    <font>
      <name val="Aptos Narrow"/>
      <b val="1"/>
      <color rgb="FF9A6700"/>
      <sz val="11"/>
    </font>
    <font>
      <name val="Aptos Narrow"/>
      <b val="1"/>
      <color rgb="FF064E3B"/>
      <sz val="11"/>
    </font>
    <font>
      <name val="Aptos Narrow"/>
      <b val="1"/>
      <color rgb="FF166534"/>
      <sz val="11"/>
    </font>
    <font>
      <name val="Arial"/>
      <color rgb="FF1F2937"/>
      <sz val="10"/>
    </font>
    <font>
      <name val="Arial"/>
      <b val="1"/>
      <color rgb="FFFFFFFF"/>
      <sz val="14"/>
    </font>
    <font>
      <name val="Arial"/>
      <b val="1"/>
      <color rgb="FFFFFFFF"/>
      <sz val="10"/>
    </font>
    <font>
      <name val="Arial"/>
      <b val="1"/>
      <color rgb="FF2F5D31"/>
      <sz val="10"/>
    </font>
    <font>
      <name val="Arial"/>
      <b val="1"/>
      <color rgb="FF1F2937"/>
      <sz val="10"/>
    </font>
    <font>
      <name val="Calibri"/>
      <color theme="1"/>
      <sz val="11"/>
    </font>
    <font>
      <name val="Calibri"/>
      <b val="1"/>
      <color rgb="FFFFFFFF"/>
      <sz val="11"/>
    </font>
    <font>
      <name val="Calibri"/>
      <b val="1"/>
      <color theme="1"/>
      <sz val="11"/>
    </font>
    <font>
      <name val="Arial"/>
      <color theme="1"/>
      <sz val="10"/>
    </font>
  </fonts>
  <fills count="26">
    <fill>
      <patternFill/>
    </fill>
    <fill>
      <patternFill patternType="gray125"/>
    </fill>
    <fill>
      <patternFill patternType="solid">
        <fgColor rgb="FF234A6B"/>
      </patternFill>
    </fill>
    <fill>
      <patternFill patternType="solid">
        <fgColor rgb="FF265272"/>
      </patternFill>
    </fill>
    <fill>
      <patternFill patternType="solid">
        <fgColor rgb="FFF8F3E7"/>
      </patternFill>
    </fill>
    <fill>
      <patternFill patternType="solid">
        <fgColor rgb="FFE6E6E7"/>
      </patternFill>
    </fill>
    <fill>
      <patternFill patternType="solid">
        <fgColor rgb="FFF7EBDD"/>
      </patternFill>
    </fill>
    <fill>
      <patternFill patternType="solid">
        <fgColor rgb="FFF2F2F2"/>
      </patternFill>
    </fill>
    <fill>
      <patternFill patternType="solid">
        <fgColor rgb="FF1F4E78"/>
      </patternFill>
    </fill>
    <fill>
      <patternFill patternType="solid">
        <fgColor rgb="FFFFF9E8"/>
      </patternFill>
    </fill>
    <fill>
      <patternFill patternType="solid">
        <fgColor rgb="FFBDD7EE"/>
      </patternFill>
    </fill>
    <fill>
      <patternFill patternType="solid">
        <fgColor rgb="FF0F5C66"/>
      </patternFill>
    </fill>
    <fill>
      <patternFill patternType="solid">
        <fgColor rgb="FFD8EEF1"/>
      </patternFill>
    </fill>
    <fill>
      <patternFill patternType="solid">
        <fgColor rgb="FF167D8D"/>
      </patternFill>
    </fill>
    <fill>
      <patternFill patternType="solid">
        <fgColor rgb="FFF3F8F9"/>
      </patternFill>
    </fill>
    <fill>
      <patternFill patternType="solid">
        <fgColor rgb="FF0F766E"/>
      </patternFill>
    </fill>
    <fill>
      <patternFill patternType="solid">
        <fgColor rgb="FFD1FAE5"/>
      </patternFill>
    </fill>
    <fill>
      <patternFill patternType="solid">
        <fgColor rgb="FF1F4E78"/>
      </patternFill>
    </fill>
    <fill>
      <patternFill patternType="solid">
        <fgColor rgb="FFFFF8E7"/>
      </patternFill>
    </fill>
    <fill>
      <patternFill patternType="solid">
        <fgColor rgb="FF0F6B78"/>
      </patternFill>
    </fill>
    <fill>
      <patternFill patternType="solid">
        <fgColor rgb="FFE2F0D9"/>
      </patternFill>
    </fill>
    <fill>
      <patternFill patternType="solid">
        <fgColor rgb="FF0F4C5C"/>
      </patternFill>
    </fill>
    <fill>
      <patternFill patternType="solid">
        <fgColor rgb="FFCDEBF0"/>
      </patternFill>
    </fill>
    <fill>
      <patternFill patternType="solid">
        <fgColor rgb="FFF0F8F7"/>
      </patternFill>
    </fill>
    <fill>
      <patternFill patternType="solid">
        <fgColor rgb="FFFFFFFF"/>
      </patternFill>
    </fill>
    <fill>
      <patternFill patternType="solid">
        <fgColor rgb="FF224968"/>
      </patternFill>
    </fill>
  </fills>
  <borders count="37">
    <border>
      <left/>
      <right/>
      <top/>
      <bottom/>
      <diagonal/>
    </border>
    <border>
      <left style="thin">
        <color rgb="FFF3E2D9"/>
      </left>
      <right style="thin">
        <color rgb="FFF3E2D9"/>
      </right>
      <top style="thin">
        <color rgb="FFF3E2D9"/>
      </top>
      <bottom style="thin">
        <color rgb="FFF3E2D9"/>
      </bottom>
      <diagonal/>
    </border>
    <border>
      <left style="thin">
        <color rgb="FFF3E2D9"/>
      </left>
      <right/>
      <top style="thin">
        <color rgb="FFF3E2D9"/>
      </top>
      <bottom style="thin">
        <color rgb="FFF3E2D9"/>
      </bottom>
      <diagonal/>
    </border>
    <border>
      <left/>
      <right style="thin">
        <color rgb="FFF3E2D9"/>
      </right>
      <top style="thin">
        <color rgb="FFF3E2D9"/>
      </top>
      <bottom style="thin">
        <color rgb="FFF3E2D9"/>
      </bottom>
      <diagonal/>
    </border>
    <border>
      <left style="thin">
        <color rgb="FFF3E2D9"/>
      </left>
      <right style="thin">
        <color rgb="FFF3E2D9"/>
      </right>
      <top/>
      <bottom style="thin">
        <color rgb="FFF3E2D9"/>
      </bottom>
      <diagonal/>
    </border>
    <border>
      <left style="thin">
        <color rgb="FFF3E2D9"/>
      </left>
      <right style="thin">
        <color rgb="FFF3E2D9"/>
      </right>
      <top style="thin">
        <color rgb="FFF3E2D9"/>
      </top>
      <bottom/>
      <diagonal/>
    </border>
    <border>
      <left/>
      <right style="thin">
        <color rgb="FFF3E2D9"/>
      </right>
      <top/>
      <bottom style="thin">
        <color rgb="FFF3E2D9"/>
      </bottom>
      <diagonal/>
    </border>
    <border>
      <left/>
      <right style="thin">
        <color rgb="FFF3E2D9"/>
      </right>
      <top style="thin">
        <color rgb="FFF3E2D9"/>
      </top>
      <bottom/>
      <diagonal/>
    </border>
    <border>
      <left style="thin">
        <color rgb="FFF3E2D9"/>
      </left>
      <right/>
      <top/>
      <bottom style="thin">
        <color rgb="FFF3E2D9"/>
      </bottom>
      <diagonal/>
    </border>
    <border>
      <left style="thin">
        <color rgb="FFF3E2D9"/>
      </left>
      <right/>
      <top style="thin">
        <color rgb="FFF3E2D9"/>
      </top>
      <bottom/>
      <diagonal/>
    </border>
    <border>
      <left style="thin">
        <color rgb="FFD9D9D9"/>
      </left>
      <right style="thin">
        <color rgb="FFD9D9D9"/>
      </right>
      <top style="thin">
        <color rgb="FFD9D9D9"/>
      </top>
      <bottom style="thin">
        <color rgb="FFD9D9D9"/>
      </bottom>
      <diagonal/>
    </border>
    <border>
      <left style="thin">
        <color rgb="FFA6A6A6"/>
      </left>
      <right style="thin">
        <color rgb="FFA6A6A6"/>
      </right>
      <top style="thin">
        <color rgb="FFA6A6A6"/>
      </top>
      <bottom style="thin">
        <color rgb="FFA6A6A6"/>
      </bottom>
      <diagonal/>
    </border>
    <border>
      <left style="thin">
        <color rgb="FFB6CDD1"/>
      </left>
      <right style="thin">
        <color rgb="FFB6CDD1"/>
      </right>
      <top style="thin">
        <color rgb="FFB6CDD1"/>
      </top>
      <bottom style="thin">
        <color rgb="FFB6CDD1"/>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style="thin">
        <color rgb="FFD1D5DB"/>
      </left>
      <right/>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D1D5DB"/>
      </right>
      <top style="thin">
        <color rgb="FFD1D5DB"/>
      </top>
      <bottom/>
      <diagonal/>
    </border>
    <border>
      <left style="thin">
        <color rgb="FFD1D5DB"/>
      </left>
      <right style="thin">
        <color rgb="FFD1D5DB"/>
      </right>
      <top style="thin">
        <color rgb="FFD1D5DB"/>
      </top>
      <bottom/>
      <diagonal/>
    </border>
    <border>
      <left style="thin">
        <color rgb="FFD1D5DB"/>
      </left>
      <right/>
      <top style="thin">
        <color rgb="FFD1D5DB"/>
      </top>
      <bottom/>
      <diagonal/>
    </border>
    <border>
      <left/>
      <right/>
      <top/>
      <bottom style="thin">
        <color rgb="FFB8C6D1"/>
      </bottom>
      <diagonal/>
    </border>
    <border>
      <left/>
      <right/>
      <top style="thin">
        <color rgb="FFB8C6D1"/>
      </top>
      <bottom style="thin">
        <color rgb="FFB8C6D1"/>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F3E2D9"/>
      </top>
      <bottom/>
      <diagonal/>
    </border>
    <border>
      <left/>
      <right/>
      <top/>
      <bottom style="thin">
        <color rgb="FFF3E2D9"/>
      </bottom>
      <diagonal/>
    </border>
    <border>
      <left/>
      <right/>
      <top style="thin">
        <color rgb="FFF3E2D9"/>
      </top>
      <bottom style="thin">
        <color rgb="FFF3E2D9"/>
      </bottom>
      <diagonal/>
    </border>
    <border>
      <left/>
      <right/>
      <top style="thin">
        <color rgb="FFA6A6A6"/>
      </top>
      <bottom/>
      <diagonal/>
    </border>
    <border>
      <left/>
      <right style="thin">
        <color rgb="FFA6A6A6"/>
      </right>
      <top style="thin">
        <color rgb="FFA6A6A6"/>
      </top>
      <bottom/>
      <diagonal/>
    </border>
    <border>
      <left/>
      <right/>
      <top style="thin">
        <color rgb="FFD9D9D9"/>
      </top>
      <bottom/>
      <diagonal/>
    </border>
    <border>
      <left/>
      <right style="thin">
        <color rgb="FFD9D9D9"/>
      </right>
      <top style="thin">
        <color rgb="FFD9D9D9"/>
      </top>
      <bottom/>
      <diagonal/>
    </border>
    <border>
      <left style="thin">
        <color rgb="FFF3E2D9"/>
      </left>
      <right/>
      <top/>
      <bottom/>
      <diagonal/>
    </border>
    <border>
      <left/>
      <right style="thin">
        <color rgb="FFF3E2D9"/>
      </right>
      <top/>
      <bottom/>
      <diagonal/>
    </border>
  </borders>
  <cellStyleXfs count="2">
    <xf numFmtId="0" fontId="0" fillId="0" borderId="0"/>
    <xf numFmtId="0" fontId="1" fillId="0" borderId="0"/>
  </cellStyleXfs>
  <cellXfs count="103">
    <xf numFmtId="0" fontId="0" fillId="0" borderId="0" pivotButton="0" quotePrefix="0" xfId="0"/>
    <xf numFmtId="0" fontId="5" fillId="5" borderId="1" applyAlignment="1" pivotButton="0" quotePrefix="0" xfId="0">
      <alignment vertical="center" wrapText="1"/>
    </xf>
    <xf numFmtId="0" fontId="4" fillId="0" borderId="1" applyAlignment="1" pivotButton="0" quotePrefix="0" xfId="0">
      <alignment vertical="center" wrapText="1"/>
    </xf>
    <xf numFmtId="0" fontId="5" fillId="7" borderId="1" applyAlignment="1" pivotButton="0" quotePrefix="0" xfId="0">
      <alignment vertical="center" wrapText="1"/>
    </xf>
    <xf numFmtId="9" fontId="4" fillId="0" borderId="1" applyAlignment="1" pivotButton="0" quotePrefix="0" xfId="0">
      <alignment vertical="center" wrapText="1"/>
    </xf>
    <xf numFmtId="0" fontId="5" fillId="0" borderId="1" applyAlignment="1" pivotButton="0" quotePrefix="0" xfId="0">
      <alignment vertical="center" wrapText="1"/>
    </xf>
    <xf numFmtId="0" fontId="2" fillId="2" borderId="1" applyAlignment="1" pivotButton="0" quotePrefix="0" xfId="0">
      <alignment horizontal="center" vertical="center" wrapText="1"/>
    </xf>
    <xf numFmtId="0" fontId="2" fillId="2"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164" fontId="4" fillId="0" borderId="1" applyAlignment="1" pivotButton="0" quotePrefix="0" xfId="0">
      <alignment vertical="top" wrapText="1"/>
    </xf>
    <xf numFmtId="0" fontId="2" fillId="2" borderId="4" applyAlignment="1" pivotButton="0" quotePrefix="0" xfId="0">
      <alignment horizontal="center" vertical="top" wrapText="1"/>
    </xf>
    <xf numFmtId="0" fontId="4" fillId="0" borderId="5" applyAlignment="1" pivotButton="0" quotePrefix="0" xfId="0">
      <alignment horizontal="center" vertical="top" wrapText="1"/>
    </xf>
    <xf numFmtId="0" fontId="4" fillId="0" borderId="5" applyAlignment="1" pivotButton="0" quotePrefix="0" xfId="0">
      <alignment vertical="top" wrapText="1"/>
    </xf>
    <xf numFmtId="164" fontId="4" fillId="0" borderId="5" applyAlignment="1" pivotButton="0" quotePrefix="0" xfId="0">
      <alignment vertical="top" wrapText="1"/>
    </xf>
    <xf numFmtId="0" fontId="2" fillId="2" borderId="6" applyAlignment="1" pivotButton="0" quotePrefix="0" xfId="0">
      <alignment horizontal="center" vertical="top" wrapText="1"/>
    </xf>
    <xf numFmtId="0" fontId="4" fillId="0" borderId="3" applyAlignment="1" pivotButton="0" quotePrefix="0" xfId="0">
      <alignment horizontal="center" vertical="top" wrapText="1"/>
    </xf>
    <xf numFmtId="0" fontId="4" fillId="0" borderId="7" applyAlignment="1" pivotButton="0" quotePrefix="0" xfId="0">
      <alignment horizontal="center" vertical="top" wrapText="1"/>
    </xf>
    <xf numFmtId="0" fontId="2" fillId="2" borderId="8" applyAlignment="1" pivotButton="0" quotePrefix="0" xfId="0">
      <alignment horizontal="center" vertical="top" wrapText="1"/>
    </xf>
    <xf numFmtId="0" fontId="4" fillId="0" borderId="2" applyAlignment="1" pivotButton="0" quotePrefix="0" xfId="0">
      <alignment vertical="top" wrapText="1"/>
    </xf>
    <xf numFmtId="0" fontId="4" fillId="0" borderId="9" applyAlignment="1" pivotButton="0" quotePrefix="0" xfId="0">
      <alignment vertical="top" wrapText="1"/>
    </xf>
    <xf numFmtId="0" fontId="4" fillId="0" borderId="3" applyAlignment="1" pivotButton="0" quotePrefix="0" xfId="0">
      <alignment vertical="top" wrapText="1"/>
    </xf>
    <xf numFmtId="0" fontId="4" fillId="0" borderId="7" applyAlignment="1" pivotButton="0" quotePrefix="0" xfId="0">
      <alignment vertical="top" wrapText="1"/>
    </xf>
    <xf numFmtId="0" fontId="4" fillId="0" borderId="1" pivotButton="0" quotePrefix="0" xfId="0"/>
    <xf numFmtId="164" fontId="4" fillId="0" borderId="1" pivotButton="0" quotePrefix="0" xfId="0"/>
    <xf numFmtId="0" fontId="5" fillId="6" borderId="1" pivotButton="0" quotePrefix="0" xfId="0"/>
    <xf numFmtId="0" fontId="4" fillId="0" borderId="1" applyAlignment="1" pivotButton="0" quotePrefix="0" xfId="0">
      <alignment wrapText="1"/>
    </xf>
    <xf numFmtId="164" fontId="4" fillId="0" borderId="1" applyAlignment="1" pivotButton="0" quotePrefix="0" xfId="0">
      <alignment wrapText="1"/>
    </xf>
    <xf numFmtId="0" fontId="4" fillId="0" borderId="3" applyAlignment="1" pivotButton="0" quotePrefix="0" xfId="0">
      <alignment vertical="center" wrapText="1"/>
    </xf>
    <xf numFmtId="9" fontId="4" fillId="0" borderId="2" applyAlignment="1" pivotButton="0" quotePrefix="0" xfId="0">
      <alignment vertical="center" wrapText="1"/>
    </xf>
    <xf numFmtId="164" fontId="4"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8" fillId="9" borderId="10" applyAlignment="1" pivotButton="0" quotePrefix="0" xfId="0">
      <alignment vertical="center" wrapText="1"/>
    </xf>
    <xf numFmtId="0" fontId="0" fillId="9" borderId="10" applyAlignment="1" pivotButton="0" quotePrefix="0" xfId="0">
      <alignment vertical="center" wrapText="1"/>
    </xf>
    <xf numFmtId="164" fontId="0" fillId="9" borderId="10" applyAlignment="1" pivotButton="0" quotePrefix="0" xfId="0">
      <alignment vertical="center" wrapText="1"/>
    </xf>
    <xf numFmtId="0" fontId="8" fillId="10" borderId="11" applyAlignment="1" pivotButton="0" quotePrefix="0" xfId="0">
      <alignment vertical="center" wrapText="1"/>
    </xf>
    <xf numFmtId="9" fontId="8" fillId="10" borderId="11" applyAlignment="1" pivotButton="0" quotePrefix="0" xfId="0">
      <alignment vertical="center" wrapText="1"/>
    </xf>
    <xf numFmtId="0" fontId="0" fillId="10" borderId="11" applyAlignment="1" pivotButton="0" quotePrefix="0" xfId="0">
      <alignment vertical="center" wrapText="1"/>
    </xf>
    <xf numFmtId="0" fontId="0" fillId="0" borderId="0" applyAlignment="1" pivotButton="0" quotePrefix="0" xfId="0">
      <alignment wrapText="1"/>
    </xf>
    <xf numFmtId="164" fontId="0" fillId="0" borderId="0" pivotButton="0" quotePrefix="0" xfId="0"/>
    <xf numFmtId="0" fontId="11" fillId="13" borderId="12" applyAlignment="1" pivotButton="0" quotePrefix="0" xfId="0">
      <alignment wrapText="1"/>
    </xf>
    <xf numFmtId="0" fontId="0" fillId="0" borderId="12" applyAlignment="1" pivotButton="0" quotePrefix="0" xfId="0">
      <alignment vertical="top" wrapText="1"/>
    </xf>
    <xf numFmtId="0" fontId="0" fillId="14" borderId="12" applyAlignment="1" pivotButton="0" quotePrefix="0" xfId="0">
      <alignment vertical="top" wrapText="1"/>
    </xf>
    <xf numFmtId="0" fontId="12" fillId="0" borderId="12" applyAlignment="1" pivotButton="0" quotePrefix="0" xfId="0">
      <alignment horizontal="center" vertical="top" wrapText="1"/>
    </xf>
    <xf numFmtId="0" fontId="12" fillId="14" borderId="12" applyAlignment="1" pivotButton="0" quotePrefix="0" xfId="0">
      <alignment horizontal="center" vertical="top" wrapText="1"/>
    </xf>
    <xf numFmtId="0" fontId="13" fillId="14" borderId="12" applyAlignment="1" pivotButton="0" quotePrefix="0" xfId="0">
      <alignment horizontal="center" vertical="top" wrapText="1"/>
    </xf>
    <xf numFmtId="0" fontId="14" fillId="16" borderId="0" applyAlignment="1" pivotButton="0" quotePrefix="0" xfId="0">
      <alignment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7" applyAlignment="1" pivotButton="0" quotePrefix="0" xfId="0">
      <alignment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20" applyAlignment="1" pivotButton="0" quotePrefix="0" xfId="0">
      <alignment vertical="top" wrapText="1"/>
    </xf>
    <xf numFmtId="0" fontId="0" fillId="0" borderId="21" applyAlignment="1" pivotButton="0" quotePrefix="0" xfId="0">
      <alignment vertical="top" wrapText="1"/>
    </xf>
    <xf numFmtId="0" fontId="15" fillId="0" borderId="14" applyAlignment="1" pivotButton="0" quotePrefix="0" xfId="0">
      <alignment horizontal="center" vertical="top" wrapText="1"/>
    </xf>
    <xf numFmtId="0" fontId="15" fillId="0" borderId="17" applyAlignment="1" pivotButton="0" quotePrefix="0" xfId="0">
      <alignment horizontal="center" vertical="top" wrapText="1"/>
    </xf>
    <xf numFmtId="0" fontId="15" fillId="0" borderId="20" applyAlignment="1" pivotButton="0" quotePrefix="0" xfId="0">
      <alignment horizontal="center" vertical="top" wrapText="1"/>
    </xf>
    <xf numFmtId="0" fontId="16" fillId="0" borderId="0" pivotButton="0" quotePrefix="0" xfId="0"/>
    <xf numFmtId="0" fontId="16" fillId="0" borderId="23" applyAlignment="1" pivotButton="0" quotePrefix="0" xfId="0">
      <alignment vertical="top" wrapText="1"/>
    </xf>
    <xf numFmtId="0" fontId="17" fillId="17" borderId="0" pivotButton="0" quotePrefix="0" xfId="0"/>
    <xf numFmtId="0" fontId="20" fillId="18" borderId="0" pivotButton="0" quotePrefix="0" xfId="0"/>
    <xf numFmtId="164" fontId="16" fillId="18" borderId="0" pivotButton="0" quotePrefix="0" xfId="0"/>
    <xf numFmtId="0" fontId="16" fillId="18" borderId="0" pivotButton="0" quotePrefix="0" xfId="0"/>
    <xf numFmtId="0" fontId="18" fillId="19" borderId="22" applyAlignment="1" pivotButton="0" quotePrefix="0" xfId="0">
      <alignment horizontal="center" vertical="center"/>
    </xf>
    <xf numFmtId="0" fontId="19" fillId="20" borderId="23" applyAlignment="1" pivotButton="0" quotePrefix="0" xfId="0">
      <alignment horizontal="center" vertical="center" wrapText="1"/>
    </xf>
    <xf numFmtId="0" fontId="22" fillId="21" borderId="0" applyAlignment="1" pivotButton="0" quotePrefix="0" xfId="0">
      <alignment vertical="center" wrapText="1"/>
    </xf>
    <xf numFmtId="0" fontId="23" fillId="22" borderId="0" applyAlignment="1" pivotButton="0" quotePrefix="0" xfId="0">
      <alignment vertical="center" wrapText="1"/>
    </xf>
    <xf numFmtId="0" fontId="21" fillId="23" borderId="0" applyAlignment="1" pivotButton="0" quotePrefix="0" xfId="0">
      <alignment vertical="center" wrapText="1"/>
    </xf>
    <xf numFmtId="0" fontId="21" fillId="24" borderId="0" applyAlignment="1" pivotButton="0" quotePrefix="0" xfId="0">
      <alignment vertical="center" wrapText="1"/>
    </xf>
    <xf numFmtId="0" fontId="18" fillId="25" borderId="0" applyAlignment="1" pivotButton="0" quotePrefix="0" xfId="0">
      <alignment vertical="top" wrapText="1"/>
    </xf>
    <xf numFmtId="0" fontId="24" fillId="0" borderId="0" applyAlignment="1" pivotButton="0" quotePrefix="0" xfId="0">
      <alignment vertical="top" wrapText="1"/>
    </xf>
    <xf numFmtId="165" fontId="4" fillId="0" borderId="1" applyAlignment="1" pivotButton="0" quotePrefix="0" xfId="0">
      <alignment wrapText="1"/>
    </xf>
    <xf numFmtId="0" fontId="24" fillId="0" borderId="1" applyAlignment="1" pivotButton="0" quotePrefix="0" xfId="0">
      <alignment wrapText="1"/>
    </xf>
    <xf numFmtId="165" fontId="24" fillId="0" borderId="1" applyAlignment="1" pivotButton="0" quotePrefix="0" xfId="0">
      <alignment wrapText="1"/>
    </xf>
    <xf numFmtId="0" fontId="9" fillId="8" borderId="0" applyAlignment="1" pivotButton="0" quotePrefix="0" xfId="0">
      <alignment vertical="center" wrapText="1"/>
    </xf>
    <xf numFmtId="0" fontId="0" fillId="0" borderId="0" pivotButton="0" quotePrefix="0" xfId="0"/>
    <xf numFmtId="0" fontId="0" fillId="10" borderId="11" applyAlignment="1" pivotButton="0" quotePrefix="0" xfId="0">
      <alignment vertical="center" wrapText="1"/>
    </xf>
    <xf numFmtId="0" fontId="0" fillId="0" borderId="26" pivotButton="0" quotePrefix="0" xfId="0"/>
    <xf numFmtId="0" fontId="0" fillId="0" borderId="27" pivotButton="0" quotePrefix="0" xfId="0"/>
    <xf numFmtId="0" fontId="0" fillId="9" borderId="10" applyAlignment="1" pivotButton="0" quotePrefix="0" xfId="0">
      <alignment vertical="center" wrapText="1"/>
    </xf>
    <xf numFmtId="0" fontId="0" fillId="0" borderId="24" pivotButton="0" quotePrefix="0" xfId="0"/>
    <xf numFmtId="0" fontId="0" fillId="0" borderId="25" pivotButton="0" quotePrefix="0" xfId="0"/>
    <xf numFmtId="0" fontId="3" fillId="4" borderId="1" applyAlignment="1" pivotButton="0" quotePrefix="0" xfId="0">
      <alignment vertical="center" wrapText="1"/>
    </xf>
    <xf numFmtId="0" fontId="0" fillId="0" borderId="30" pivotButton="0" quotePrefix="0" xfId="0"/>
    <xf numFmtId="0" fontId="0" fillId="0" borderId="3" pivotButton="0" quotePrefix="0" xfId="0"/>
    <xf numFmtId="0" fontId="4" fillId="0" borderId="1" applyAlignment="1" pivotButton="0" quotePrefix="0" xfId="0">
      <alignment vertical="center" wrapText="1"/>
    </xf>
    <xf numFmtId="0" fontId="6" fillId="6" borderId="1" applyAlignment="1" pivotButton="0" quotePrefix="0" xfId="0">
      <alignment vertical="center" wrapText="1"/>
    </xf>
    <xf numFmtId="0" fontId="2" fillId="3" borderId="1" applyAlignment="1" pivotButton="0" quotePrefix="0" xfId="0">
      <alignment horizontal="left" vertical="center" wrapText="1"/>
    </xf>
    <xf numFmtId="0" fontId="7" fillId="0" borderId="1" applyAlignment="1" pivotButton="0" quotePrefix="0" xfId="1">
      <alignment vertical="center" wrapText="1"/>
    </xf>
    <xf numFmtId="0" fontId="0" fillId="0" borderId="28" pivotButton="0" quotePrefix="0" xfId="0"/>
    <xf numFmtId="0" fontId="0" fillId="0" borderId="7" pivotButton="0" quotePrefix="0" xfId="0"/>
    <xf numFmtId="0" fontId="0" fillId="0" borderId="8" pivotButton="0" quotePrefix="0" xfId="0"/>
    <xf numFmtId="0" fontId="0" fillId="0" borderId="29" pivotButton="0" quotePrefix="0" xfId="0"/>
    <xf numFmtId="0" fontId="0" fillId="0" borderId="6" pivotButton="0" quotePrefix="0" xfId="0"/>
    <xf numFmtId="0" fontId="4" fillId="4" borderId="1" applyAlignment="1" pivotButton="0" quotePrefix="0" xfId="0">
      <alignment wrapText="1"/>
    </xf>
    <xf numFmtId="0" fontId="5" fillId="6" borderId="1" pivotButton="0" quotePrefix="0" xfId="0"/>
    <xf numFmtId="0" fontId="2" fillId="3" borderId="1" applyAlignment="1" pivotButton="0" quotePrefix="0" xfId="0">
      <alignment horizontal="left" vertical="center"/>
    </xf>
    <xf numFmtId="0" fontId="10" fillId="12" borderId="0" pivotButton="0" quotePrefix="0" xfId="0"/>
    <xf numFmtId="0" fontId="9" fillId="11" borderId="0" applyAlignment="1" pivotButton="0" quotePrefix="0" xfId="0">
      <alignment vertical="center"/>
    </xf>
    <xf numFmtId="0" fontId="11" fillId="15" borderId="0" pivotButton="0" quotePrefix="0" xfId="0"/>
  </cellXfs>
  <cellStyles count="2">
    <cellStyle name="Normal" xfId="0" builtinId="0"/>
    <cellStyle name="Hyperlink" xfId="1"/>
  </cellStyles>
  <dxfs count="165">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ont>
        <color rgb="FF00607F"/>
      </font>
      <fill>
        <patternFill>
          <bgColor rgb="FFCCF2FF"/>
        </patternFill>
      </fill>
    </dxf>
    <dxf>
      <font>
        <color rgb="FF6B9C00"/>
      </font>
      <fill>
        <patternFill>
          <bgColor rgb="FFFFEB9C"/>
        </patternFill>
      </fill>
    </dxf>
    <dxf>
      <font>
        <color rgb="FF9C0000"/>
      </font>
      <fill>
        <patternFill>
          <bgColor rgb="FFFFCEC7"/>
        </patternFill>
      </fill>
    </dxf>
    <dxf>
      <font>
        <color rgb="FF9C0000"/>
      </font>
      <fill>
        <patternFill>
          <bgColor rgb="FFFFCEC7"/>
        </patternFill>
      </fill>
    </dxf>
    <dxf>
      <font>
        <color rgb="FF777777"/>
      </font>
      <fill>
        <patternFill>
          <bgColor rgb="FFF2F2F2"/>
        </patternFill>
      </fill>
    </dxf>
    <dxf>
      <font>
        <color rgb="FF1D7638"/>
      </font>
      <fill>
        <patternFill>
          <bgColor rgb="FFD3EAD9"/>
        </patternFill>
      </fill>
    </dxf>
    <dxf>
      <font>
        <color rgb="FF666666"/>
      </font>
      <fill>
        <patternFill>
          <bgColor rgb="FFE6E6E7"/>
        </patternFill>
      </fill>
    </dxf>
    <dxf>
      <font>
        <color rgb="FF6B9C00"/>
      </font>
      <fill>
        <patternFill>
          <bgColor rgb="FFFFEB9C"/>
        </patternFill>
      </fill>
    </dxf>
    <dxf>
      <font>
        <color rgb="FF9C0000"/>
      </font>
      <fill>
        <patternFill>
          <bgColor rgb="FFFFCEC7"/>
        </patternFill>
      </fill>
    </dxf>
    <dxf>
      <font>
        <color rgb="FF006100"/>
      </font>
      <fill>
        <patternFill>
          <bgColor rgb="FFCEEFC6"/>
        </patternFill>
      </fill>
    </dxf>
    <dxf>
      <fill>
        <patternFill>
          <bgColor rgb="FFE7E6E6"/>
        </patternFill>
      </fill>
    </dxf>
    <dxf>
      <fill>
        <patternFill>
          <bgColor rgb="FFF4CCCC"/>
        </patternFill>
      </fill>
    </dxf>
    <dxf>
      <fill>
        <patternFill>
          <bgColor rgb="FFFFF2CC"/>
        </patternFill>
      </fill>
    </dxf>
    <dxf>
      <fill>
        <patternFill>
          <bgColor rgb="FFE2EFDA"/>
        </patternFill>
      </fill>
    </dxf>
    <dxf>
      <font>
        <name val="Aptos"/>
        <family val="2"/>
        <sz val="10"/>
      </font>
      <border>
        <left style="thin">
          <color rgb="FFF3E2D9"/>
        </left>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right style="thin">
          <color rgb="FFF3E2D9"/>
        </right>
        <top style="thin">
          <color rgb="FFF3E2D9"/>
        </top>
        <bottom style="thin">
          <color rgb="FFF3E2D9"/>
        </bottom>
      </border>
    </dxf>
    <dxf>
      <font>
        <name val="Aptos"/>
        <family val="2"/>
        <sz val="10"/>
      </font>
    </dxf>
    <dxf>
      <font>
        <name val="Aptos"/>
        <family val="2"/>
        <sz val="10"/>
      </font>
      <border>
        <left style="thin">
          <color rgb="FFF3E2D9"/>
        </left>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numFmt numFmtId="164" formatCode="yyyy\-mm\-dd"/>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numFmt numFmtId="164" formatCode="yyyy\-mm\-dd"/>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right style="thin">
          <color rgb="FFF3E2D9"/>
        </right>
        <top style="thin">
          <color rgb="FFF3E2D9"/>
        </top>
        <bottom style="thin">
          <color rgb="FFF3E2D9"/>
        </bottom>
      </border>
    </dxf>
    <dxf>
      <font>
        <name val="Aptos"/>
        <family val="2"/>
        <sz val="10"/>
      </font>
    </dxf>
    <dxf>
      <font>
        <name val="Aptos"/>
        <family val="2"/>
        <sz val="10"/>
      </font>
      <border>
        <left style="thin">
          <color rgb="FFF3E2D9"/>
        </left>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numFmt numFmtId="164" formatCode="yyyy\-mm\-dd"/>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right style="thin">
          <color rgb="FFF3E2D9"/>
        </right>
        <top style="thin">
          <color rgb="FFF3E2D9"/>
        </top>
        <bottom style="thin">
          <color rgb="FFF3E2D9"/>
        </bottom>
      </border>
    </dxf>
    <dxf>
      <font>
        <name val="Aptos"/>
        <family val="2"/>
        <sz val="10"/>
      </font>
    </dxf>
    <dxf>
      <border>
        <bottom style="thin">
          <color rgb="FFF3E2D9"/>
        </bottom>
      </border>
    </dxf>
    <dxf>
      <font>
        <name val="Aptos"/>
        <family val="2"/>
        <sz val="10"/>
      </font>
      <border>
        <left style="thin">
          <color rgb="FFF3E2D9"/>
        </left>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numFmt numFmtId="164" formatCode="yyyy\-mm\-dd"/>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right style="thin">
          <color rgb="FFF3E2D9"/>
        </right>
        <top style="thin">
          <color rgb="FFF3E2D9"/>
        </top>
        <bottom style="thin">
          <color rgb="FFF3E2D9"/>
        </bottom>
      </border>
    </dxf>
    <dxf>
      <font>
        <name val="Aptos"/>
        <family val="2"/>
        <sz val="10"/>
      </font>
    </dxf>
    <dxf>
      <border>
        <bottom style="thin">
          <color rgb="FFF3E2D9"/>
        </bottom>
      </border>
    </dxf>
    <dxf>
      <font>
        <name val="Aptos"/>
        <family val="2"/>
        <sz val="10"/>
      </font>
      <numFmt numFmtId="13" formatCode="0%"/>
      <border>
        <left style="thin">
          <color rgb="FFF3E2D9"/>
        </left>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style="thin">
          <color rgb="FFF3E2D9"/>
        </left>
        <right style="thin">
          <color rgb="FFF3E2D9"/>
        </right>
        <top style="thin">
          <color rgb="FFF3E2D9"/>
        </top>
        <bottom style="thin">
          <color rgb="FFF3E2D9"/>
        </bottom>
      </border>
    </dxf>
    <dxf>
      <font>
        <name val="Aptos"/>
        <family val="2"/>
        <sz val="10"/>
      </font>
      <border>
        <left/>
        <right style="thin">
          <color rgb="FFF3E2D9"/>
        </right>
        <top style="thin">
          <color rgb="FFF3E2D9"/>
        </top>
        <bottom style="thin">
          <color rgb="FFF3E2D9"/>
        </bottom>
      </border>
    </dxf>
    <dxf>
      <font>
        <name val="Aptos"/>
        <family val="2"/>
        <sz val="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ables/table1.xml><?xml version="1.0" encoding="utf-8"?>
<table xmlns="http://schemas.openxmlformats.org/spreadsheetml/2006/main" id="1" name="V4SqaResults" displayName="V4SqaResults" ref="A12:F58" headerRowCount="1" totalsRowShown="0">
  <autoFilter ref="A12:F58"/>
  <tableColumns count="6">
    <tableColumn id="1" name="Check ID"/>
    <tableColumn id="2" name="Area / Feature"/>
    <tableColumn id="3" name="Result"/>
    <tableColumn id="4" name="Environment"/>
    <tableColumn id="5" name="Evidence"/>
    <tableColumn id="6" name="Limitation / Next Step"/>
  </tableColumns>
  <tableStyleInfo name="TableStyleMedium2" showFirstColumn="0" showLastColumn="0" showRowStripes="1" showColumnStripes="0"/>
</table>
</file>

<file path=xl/tables/table2.xml><?xml version="1.0" encoding="utf-8"?>
<table xmlns="http://schemas.openxmlformats.org/spreadsheetml/2006/main" id="2" name="CategoryCoverage" displayName="CategoryCoverage" ref="A15:H29" headerRowCount="1" totalsRowShown="0" dataDxfId="164">
  <autoFilter ref="A15:H29"/>
  <tableColumns count="8">
    <tableColumn id="1" name="Category" dataDxfId="163"/>
    <tableColumn id="2" name="Total" dataDxfId="162"/>
    <tableColumn id="3" name="Pass" dataDxfId="161"/>
    <tableColumn id="4" name="Fail" dataDxfId="160"/>
    <tableColumn id="5" name="Blocked" dataDxfId="159"/>
    <tableColumn id="6" name="Not Run" dataDxfId="158"/>
    <tableColumn id="7" name="N/A" dataDxfId="157"/>
    <tableColumn id="8" name="Progress" dataDxfId="156">
      <calculatedColumnFormula>IF(B16=0,0,(C16+D16+E16+G16)/B16)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SqaMasterChecklist" displayName="SqaMasterChecklist" ref="A1:S204" headerRowCount="1" totalsRowShown="0" dataDxfId="154" headerRowBorderDxfId="155">
  <autoFilter ref="A1:S204"/>
  <tableColumns count="19">
    <tableColumn id="1" name="Checked?" dataDxfId="153"/>
    <tableColumn id="2" name="Check ID" dataDxfId="152"/>
    <tableColumn id="3" name="Scope" dataDxfId="151"/>
    <tableColumn id="4" name="Category" dataDxfId="150"/>
    <tableColumn id="5" name="Feature / Requirement" dataDxfId="149"/>
    <tableColumn id="6" name="Preconditions" dataDxfId="148"/>
    <tableColumn id="7" name="Test Steps" dataDxfId="147"/>
    <tableColumn id="8" name="Expected Result" dataDxfId="146"/>
    <tableColumn id="9" name="Priority" dataDxfId="145"/>
    <tableColumn id="10" name="Test Type" dataDxfId="144"/>
    <tableColumn id="11" name="Platform" dataDxfId="143"/>
    <tableColumn id="12" name="Automated?" dataDxfId="142"/>
    <tableColumn id="13" name="Status" dataDxfId="141"/>
    <tableColumn id="14" name="Defect ID" dataDxfId="140"/>
    <tableColumn id="15" name="Actual Result / Evidence" dataDxfId="139"/>
    <tableColumn id="16" name="Tester" dataDxfId="138"/>
    <tableColumn id="17" name="Test Date" dataDxfId="137"/>
    <tableColumn id="18" name="Retest Status" dataDxfId="136"/>
    <tableColumn id="19" name="Notes" dataDxfId="135"/>
  </tableColumns>
  <tableStyleInfo name="TableStyleMedium2" showFirstColumn="0" showLastColumn="0" showRowStripes="1" showColumnStripes="0"/>
</table>
</file>

<file path=xl/tables/table4.xml><?xml version="1.0" encoding="utf-8"?>
<table xmlns="http://schemas.openxmlformats.org/spreadsheetml/2006/main" id="4" name="AssignmentVerificationMatrix" displayName="AssignmentVerificationMatrix" ref="A1:S5" headerRowCount="1" totalsRowShown="0" dataDxfId="133" headerRowBorderDxfId="134">
  <autoFilter ref="A1:S5"/>
  <tableColumns count="19">
    <tableColumn id="1" name="Checked?" dataDxfId="132"/>
    <tableColumn id="2" name="Assignment ID" dataDxfId="131"/>
    <tableColumn id="3" name="Stable ID" dataDxfId="130"/>
    <tableColumn id="4" name="Version" dataDxfId="129"/>
    <tableColumn id="5" name="Title" dataDxfId="128"/>
    <tableColumn id="6" name="Published" dataDxfId="127"/>
    <tableColumn id="7" name="Detail Loads" dataDxfId="126"/>
    <tableColumn id="8" name="Starter Compiles" dataDxfId="125"/>
    <tableColumn id="9" name="Starter Executes" dataDxfId="124"/>
    <tableColumn id="10" name="Official Solution" dataDxfId="123"/>
    <tableColumn id="11" name="Public Run" dataDxfId="122"/>
    <tableColumn id="12" name="Hidden Grading" dataDxfId="121"/>
    <tableColumn id="13" name="Evidence UI" dataDxfId="120"/>
    <tableColumn id="14" name="Solution Protection" dataDxfId="119"/>
    <tableColumn id="15" name="Hint Policy" dataDxfId="118"/>
    <tableColumn id="16" name="Simulation Config" dataDxfId="117"/>
    <tableColumn id="17" name="Last Verified" dataDxfId="116"/>
    <tableColumn id="18" name="Evidence" dataDxfId="115"/>
    <tableColumn id="19" name="Notes" dataDxfId="114"/>
  </tableColumns>
  <tableStyleInfo name="TableStyleMedium2" showFirstColumn="0" showLastColumn="0" showRowStripes="1" showColumnStripes="0"/>
</table>
</file>

<file path=xl/tables/table5.xml><?xml version="1.0" encoding="utf-8"?>
<table xmlns="http://schemas.openxmlformats.org/spreadsheetml/2006/main" id="5" name="SqaDefectLog" displayName="SqaDefectLog" ref="A1:P2" headerRowCount="1" totalsRowShown="0" dataDxfId="113">
  <autoFilter ref="A1:P2"/>
  <tableColumns count="16">
    <tableColumn id="1" name="Defect ID" dataDxfId="112"/>
    <tableColumn id="2" name="Title" dataDxfId="111"/>
    <tableColumn id="3" name="Severity" dataDxfId="110"/>
    <tableColumn id="4" name="Category" dataDxfId="109"/>
    <tableColumn id="5" name="Environment" dataDxfId="108"/>
    <tableColumn id="6" name="Steps to Reproduce" dataDxfId="107"/>
    <tableColumn id="7" name="Expected" dataDxfId="106"/>
    <tableColumn id="8" name="Actual" dataDxfId="105"/>
    <tableColumn id="9" name="Status" dataDxfId="104"/>
    <tableColumn id="10" name="Owner" dataDxfId="103"/>
    <tableColumn id="11" name="Found Date" dataDxfId="102"/>
    <tableColumn id="12" name="Fix Version / Commit" dataDxfId="101"/>
    <tableColumn id="13" name="Retest Result" dataDxfId="100"/>
    <tableColumn id="14" name="Retest Date" dataDxfId="99"/>
    <tableColumn id="15" name="Evidence Link / Path" dataDxfId="98"/>
    <tableColumn id="16" name="Notes" dataDxfId="97"/>
  </tableColumns>
  <tableStyleInfo name="TableStyleMedium2" showFirstColumn="0" showLastColumn="0" showRowStripes="1" showColumnStripes="0"/>
</table>
</file>

<file path=xl/tables/table6.xml><?xml version="1.0" encoding="utf-8"?>
<table xmlns="http://schemas.openxmlformats.org/spreadsheetml/2006/main" id="6" name="SqaRunbook" displayName="SqaRunbook" ref="A4:D43" headerRowCount="1" totalsRowShown="0" dataDxfId="96">
  <autoFilter ref="A4:D43"/>
  <tableColumns count="4">
    <tableColumn id="1" name="Section" dataDxfId="95"/>
    <tableColumn id="2" name="Purpose" dataDxfId="94"/>
    <tableColumn id="3" name="Command / Procedure" dataDxfId="93"/>
    <tableColumn id="4" name="Expected Result" dataDxfId="92"/>
  </tableColumns>
  <tableStyleInfo name="TableStyleMedium2" showFirstColumn="0" showLastColumn="0" showRowStripes="1" showColumnStripes="0"/>
</table>
</file>

<file path=xl/tables/table7.xml><?xml version="1.0" encoding="utf-8"?>
<table xmlns="http://schemas.openxmlformats.org/spreadsheetml/2006/main" id="7" name="QAReportIndex" displayName="QAReportIndex" ref="A1:G30" headerRowCount="1" totalsRowShown="0">
  <tableColumns count="7">
    <tableColumn id="1" name="Report ID"/>
    <tableColumn id="2" name="Report title"/>
    <tableColumn id="3" name="Historical scope"/>
    <tableColumn id="4" name="Original report path"/>
    <tableColumn id="5" name="Source SHA-256"/>
    <tableColumn id="6" name="Archive first row"/>
    <tableColumn id="7" name="Source line count"/>
  </tableColumns>
  <tableStyleInfo name="TableStyleMedium2" showFirstColumn="0" showLastColumn="0" showRowStripes="1" showColumnStripes="0"/>
</table>
</file>

<file path=xl/tables/table8.xml><?xml version="1.0" encoding="utf-8"?>
<table xmlns="http://schemas.openxmlformats.org/spreadsheetml/2006/main" id="8" name="QARunHistory" displayName="QARunHistory" ref="A1:E1001" headerRowCount="1" totalsRowShown="0">
  <tableColumns count="5">
    <tableColumn id="1" name="Report ID"/>
    <tableColumn id="2" name="Source line"/>
    <tableColumn id="3" name="Recorded check"/>
    <tableColumn id="4" name="Recorded result"/>
    <tableColumn id="5" name="Recorded evidence / limitation"/>
  </tableColumns>
  <tableStyleInfo name="TableStyleMedium2" showFirstColumn="0" showLastColumn="0" showRowStripes="1" showColumnStripes="0"/>
</table>
</file>

<file path=xl/tables/table9.xml><?xml version="1.0" encoding="utf-8"?>
<table xmlns="http://schemas.openxmlformats.org/spreadsheetml/2006/main" id="9" name="QAReportArchive" displayName="QAReportArchive" ref="A1:C2221" headerRowCount="1" totalsRowShown="0">
  <tableColumns count="3">
    <tableColumn id="1" name="Report ID"/>
    <tableColumn id="2" name="Source line"/>
    <tableColumn id="3" name="Original report 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PROJECT_VISION_ARCHITECTURE_AND_DELIVERY_PLAN.md"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25.xml.rels><Relationships xmlns="http://schemas.openxmlformats.org/package/2006/relationships"><Relationship Type="http://schemas.openxmlformats.org/officeDocument/2006/relationships/table" Target="/xl/tables/table7.xml" Id="rId1"/></Relationships>
</file>

<file path=xl/worksheets/_rels/sheet26.xml.rels><Relationships xmlns="http://schemas.openxmlformats.org/package/2006/relationships"><Relationship Type="http://schemas.openxmlformats.org/officeDocument/2006/relationships/table" Target="/xl/tables/table8.xml" Id="rId1"/></Relationships>
</file>

<file path=xl/worksheets/_rels/sheet27.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F72"/>
  <sheetViews>
    <sheetView showGridLines="0" tabSelected="1" workbookViewId="0">
      <selection activeCell="A1" sqref="A1:F1"/>
    </sheetView>
  </sheetViews>
  <sheetFormatPr baseColWidth="8" defaultRowHeight="15"/>
  <cols>
    <col width="15.7109375" customWidth="1" style="78" min="1" max="1"/>
    <col width="34.7109375" customWidth="1" style="78" min="2" max="2"/>
    <col width="14.7109375" customWidth="1" style="78" min="3" max="3"/>
    <col width="20.7109375" customWidth="1" style="78" min="4" max="4"/>
    <col width="55.7109375" customWidth="1" style="78" min="5" max="6"/>
  </cols>
  <sheetData>
    <row r="1" ht="30" customHeight="1" s="78">
      <c r="A1" s="77" t="inlineStr">
        <is>
          <t>Robotics Programming Lab - v4 SQA Verification Report</t>
        </is>
      </c>
    </row>
    <row r="2">
      <c r="A2" s="32" t="n"/>
      <c r="B2" s="32" t="n"/>
      <c r="C2" s="32" t="n"/>
      <c r="D2" s="32" t="n"/>
      <c r="E2" s="32" t="n"/>
      <c r="F2" s="32" t="n"/>
    </row>
    <row r="3" ht="33.95" customHeight="1" s="78">
      <c r="A3" s="33" t="inlineStr">
        <is>
          <t>Release</t>
        </is>
      </c>
      <c r="B3" s="82" t="inlineStr">
        <is>
          <t>v4 Local Classroom-Ready Candidate</t>
        </is>
      </c>
      <c r="C3" s="33" t="inlineStr">
        <is>
          <t>Branch</t>
        </is>
      </c>
      <c r="D3" s="82" t="inlineStr">
        <is>
          <t>staging main - local only</t>
        </is>
      </c>
      <c r="E3" s="33" t="inlineStr">
        <is>
          <t>Test Date</t>
        </is>
      </c>
      <c r="F3" s="35" t="n">
        <v>46239</v>
      </c>
    </row>
    <row r="4" ht="33.95" customHeight="1" s="78">
      <c r="A4" s="33" t="inlineStr">
        <is>
          <t>Commit</t>
        </is>
      </c>
      <c r="B4" s="82" t="inlineStr">
        <is>
          <t>Working tree; not pushed</t>
        </is>
      </c>
      <c r="C4" s="33" t="inlineStr">
        <is>
          <t>Frontend</t>
        </is>
      </c>
      <c r="D4" s="82" t="inlineStr">
        <is>
          <t>http://localhost:8080</t>
        </is>
      </c>
      <c r="E4" s="33" t="inlineStr">
        <is>
          <t>Backend</t>
        </is>
      </c>
      <c r="F4" s="82" t="inlineStr">
        <is>
          <t>http://127.0.0.1:5000</t>
        </is>
      </c>
    </row>
    <row r="5" ht="33.95" customHeight="1" s="78">
      <c r="A5" s="33" t="inlineStr">
        <is>
          <t>Scope</t>
        </is>
      </c>
      <c r="B5" s="82" t="inlineStr">
        <is>
          <t>Local-only classroom-readiness verification. No live repository push or production deployment was performed. Render restart, production PostgreSQL rollback, and another physical computer/network remain external live gates.</t>
        </is>
      </c>
      <c r="C5" s="83" t="n"/>
      <c r="D5" s="83" t="n"/>
      <c r="E5" s="83" t="n"/>
      <c r="F5" s="84" t="n"/>
    </row>
    <row r="6">
      <c r="A6" s="32" t="n"/>
      <c r="B6" s="32" t="n"/>
      <c r="C6" s="32" t="n"/>
      <c r="D6" s="32" t="n"/>
      <c r="E6" s="32" t="n"/>
      <c r="F6" s="32" t="n"/>
    </row>
    <row r="7" ht="27.95" customHeight="1" s="78">
      <c r="A7" s="36" t="inlineStr">
        <is>
          <t>Total Checks</t>
        </is>
      </c>
      <c r="B7" s="79" t="n">
        <v>60</v>
      </c>
      <c r="C7" s="36" t="inlineStr">
        <is>
          <t>Passed</t>
        </is>
      </c>
      <c r="D7" s="79" t="n">
        <v>47</v>
      </c>
      <c r="E7" s="36" t="inlineStr">
        <is>
          <t>Non-Pass / Open</t>
        </is>
      </c>
      <c r="F7" s="36" t="n">
        <v>13</v>
      </c>
    </row>
    <row r="8" ht="27.95" customHeight="1" s="78">
      <c r="A8" s="36" t="inlineStr">
        <is>
          <t>Pass Rate</t>
        </is>
      </c>
      <c r="B8" s="37" t="n">
        <v>0.7833333333333333</v>
      </c>
      <c r="C8" s="36" t="inlineStr">
        <is>
          <t>Blocked</t>
        </is>
      </c>
      <c r="D8" s="79" t="n">
        <v>0</v>
      </c>
      <c r="E8" s="36" t="inlineStr">
        <is>
          <t>Not Run / Deferred</t>
        </is>
      </c>
      <c r="F8" s="79" t="n">
        <v>6</v>
      </c>
    </row>
    <row r="9" ht="27.95" customHeight="1" s="78">
      <c r="A9" s="36" t="inlineStr">
        <is>
          <t>Decision</t>
        </is>
      </c>
      <c r="B9" s="79" t="inlineStr">
        <is>
          <t>LOCAL GATE PASSED - LIVE EXTERNAL GATES OPEN</t>
        </is>
      </c>
      <c r="C9" s="80" t="n"/>
      <c r="D9" s="80" t="n"/>
      <c r="E9" s="80" t="n"/>
      <c r="F9" s="81" t="n"/>
    </row>
    <row r="12">
      <c r="A12" s="31" t="inlineStr">
        <is>
          <t>Check ID</t>
        </is>
      </c>
      <c r="B12" s="31" t="inlineStr">
        <is>
          <t>Area / Feature</t>
        </is>
      </c>
      <c r="C12" s="31" t="inlineStr">
        <is>
          <t>Result</t>
        </is>
      </c>
      <c r="D12" s="31" t="inlineStr">
        <is>
          <t>Environment</t>
        </is>
      </c>
      <c r="E12" s="31" t="inlineStr">
        <is>
          <t>Evidence</t>
        </is>
      </c>
      <c r="F12" s="31" t="inlineStr">
        <is>
          <t>Limitation / Next Step</t>
        </is>
      </c>
    </row>
    <row r="13" ht="30" customHeight="1" s="78">
      <c r="A13" s="31" t="inlineStr">
        <is>
          <t>V4-SQA-001</t>
        </is>
      </c>
      <c r="B13" s="31" t="inlineStr">
        <is>
          <t>Source and tracked-secret audit</t>
        </is>
      </c>
      <c r="C13" s="31" t="inlineStr">
        <is>
          <t>Pass</t>
        </is>
      </c>
      <c r="D13" s="31" t="inlineStr">
        <is>
          <t>Local repository</t>
        </is>
      </c>
      <c r="E13" s="31" t="inlineStr">
        <is>
          <t>Clean tracked source; venv ignored; one synthetic migration URL scanner match.</t>
        </is>
      </c>
      <c r="F13" s="31" t="inlineStr">
        <is>
          <t>No real credential detected in tracked files.</t>
        </is>
      </c>
    </row>
    <row r="14" ht="30" customHeight="1" s="78">
      <c r="A14" s="31" t="inlineStr">
        <is>
          <t>V4-SQA-002</t>
        </is>
      </c>
      <c r="B14" s="31" t="inlineStr">
        <is>
          <t>87 backend tests passed in the final local gate.</t>
        </is>
      </c>
      <c r="C14" s="31" t="inlineStr">
        <is>
          <t>Pass</t>
        </is>
      </c>
      <c r="D14" s="31" t="inlineStr">
        <is>
          <t>Local</t>
        </is>
      </c>
      <c r="E14" s="31" t="inlineStr">
        <is>
          <t>87 pytest checks passed, including classroom error paths, restart persistence, manual accounts, and rollback rehearsal.</t>
        </is>
      </c>
      <c r="F14" s="31" t="inlineStr">
        <is>
          <t>Includes auth, assignment, grader, migration, rate-limit, remote-sandbox, and sandbox-service tests.</t>
        </is>
      </c>
    </row>
    <row r="15">
      <c r="A15" s="31" t="inlineStr">
        <is>
          <t>V4-SQA-003</t>
        </is>
      </c>
      <c r="B15" s="31" t="inlineStr">
        <is>
          <t>Python dependency integrity</t>
        </is>
      </c>
      <c r="C15" s="31" t="inlineStr">
        <is>
          <t>Pass</t>
        </is>
      </c>
      <c r="D15" s="31" t="inlineStr">
        <is>
          <t>Local</t>
        </is>
      </c>
      <c r="E15" s="31" t="inlineStr">
        <is>
          <t>pip check: no broken requirements.</t>
        </is>
      </c>
      <c r="F15" s="31" t="inlineStr">
        <is>
          <t>Fresh Python 3.11 venv created from backend requirements.</t>
        </is>
      </c>
    </row>
    <row r="16">
      <c r="A16" s="31" t="inlineStr">
        <is>
          <t>V4-SQA-004</t>
        </is>
      </c>
      <c r="B16" s="31" t="inlineStr">
        <is>
          <t>Python compilation</t>
        </is>
      </c>
      <c r="C16" s="31" t="inlineStr">
        <is>
          <t>Pass</t>
        </is>
      </c>
      <c r="D16" s="31" t="inlineStr">
        <is>
          <t>Local</t>
        </is>
      </c>
      <c r="E16" s="31" t="inlineStr">
        <is>
          <t>compileall completed without error.</t>
        </is>
      </c>
      <c r="F16" s="31" t="inlineStr">
        <is>
          <t>Backend modules compile.</t>
        </is>
      </c>
    </row>
    <row r="17">
      <c r="A17" s="31" t="inlineStr">
        <is>
          <t>V4-SQA-005</t>
        </is>
      </c>
      <c r="B17" s="31" t="inlineStr">
        <is>
          <t>Flutter static analysis</t>
        </is>
      </c>
      <c r="C17" s="31" t="inlineStr">
        <is>
          <t>Pass</t>
        </is>
      </c>
      <c r="D17" s="31" t="inlineStr">
        <is>
          <t>Local</t>
        </is>
      </c>
      <c r="E17" s="31" t="inlineStr">
        <is>
          <t>flutter analyze: no issues found.</t>
        </is>
      </c>
      <c r="F17" s="31" t="inlineStr">
        <is>
          <t>Current v4 source.</t>
        </is>
      </c>
    </row>
    <row r="18" ht="30" customHeight="1" s="78">
      <c r="A18" s="31" t="inlineStr">
        <is>
          <t>V4-SQA-006</t>
        </is>
      </c>
      <c r="B18" s="31" t="inlineStr">
        <is>
          <t>Flutter automated tests</t>
        </is>
      </c>
      <c r="C18" s="31" t="inlineStr">
        <is>
          <t>Pass</t>
        </is>
      </c>
      <c r="D18" s="31" t="inlineStr">
        <is>
          <t>Local</t>
        </is>
      </c>
      <c r="E18" s="31" t="inlineStr">
        <is>
          <t>33 Flutter tests passed, including 390x844 layout and Ctrl+Enter keyboard execution.</t>
        </is>
      </c>
      <c r="F18" s="31" t="inlineStr">
        <is>
          <t>Includes login entry, session policy, responsive UI, progress, execution state, and secure-grader loading.</t>
        </is>
      </c>
    </row>
    <row r="19">
      <c r="A19" s="31" t="inlineStr">
        <is>
          <t>V4-SQA-007</t>
        </is>
      </c>
      <c r="B19" s="31" t="inlineStr">
        <is>
          <t>Flutter release web build</t>
        </is>
      </c>
      <c r="C19" s="31" t="inlineStr">
        <is>
          <t>Pass</t>
        </is>
      </c>
      <c r="D19" s="31" t="inlineStr">
        <is>
          <t>Local</t>
        </is>
      </c>
      <c r="E19" s="31" t="inlineStr">
        <is>
          <t>Production web build completed in .flutter_build/web.</t>
        </is>
      </c>
      <c r="F19" s="31" t="inlineStr">
        <is>
          <t>Built with the live Render API URL.</t>
        </is>
      </c>
    </row>
    <row r="20" ht="30" customHeight="1" s="78">
      <c r="A20" s="31" t="inlineStr">
        <is>
          <t>V4-SQA-008</t>
        </is>
      </c>
      <c r="B20" s="31" t="inlineStr">
        <is>
          <t>Hosted CI and deployment</t>
        </is>
      </c>
      <c r="C20" s="31" t="inlineStr">
        <is>
          <t>Pass</t>
        </is>
      </c>
      <c r="D20" s="31" t="inlineStr">
        <is>
          <t>GitHub/Vercel</t>
        </is>
      </c>
      <c r="E20" s="31" t="inlineStr">
        <is>
          <t>Latest v4 verification and Vercel deployment succeeded.</t>
        </is>
      </c>
      <c r="F20" s="31" t="inlineStr">
        <is>
          <t>Existing hosted baseline passed; new classroom-security working tree is not yet pushed or deployed.</t>
        </is>
      </c>
    </row>
    <row r="21">
      <c r="A21" s="31" t="inlineStr">
        <is>
          <t>V4-SQA-009</t>
        </is>
      </c>
      <c r="B21" s="31" t="inlineStr">
        <is>
          <t>Live health and exact-origin CORS</t>
        </is>
      </c>
      <c r="C21" s="31" t="inlineStr">
        <is>
          <t>Pass</t>
        </is>
      </c>
      <c r="D21" s="31" t="inlineStr">
        <is>
          <t>Render</t>
        </is>
      </c>
      <c r="E21" s="31" t="inlineStr">
        <is>
          <t>Health API 4.0.0; exact Vercel origin allowed.</t>
        </is>
      </c>
      <c r="F21" s="31" t="inlineStr">
        <is>
          <t>Live API checks passed.</t>
        </is>
      </c>
    </row>
    <row r="22">
      <c r="A22" s="31" t="inlineStr">
        <is>
          <t>V4-SQA-010</t>
        </is>
      </c>
      <c r="B22" s="31" t="inlineStr">
        <is>
          <t>Login-first shared URL</t>
        </is>
      </c>
      <c r="C22" s="31" t="inlineStr">
        <is>
          <t>Pass</t>
        </is>
      </c>
      <c r="D22" s="31" t="inlineStr">
        <is>
          <t>Live Chrome</t>
        </is>
      </c>
      <c r="E22" s="31" t="inlineStr">
        <is>
          <t>Public root displayed login despite prior saved session.</t>
        </is>
      </c>
      <c r="F22" s="31" t="inlineStr">
        <is>
          <t>Demo credentials were not shown on the page.</t>
        </is>
      </c>
    </row>
    <row r="23" ht="30" customHeight="1" s="78">
      <c r="A23" s="31" t="inlineStr">
        <is>
          <t>V4-SQA-011</t>
        </is>
      </c>
      <c r="B23" s="31" t="inlineStr">
        <is>
          <t>Invalid login handling</t>
        </is>
      </c>
      <c r="C23" s="31" t="inlineStr">
        <is>
          <t>Pass</t>
        </is>
      </c>
      <c r="D23" s="31" t="inlineStr">
        <is>
          <t>Live Chrome/API</t>
        </is>
      </c>
      <c r="E23" s="31" t="inlineStr">
        <is>
          <t>Invalid credential returned a clear error and remained on login.</t>
        </is>
      </c>
      <c r="F23" s="31" t="inlineStr">
        <is>
          <t>No endless spinner or crash.</t>
        </is>
      </c>
    </row>
    <row r="24" ht="30" customHeight="1" s="78">
      <c r="A24" s="31" t="inlineStr">
        <is>
          <t>V4-SQA-012</t>
        </is>
      </c>
      <c r="B24" s="31" t="inlineStr">
        <is>
          <t>Student authentication/session/logout</t>
        </is>
      </c>
      <c r="C24" s="31" t="inlineStr">
        <is>
          <t>Pass</t>
        </is>
      </c>
      <c r="D24" s="31" t="inlineStr">
        <is>
          <t>Live Chrome/API</t>
        </is>
      </c>
      <c r="E24" s="31" t="inlineStr">
        <is>
          <t>Student login, /app session, auth/me, and token revocation passed.</t>
        </is>
      </c>
      <c r="F24" s="31" t="inlineStr">
        <is>
          <t>Anonymous assignment access returned 401.</t>
        </is>
      </c>
    </row>
    <row r="25">
      <c r="A25" s="31" t="inlineStr">
        <is>
          <t>V4-SQA-013</t>
        </is>
      </c>
      <c r="B25" s="31" t="inlineStr">
        <is>
          <t>Student catalog and navigation</t>
        </is>
      </c>
      <c r="C25" s="31" t="inlineStr">
        <is>
          <t>Pass</t>
        </is>
      </c>
      <c r="D25" s="31" t="inlineStr">
        <is>
          <t>Live Chrome</t>
        </is>
      </c>
      <c r="E25" s="31" t="inlineStr">
        <is>
          <t>Exactly four assignment cards loaded in order.</t>
        </is>
      </c>
      <c r="F25" s="31" t="inlineStr">
        <is>
          <t>Assignment 1 opened successfully.</t>
        </is>
      </c>
    </row>
    <row r="26" ht="30" customHeight="1" s="78">
      <c r="A26" s="31" t="inlineStr">
        <is>
          <t>V4-SQA-014</t>
        </is>
      </c>
      <c r="B26" s="31" t="inlineStr">
        <is>
          <t>Assignment workspace and image</t>
        </is>
      </c>
      <c r="C26" s="31" t="inlineStr">
        <is>
          <t>Pass</t>
        </is>
      </c>
      <c r="D26" s="31" t="inlineStr">
        <is>
          <t>Live Chrome/API</t>
        </is>
      </c>
      <c r="E26" s="31" t="inlineStr">
        <is>
          <t>Starter code, instructions, scenario image, and results panel loaded.</t>
        </is>
      </c>
      <c r="F26" s="31" t="inlineStr">
        <is>
          <t>Image endpoint returned image/png.</t>
        </is>
      </c>
    </row>
    <row r="27" ht="30" customHeight="1" s="78">
      <c r="A27" s="31" t="inlineStr">
        <is>
          <t>V4-SQA-015</t>
        </is>
      </c>
      <c r="B27" s="31" t="inlineStr">
        <is>
          <t>Run tests completion</t>
        </is>
      </c>
      <c r="C27" s="31" t="inlineStr">
        <is>
          <t>Pass</t>
        </is>
      </c>
      <c r="D27" s="31" t="inlineStr">
        <is>
          <t>Live Chrome/API</t>
        </is>
      </c>
      <c r="E27" s="31" t="inlineStr">
        <is>
          <t>Starter run returned structured evidence and UI stopped running.</t>
        </is>
      </c>
      <c r="F27" s="31" t="inlineStr">
        <is>
          <t>Expected starter score was 0%; this is not a product failure.</t>
        </is>
      </c>
    </row>
    <row r="28" ht="30" customHeight="1" s="78">
      <c r="A28" s="31" t="inlineStr">
        <is>
          <t>V4-SQA-016</t>
        </is>
      </c>
      <c r="B28" s="31" t="inlineStr">
        <is>
          <t>AI default and no-AI path</t>
        </is>
      </c>
      <c r="C28" s="31" t="inlineStr">
        <is>
          <t>Pass</t>
        </is>
      </c>
      <c r="D28" s="31" t="inlineStr">
        <is>
          <t>Live Chrome/API</t>
        </is>
      </c>
      <c r="E28" s="31" t="inlineStr">
        <is>
          <t>Fresh local browser showed AI off by default; Assignment 1 completed without OpenAI.</t>
        </is>
      </c>
      <c r="F28" s="31" t="inlineStr">
        <is>
          <t>OpenAI provider behavior intentionally not exercised.</t>
        </is>
      </c>
    </row>
    <row r="29" ht="30" customHeight="1" s="78">
      <c r="A29" s="31" t="inlineStr">
        <is>
          <t>V4-SQA-017</t>
        </is>
      </c>
      <c r="B29" s="31" t="inlineStr">
        <is>
          <t>Instructor login and assignment studio</t>
        </is>
      </c>
      <c r="C29" s="31" t="inlineStr">
        <is>
          <t>Pass</t>
        </is>
      </c>
      <c r="D29" s="31" t="inlineStr">
        <is>
          <t>Live Chrome/API</t>
        </is>
      </c>
      <c r="E29" s="31" t="inlineStr">
        <is>
          <t>Instructor role loaded four published assignments and management controls.</t>
        </is>
      </c>
      <c r="F29" s="31" t="inlineStr">
        <is>
          <t>Role-protected admin API passed.</t>
        </is>
      </c>
    </row>
    <row r="30" ht="30" customHeight="1" s="78">
      <c r="A30" s="31" t="inlineStr">
        <is>
          <t>V4-SQA-018</t>
        </is>
      </c>
      <c r="B30" s="31" t="inlineStr">
        <is>
          <t>Instructor student-account view</t>
        </is>
      </c>
      <c r="C30" s="31" t="inlineStr">
        <is>
          <t>Pass</t>
        </is>
      </c>
      <c r="D30" s="31" t="inlineStr">
        <is>
          <t>Live Chrome/API</t>
        </is>
      </c>
      <c r="E30" s="31" t="inlineStr">
        <is>
          <t>One active demo student loaded; create/manage controls rendered.</t>
        </is>
      </c>
      <c r="F30" s="31" t="inlineStr">
        <is>
          <t>No production account mutation performed.</t>
        </is>
      </c>
    </row>
    <row r="31" ht="30" customHeight="1" s="78">
      <c r="A31" s="31" t="inlineStr">
        <is>
          <t>V4-SQA-019</t>
        </is>
      </c>
      <c r="B31" s="31" t="inlineStr">
        <is>
          <t>Hidden grader and solution protection</t>
        </is>
      </c>
      <c r="C31" s="31" t="inlineStr">
        <is>
          <t>Pass</t>
        </is>
      </c>
      <c r="D31" s="31" t="inlineStr">
        <is>
          <t>Automated/live API</t>
        </is>
      </c>
      <c r="E31" s="31" t="inlineStr">
        <is>
          <t>Student responses excluded hidden_tests, official_solution, and reference_solution.</t>
        </is>
      </c>
      <c r="F31" s="31" t="inlineStr">
        <is>
          <t>Ownership and authorization tests passed.</t>
        </is>
      </c>
    </row>
    <row r="32" ht="30" customHeight="1" s="78">
      <c r="A32" s="31" t="inlineStr">
        <is>
          <t>V4-SQA-020</t>
        </is>
      </c>
      <c r="B32" s="31" t="inlineStr">
        <is>
          <t>Official solutions for assignments 1-4</t>
        </is>
      </c>
      <c r="C32" s="31" t="inlineStr">
        <is>
          <t>Pass</t>
        </is>
      </c>
      <c r="D32" s="31" t="inlineStr">
        <is>
          <t>Automated</t>
        </is>
      </c>
      <c r="E32" s="31" t="inlineStr">
        <is>
          <t>All four official solutions passed the modular graders in the 87-test backend suite.</t>
        </is>
      </c>
      <c r="F32" s="31" t="inlineStr">
        <is>
          <t>Assignment versions 3, 2, 3, and 2 verified.</t>
        </is>
      </c>
    </row>
    <row r="33" ht="30" customHeight="1" s="78">
      <c r="A33" s="31" t="inlineStr">
        <is>
          <t>V4-SQA-021</t>
        </is>
      </c>
      <c r="B33" s="31" t="inlineStr">
        <is>
          <t>Neon persistence</t>
        </is>
      </c>
      <c r="C33" s="31" t="inlineStr">
        <is>
          <t>Partial</t>
        </is>
      </c>
      <c r="D33" s="31" t="inlineStr">
        <is>
          <t>Live backend</t>
        </is>
      </c>
      <c r="E33" s="31" t="inlineStr">
        <is>
          <t>A real local process restart preserved a student attempt; an independent application-restart test preserved both an attempt and instructor edit.</t>
        </is>
      </c>
      <c r="F33" s="31" t="inlineStr">
        <is>
          <t>Actual Render/Neon restart remains a live-deployment gate.</t>
        </is>
      </c>
    </row>
    <row r="34" ht="30" customHeight="1" s="78">
      <c r="A34" s="31" t="inlineStr">
        <is>
          <t>V4-SQA-022</t>
        </is>
      </c>
      <c r="B34" s="31" t="inlineStr">
        <is>
          <t>Responsive and accessibility coverage</t>
        </is>
      </c>
      <c r="C34" s="31" t="inlineStr">
        <is>
          <t>Partial</t>
        </is>
      </c>
      <c r="D34" s="31" t="inlineStr">
        <is>
          <t>Automated/live Chrome</t>
        </is>
      </c>
      <c r="E34" s="31" t="inlineStr">
        <is>
          <t>390x844 Flutter viewport test, narrow results test, Ctrl+Enter, and clean-browser Tab/Enter login passed.</t>
        </is>
      </c>
      <c r="F34" s="31" t="inlineStr">
        <is>
          <t>A second physical device/network and full accessibility audit remain external/manual gates.</t>
        </is>
      </c>
    </row>
    <row r="35" ht="30" customHeight="1" s="78">
      <c r="A35" s="31" t="inlineStr">
        <is>
          <t>V4-SQA-023</t>
        </is>
      </c>
      <c r="B35" s="31" t="inlineStr">
        <is>
          <t>AI provider-on behavior</t>
        </is>
      </c>
      <c r="C35" s="31" t="inlineStr">
        <is>
          <t>Deferred</t>
        </is>
      </c>
      <c r="D35" s="31" t="inlineStr">
        <is>
          <t>Live backend</t>
        </is>
      </c>
      <c r="E35" s="31" t="inlineStr">
        <is>
          <t>Not run by project decision.</t>
        </is>
      </c>
      <c r="F35" s="31" t="inlineStr">
        <is>
          <t>Validate later with quota, timeout, injection, and hidden-data tests.</t>
        </is>
      </c>
    </row>
    <row r="36">
      <c r="A36" s="31" t="inlineStr">
        <is>
          <t>V4-SQA-024</t>
        </is>
      </c>
      <c r="B36" s="31" t="inlineStr">
        <is>
          <t>Password reset and email</t>
        </is>
      </c>
      <c r="C36" s="31" t="inlineStr">
        <is>
          <t>N/A</t>
        </is>
      </c>
      <c r="D36" s="31" t="inlineStr">
        <is>
          <t>Professor demo</t>
        </is>
      </c>
      <c r="E36" s="31" t="inlineStr">
        <is>
          <t>Feature intentionally disabled for v4 professor demo.</t>
        </is>
      </c>
      <c r="F36" s="31" t="inlineStr">
        <is>
          <t>Instructor-managed credentials remain available.</t>
        </is>
      </c>
    </row>
    <row r="37" ht="30" customHeight="1" s="78">
      <c r="A37" s="31" t="inlineStr">
        <is>
          <t>V4-SQA-025</t>
        </is>
      </c>
      <c r="B37" s="31" t="inlineStr">
        <is>
          <t>Destructive instructor mutations</t>
        </is>
      </c>
      <c r="C37" s="31" t="inlineStr">
        <is>
          <t>Not Run</t>
        </is>
      </c>
      <c r="D37" s="31" t="inlineStr">
        <is>
          <t>Live production</t>
        </is>
      </c>
      <c r="E37" s="31" t="inlineStr">
        <is>
          <t>Create/edit/publish/archive/student mutation not performed against production data.</t>
        </is>
      </c>
      <c r="F37" s="31" t="inlineStr">
        <is>
          <t>Equivalent maintained backend tests passed.</t>
        </is>
      </c>
    </row>
    <row r="38" ht="45" customHeight="1" s="78">
      <c r="A38" s="31" t="inlineStr">
        <is>
          <t>V4-SQA-026</t>
        </is>
      </c>
      <c r="B38" s="31" t="inlineStr">
        <is>
          <t>Dedicated sandbox service implementation</t>
        </is>
      </c>
      <c r="C38" s="31" t="inlineStr">
        <is>
          <t>Partial</t>
        </is>
      </c>
      <c r="D38" s="31" t="inlineStr">
        <is>
          <t>Local architecture/smoke</t>
        </is>
      </c>
      <c r="E38" s="31" t="inlineStr">
        <is>
          <t>Separate authenticated execution service passed local contract and two-process smoke; it receives no database/OpenAI secrets.</t>
        </is>
      </c>
      <c r="F38" s="31" t="inlineStr">
        <is>
          <t>Render Docker image and live sandbox deployment are not yet verified.</t>
        </is>
      </c>
    </row>
    <row r="39" ht="30" customHeight="1" s="78">
      <c r="A39" s="31" t="inlineStr">
        <is>
          <t>V4-SQA-027</t>
        </is>
      </c>
      <c r="B39" s="31" t="inlineStr">
        <is>
          <t>Restart, backup, restore, and rollback drill</t>
        </is>
      </c>
      <c r="C39" s="31" t="inlineStr">
        <is>
          <t>Partial</t>
        </is>
      </c>
      <c r="D39" s="31" t="inlineStr">
        <is>
          <t>Disposable local database</t>
        </is>
      </c>
      <c r="E39" s="31" t="inlineStr">
        <is>
          <t>Actual Alembic upgrade -&gt; downgrade base -&gt; upgrade head rehearsal passed on a disposable SQLite database.</t>
        </is>
      </c>
      <c r="F39" s="31" t="inlineStr">
        <is>
          <t>Production PostgreSQL/Render rollback and backup restore remain live gates.</t>
        </is>
      </c>
    </row>
    <row r="40" ht="30" customHeight="1" s="78">
      <c r="A40" s="31" t="inlineStr">
        <is>
          <t>V4-SQA-028</t>
        </is>
      </c>
      <c r="B40" s="31" t="inlineStr">
        <is>
          <t>Overall classroom release assessment</t>
        </is>
      </c>
      <c r="C40" s="31" t="inlineStr">
        <is>
          <t>Partial</t>
        </is>
      </c>
      <c r="D40" s="31" t="inlineStr">
        <is>
          <t>Combined</t>
        </is>
      </c>
      <c r="E40" s="31" t="inlineStr">
        <is>
          <t>Local classroom-security implementation and retained live professor-demo paths pass.</t>
        </is>
      </c>
      <c r="F40" s="31" t="inlineStr">
        <is>
          <t>Do not distribute to students until the sandbox image, live deployment, persistence restart, and restore gates pass.</t>
        </is>
      </c>
    </row>
    <row r="41" ht="48" customHeight="1" s="78">
      <c r="A41" s="31" t="inlineStr">
        <is>
          <t>V4-SQA-029</t>
        </is>
      </c>
      <c r="B41" s="31" t="inlineStr">
        <is>
          <t>Remote sandbox client and service contract</t>
        </is>
      </c>
      <c r="C41" s="31" t="inlineStr">
        <is>
          <t>Pass</t>
        </is>
      </c>
      <c r="D41" s="31" t="inlineStr">
        <is>
          <t>Local automated</t>
        </is>
      </c>
      <c r="E41" s="31" t="inlineStr">
        <is>
          <t>Authenticated requests, response validation, capacity controls, unsafe API rejection, and safe failures passed.</t>
        </is>
      </c>
      <c r="F41" s="31" t="inlineStr">
        <is>
          <t>Covered by the 76-test backend suite.</t>
        </is>
      </c>
    </row>
    <row r="42" ht="48" customHeight="1" s="78">
      <c r="A42" s="31" t="inlineStr">
        <is>
          <t>V4-SQA-030</t>
        </is>
      </c>
      <c r="B42" s="31" t="inlineStr">
        <is>
          <t>Separate-process secure grading smoke</t>
        </is>
      </c>
      <c r="C42" s="31" t="inlineStr">
        <is>
          <t>Pass</t>
        </is>
      </c>
      <c r="D42" s="31" t="inlineStr">
        <is>
          <t>Local API + sandbox services</t>
        </is>
      </c>
      <c r="E42" s="31" t="inlineStr">
        <is>
          <t>Both health checks passed; four assignments loaded; Assignment 2 passed through remote grading; import os was rejected.</t>
        </is>
      </c>
      <c r="F42" s="31" t="inlineStr">
        <is>
          <t>Processes were stopped after the smoke test.</t>
        </is>
      </c>
    </row>
    <row r="43" ht="48" customHeight="1" s="78">
      <c r="A43" s="31" t="inlineStr">
        <is>
          <t>V4-SQA-031</t>
        </is>
      </c>
      <c r="B43" s="31" t="inlineStr">
        <is>
          <t>Sandbox secret exclusion</t>
        </is>
      </c>
      <c r="C43" s="31" t="inlineStr">
        <is>
          <t>Pass</t>
        </is>
      </c>
      <c r="D43" s="31" t="inlineStr">
        <is>
          <t>Local security test</t>
        </is>
      </c>
      <c r="E43" s="31" t="inlineStr">
        <is>
          <t>OPENAI_API_KEY, DATABASE_URL, and SANDBOX_API_TOKEN were absent from the student worker environment.</t>
        </is>
      </c>
      <c r="F43" s="31" t="inlineStr">
        <is>
          <t>The sandbox service itself has no database or OpenAI environment variables.</t>
        </is>
      </c>
    </row>
    <row r="44" ht="48" customHeight="1" s="78">
      <c r="A44" s="31" t="inlineStr">
        <is>
          <t>V4-SQA-032</t>
        </is>
      </c>
      <c r="B44" s="31" t="inlineStr">
        <is>
          <t>Production isolation configuration</t>
        </is>
      </c>
      <c r="C44" s="31" t="inlineStr">
        <is>
          <t>Pass</t>
        </is>
      </c>
      <c r="D44" s="31" t="inlineStr">
        <is>
          <t>Local configuration</t>
        </is>
      </c>
      <c r="E44" s="31" t="inlineStr">
        <is>
          <t>Production rejects subprocess mode and incomplete remote configuration; Render YAML parses two services.</t>
        </is>
      </c>
      <c r="F44" s="31" t="inlineStr">
        <is>
          <t>Render Blueprint sync and image build remain unverified.</t>
        </is>
      </c>
    </row>
    <row r="45" ht="48" customHeight="1" s="78">
      <c r="A45" s="31" t="inlineStr">
        <is>
          <t>V4-SQA-033</t>
        </is>
      </c>
      <c r="B45" s="31" t="inlineStr">
        <is>
          <t>Password hashing and account lifecycle</t>
        </is>
      </c>
      <c r="C45" s="31" t="inlineStr">
        <is>
          <t>Pass</t>
        </is>
      </c>
      <c r="D45" s="31" t="inlineStr">
        <is>
          <t>Local automated</t>
        </is>
      </c>
      <c r="E45" s="31" t="inlineStr">
        <is>
          <t>Instructor-created password is stored only as a recommended Argon2 hash; deactivation revokes sessions and preserves records.</t>
        </is>
      </c>
      <c r="F45" s="31" t="inlineStr">
        <is>
          <t>Instructor manages unique student IDs and shared credentials.</t>
        </is>
      </c>
    </row>
    <row r="46" ht="48" customHeight="1" s="78">
      <c r="A46" s="31" t="inlineStr">
        <is>
          <t>V4-SQA-034</t>
        </is>
      </c>
      <c r="B46" s="31" t="inlineStr">
        <is>
          <t>Cross-student submission isolation</t>
        </is>
      </c>
      <c r="C46" s="31" t="inlineStr">
        <is>
          <t>Pass</t>
        </is>
      </c>
      <c r="D46" s="31" t="inlineStr">
        <is>
          <t>Local automated</t>
        </is>
      </c>
      <c r="E46" s="31" t="inlineStr">
        <is>
          <t>A second student received 404/403 for another student's hint and solution requests.</t>
        </is>
      </c>
      <c r="F46" s="31" t="inlineStr">
        <is>
          <t>Submission owner identity is derived from the authenticated session.</t>
        </is>
      </c>
    </row>
    <row r="47" ht="48" customHeight="1" s="78">
      <c r="A47" s="31" t="inlineStr">
        <is>
          <t>V4-SQA-035</t>
        </is>
      </c>
      <c r="B47" s="31" t="inlineStr">
        <is>
          <t>Execution quota bypass protection</t>
        </is>
      </c>
      <c r="C47" s="31" t="inlineStr">
        <is>
          <t>Pass</t>
        </is>
      </c>
      <c r="D47" s="31" t="inlineStr">
        <is>
          <t>Local automated</t>
        </is>
      </c>
      <c r="E47" s="31" t="inlineStr">
        <is>
          <t>Execution quotas follow the authenticated account; changing X-Forwarded-For does not bypass the limit.</t>
        </is>
      </c>
      <c r="F47" s="31" t="inlineStr">
        <is>
          <t>Single-instance in-memory limiter is acceptable for the free classroom deployment; reassess before scaling.</t>
        </is>
      </c>
    </row>
    <row r="48" ht="48" customHeight="1" s="78">
      <c r="A48" s="31" t="inlineStr">
        <is>
          <t>V4-SQA-036</t>
        </is>
      </c>
      <c r="B48" s="31" t="inlineStr">
        <is>
          <t>Secure grader bounded UI</t>
        </is>
      </c>
      <c r="C48" s="31" t="inlineStr">
        <is>
          <t>Pass</t>
        </is>
      </c>
      <c r="D48" s="31" t="inlineStr">
        <is>
          <t>Local Flutter</t>
        </is>
      </c>
      <c r="E48" s="31" t="inlineStr">
        <is>
          <t>Execution waits at most 90 seconds, explains free-tier wake-up, stops on error, and permits retry; analyzer and 33 tests pass.</t>
        </is>
      </c>
      <c r="F48" s="31" t="inlineStr">
        <is>
          <t>The first free-tier run may still take about one minute.</t>
        </is>
      </c>
    </row>
    <row r="49" ht="48" customHeight="1" s="78">
      <c r="A49" s="31" t="inlineStr">
        <is>
          <t>V4-SQA-037</t>
        </is>
      </c>
      <c r="B49" s="31" t="inlineStr">
        <is>
          <t>Sandbox image and live deployment</t>
        </is>
      </c>
      <c r="C49" s="31" t="inlineStr">
        <is>
          <t>Not Run</t>
        </is>
      </c>
      <c r="D49" s="31" t="inlineStr">
        <is>
          <t>Docker / Render</t>
        </is>
      </c>
      <c r="E49" s="31" t="inlineStr">
        <is>
          <t>Docker CLI is unavailable locally and the new sandbox service has not been deployed.</t>
        </is>
      </c>
      <c r="F49" s="31" t="inlineStr">
        <is>
          <t>Build on Render or Docker CI, set SANDBOX_URL, then repeat live correct/unsafe/restart checks before students use the URL.</t>
        </is>
      </c>
    </row>
    <row r="50" ht="42" customHeight="1" s="78">
      <c r="A50" s="31" t="inlineStr">
        <is>
          <t>V4-SQA-038</t>
        </is>
      </c>
      <c r="B50" s="31" t="inlineStr">
        <is>
          <t>Occupied-port collision protection</t>
        </is>
      </c>
      <c r="C50" s="31" t="inlineStr">
        <is>
          <t>Pass</t>
        </is>
      </c>
      <c r="D50" s="31" t="inlineStr">
        <is>
          <t>Local PowerShell</t>
        </is>
      </c>
      <c r="E50" s="31" t="inlineStr">
        <is>
          <t>Default launch refused existing v3 listeners on ports 5000 and 8080 and identified the owning PIDs.</t>
        </is>
      </c>
      <c r="F50" s="31" t="inlineStr">
        <is>
          <t>The launcher cannot silently attach to an older backend or frontend.</t>
        </is>
      </c>
    </row>
    <row r="51" ht="42" customHeight="1" s="78">
      <c r="A51" s="31" t="inlineStr">
        <is>
          <t>V4-SQA-039</t>
        </is>
      </c>
      <c r="B51" s="31" t="inlineStr">
        <is>
          <t>One-command local service orchestration</t>
        </is>
      </c>
      <c r="C51" s="31" t="inlineStr">
        <is>
          <t>Pass</t>
        </is>
      </c>
      <c r="D51" s="31" t="inlineStr">
        <is>
          <t>Local PowerShell</t>
        </is>
      </c>
      <c r="E51" s="31" t="inlineStr">
        <is>
          <t>run-local.ps1 started dedicated sandbox, API, and OneDrive-safe Flutter web on isolated ports.</t>
        </is>
      </c>
      <c r="F51" s="31" t="inlineStr">
        <is>
          <t>AI is off by default and the local staging database is isolated.</t>
        </is>
      </c>
    </row>
    <row r="52" ht="42" customHeight="1" s="78">
      <c r="A52" s="31" t="inlineStr">
        <is>
          <t>V4-SQA-040</t>
        </is>
      </c>
      <c r="B52" s="31" t="inlineStr">
        <is>
          <t>Local authentication and catalog smoke</t>
        </is>
      </c>
      <c r="C52" s="31" t="inlineStr">
        <is>
          <t>Pass</t>
        </is>
      </c>
      <c r="D52" s="31" t="inlineStr">
        <is>
          <t>Local API smoke</t>
        </is>
      </c>
      <c r="E52" s="31" t="inlineStr">
        <is>
          <t>Demo student login returned 200 and the authenticated catalog returned all four assignments.</t>
        </is>
      </c>
      <c r="F52" s="31" t="inlineStr">
        <is>
          <t>Credentials remain absent from the login page.</t>
        </is>
      </c>
    </row>
    <row r="53" ht="42" customHeight="1" s="78">
      <c r="A53" s="31" t="inlineStr">
        <is>
          <t>V4-SQA-041</t>
        </is>
      </c>
      <c r="B53" s="31" t="inlineStr">
        <is>
          <t>Local execution boundary smoke</t>
        </is>
      </c>
      <c r="C53" s="31" t="inlineStr">
        <is>
          <t>Pass</t>
        </is>
      </c>
      <c r="D53" s="31" t="inlineStr">
        <is>
          <t>Local API/sandbox</t>
        </is>
      </c>
      <c r="E53" s="31" t="inlineStr">
        <is>
          <t>API reported sandbox=remote; sandbox reported dedicated-service; import os failed with structured evidence.</t>
        </is>
      </c>
      <c r="F53" s="31" t="inlineStr">
        <is>
          <t>The smoke used the same separate-process contract planned for production.</t>
        </is>
      </c>
    </row>
    <row r="54" ht="42" customHeight="1" s="78">
      <c r="A54" s="31" t="inlineStr">
        <is>
          <t>V4-SQA-042</t>
        </is>
      </c>
      <c r="B54" s="31" t="inlineStr">
        <is>
          <t>Managed local cleanup</t>
        </is>
      </c>
      <c r="C54" s="31" t="inlineStr">
        <is>
          <t>Pass</t>
        </is>
      </c>
      <c r="D54" s="31" t="inlineStr">
        <is>
          <t>Local PowerShell</t>
        </is>
      </c>
      <c r="E54" s="31" t="inlineStr">
        <is>
          <t>stop-local.ps1 stopped frontend, sandbox, and backend process trees; zero managed listeners remained.</t>
        </is>
      </c>
      <c r="F54" s="31" t="inlineStr">
        <is>
          <t>Only PIDs recorded by the staging launcher are targeted.</t>
        </is>
      </c>
    </row>
    <row r="55" ht="42" customHeight="1" s="78">
      <c r="A55" s="31" t="inlineStr">
        <is>
          <t>V4-SQA-043</t>
        </is>
      </c>
      <c r="B55" s="31" t="inlineStr">
        <is>
          <t>Complete local release gate</t>
        </is>
      </c>
      <c r="C55" s="31" t="inlineStr">
        <is>
          <t>Pass</t>
        </is>
      </c>
      <c r="D55" s="31" t="inlineStr">
        <is>
          <t>Local automated</t>
        </is>
      </c>
      <c r="E55" s="31" t="inlineStr">
        <is>
          <t>87 backend tests, pip check, compileall, Flutter analyzer, 33 Flutter tests, release build, Git whitespace, and local health checks passed.</t>
        </is>
      </c>
      <c r="F55" s="31" t="inlineStr">
        <is>
          <t>Release build used the production API URL define in a clean LocalAppData copy.</t>
        </is>
      </c>
    </row>
    <row r="56" ht="42" customHeight="1" s="78">
      <c r="A56" s="31" t="inlineStr">
        <is>
          <t>V4-SQA-044</t>
        </is>
      </c>
      <c r="B56" s="31" t="inlineStr">
        <is>
          <t>Separate private staging repository</t>
        </is>
      </c>
      <c r="C56" s="31" t="inlineStr">
        <is>
          <t>Pass</t>
        </is>
      </c>
      <c r="D56" s="31" t="inlineStr">
        <is>
          <t>GitHub/local Git</t>
        </is>
      </c>
      <c r="E56" s="31" t="inlineStr">
        <is>
          <t>CS-Ponkoj/Robotics-Programming-Lab-Staging was created private; origin points to staging and production points to the live repository.</t>
        </is>
      </c>
      <c r="F56" s="31" t="inlineStr">
        <is>
          <t>The retired IUSE repository remains archive-only.</t>
        </is>
      </c>
    </row>
    <row r="57" ht="42" customHeight="1" s="78">
      <c r="A57" s="31" t="inlineStr">
        <is>
          <t>V4-SQA-045</t>
        </is>
      </c>
      <c r="B57" s="31" t="inlineStr">
        <is>
          <t>Exact-commit production promotion guard</t>
        </is>
      </c>
      <c r="C57" s="31" t="inlineStr">
        <is>
          <t>Pass</t>
        </is>
      </c>
      <c r="D57" s="31" t="inlineStr">
        <is>
          <t>Local source review</t>
        </is>
      </c>
      <c r="E57" s="31" t="inlineStr">
        <is>
          <t>Promotion script requires clean staging main, matching origin SHA, fast-forward ancestry, fresh release tag, full SQA, and an atomic push.</t>
        </is>
      </c>
      <c r="F57" s="31" t="inlineStr">
        <is>
          <t>The script has not been executed; production is unchanged.</t>
        </is>
      </c>
    </row>
    <row r="58" ht="42" customHeight="1" s="78">
      <c r="A58" s="31" t="inlineStr">
        <is>
          <t>V4-SQA-046</t>
        </is>
      </c>
      <c r="B58" s="31" t="inlineStr">
        <is>
          <t>Hosted staging CI</t>
        </is>
      </c>
      <c r="C58" s="31" t="inlineStr">
        <is>
          <t>Pass</t>
        </is>
      </c>
      <c r="D58" s="31" t="inlineStr">
        <is>
          <t>GitHub Actions</t>
        </is>
      </c>
      <c r="E58" s="31" t="inlineStr">
        <is>
          <t>Hosted staging CI passed repository safety, backend/PostgreSQL migration, Flutter, and sandbox image build/smoke jobs.</t>
        </is>
      </c>
      <c r="F58" s="31" t="inlineStr">
        <is>
          <t>The current staging main SHA must retain a successful hosted run before production promotion.</t>
        </is>
      </c>
    </row>
    <row r="59" ht="30" customHeight="1" s="78">
      <c r="A59" s="39" t="inlineStr">
        <is>
          <t>V4-SQA-047</t>
        </is>
      </c>
      <c r="B59" s="39" t="inlineStr">
        <is>
          <t>Official solutions for Assignments 1-4</t>
        </is>
      </c>
      <c r="C59" s="39" t="inlineStr">
        <is>
          <t>Pass</t>
        </is>
      </c>
      <c r="D59" s="39" t="inlineStr">
        <is>
          <t>Local automated</t>
        </is>
      </c>
      <c r="E59" s="39" t="inlineStr">
        <is>
          <t>Each server-controlled solution passed all hidden grader checks.</t>
        </is>
      </c>
      <c r="F59" s="39" t="inlineStr">
        <is>
          <t>Versions 3, 2, 3, and 2 verified.</t>
        </is>
      </c>
    </row>
    <row r="60" ht="45" customHeight="1" s="78">
      <c r="A60" s="39" t="inlineStr">
        <is>
          <t>V4-SQA-048</t>
        </is>
      </c>
      <c r="B60" s="39" t="inlineStr">
        <is>
          <t>Incorrect, syntax-error, and runtime-error submissions</t>
        </is>
      </c>
      <c r="C60" s="39" t="inlineStr">
        <is>
          <t>Pass</t>
        </is>
      </c>
      <c r="D60" s="39" t="inlineStr">
        <is>
          <t>Local API/automated</t>
        </is>
      </c>
      <c r="E60" s="39" t="inlineStr">
        <is>
          <t>Incorrect code failed safely; SyntaxError and ZeroDivisionError returned structured results without hanging.</t>
        </is>
      </c>
      <c r="F60" s="39" t="inlineStr">
        <is>
          <t>AI was disabled for these checks.</t>
        </is>
      </c>
    </row>
    <row r="61" ht="30" customHeight="1" s="78">
      <c r="A61" s="39" t="inlineStr">
        <is>
          <t>V4-SQA-049</t>
        </is>
      </c>
      <c r="B61" s="39" t="inlineStr">
        <is>
          <t>Infinite loop, excessive output, unsafe import, and oversized code</t>
        </is>
      </c>
      <c r="C61" s="39" t="inlineStr">
        <is>
          <t>Pass</t>
        </is>
      </c>
      <c r="D61" s="39" t="inlineStr">
        <is>
          <t>Local sandbox/API</t>
        </is>
      </c>
      <c r="E61" s="39" t="inlineStr">
        <is>
          <t>Timeout, truncation marker, import allowlist rejection, and HTTP 413 limits all passed.</t>
        </is>
      </c>
      <c r="F61" s="39" t="inlineStr">
        <is>
          <t>Covered at execution and request boundaries.</t>
        </is>
      </c>
    </row>
    <row r="62" ht="30" customHeight="1" s="78">
      <c r="A62" s="39" t="inlineStr">
        <is>
          <t>V4-SQA-050</t>
        </is>
      </c>
      <c r="B62" s="39" t="inlineStr">
        <is>
          <t>Assignment attempt survives service restart</t>
        </is>
      </c>
      <c r="C62" s="39" t="inlineStr">
        <is>
          <t>Pass</t>
        </is>
      </c>
      <c r="D62" s="39" t="inlineStr">
        <is>
          <t>Local running stack</t>
        </is>
      </c>
      <c r="E62" s="39" t="inlineStr">
        <is>
          <t>A stored Assignment 2 attempt remained usable after stopping and restarting all managed local services.</t>
        </is>
      </c>
      <c r="F62" s="39" t="inlineStr">
        <is>
          <t>Proves local SQLite persistence; not an actual Render restart.</t>
        </is>
      </c>
    </row>
    <row r="63" ht="45" customHeight="1" s="78">
      <c r="A63" s="39" t="inlineStr">
        <is>
          <t>V4-SQA-051</t>
        </is>
      </c>
      <c r="B63" s="39" t="inlineStr">
        <is>
          <t>Instructor edit survives application redeployment simulation</t>
        </is>
      </c>
      <c r="C63" s="39" t="inlineStr">
        <is>
          <t>Pass</t>
        </is>
      </c>
      <c r="D63" s="39" t="inlineStr">
        <is>
          <t>Local automated</t>
        </is>
      </c>
      <c r="E63" s="39" t="inlineStr">
        <is>
          <t>A versioned instructor edit and student attempt survived destruction and recreation of the FastAPI application against the same database.</t>
        </is>
      </c>
      <c r="F63" s="39" t="inlineStr">
        <is>
          <t>Uses a disposable database to avoid changing classroom content.</t>
        </is>
      </c>
    </row>
    <row r="64" ht="30" customHeight="1" s="78">
      <c r="A64" s="39" t="inlineStr">
        <is>
          <t>V4-SQA-052</t>
        </is>
      </c>
      <c r="B64" s="39" t="inlineStr">
        <is>
          <t>Actual Render restart persistence</t>
        </is>
      </c>
      <c r="C64" s="39" t="inlineStr">
        <is>
          <t>Not Run</t>
        </is>
      </c>
      <c r="D64" s="39" t="inlineStr">
        <is>
          <t>Render/Neon</t>
        </is>
      </c>
      <c r="E64" s="39" t="inlineStr">
        <is>
          <t>Not performed because this task is restricted to V4 local first.</t>
        </is>
      </c>
      <c r="F64" s="39" t="inlineStr">
        <is>
          <t>Run after deployment approval and before student distribution.</t>
        </is>
      </c>
    </row>
    <row r="65" ht="30" customHeight="1" s="78">
      <c r="A65" s="39" t="inlineStr">
        <is>
          <t>V4-SQA-053</t>
        </is>
      </c>
      <c r="B65" s="39" t="inlineStr">
        <is>
          <t>Clean browser and keyboard critical path</t>
        </is>
      </c>
      <c r="C65" s="39" t="inlineStr">
        <is>
          <t>Pass</t>
        </is>
      </c>
      <c r="D65" s="39" t="inlineStr">
        <is>
          <t>Local in-app browser</t>
        </is>
      </c>
      <c r="E65" s="39" t="inlineStr">
        <is>
          <t>Fresh login page hid credentials; Tab/Enter login worked; Assignment 1 opened and returned All tests passed.</t>
        </is>
      </c>
      <c r="F65" s="39" t="inlineStr">
        <is>
          <t>Full WCAG keyboard matrix remains a separate audit.</t>
        </is>
      </c>
    </row>
    <row r="66" ht="30" customHeight="1" s="78">
      <c r="A66" s="39" t="inlineStr">
        <is>
          <t>V4-SQA-054</t>
        </is>
      </c>
      <c r="B66" s="39" t="inlineStr">
        <is>
          <t>Desktop and mobile-width layouts</t>
        </is>
      </c>
      <c r="C66" s="39" t="inlineStr">
        <is>
          <t>Pass</t>
        </is>
      </c>
      <c r="D66" s="39" t="inlineStr">
        <is>
          <t>Local browser/Flutter</t>
        </is>
      </c>
      <c r="E66" s="39" t="inlineStr">
        <is>
          <t>Desktop login/workspace rendered; 390x844 workspace and narrow results tests passed without overflow.</t>
        </is>
      </c>
      <c r="F66" s="39" t="inlineStr">
        <is>
          <t>No physical mobile device was used.</t>
        </is>
      </c>
    </row>
    <row r="67" ht="30" customHeight="1" s="78">
      <c r="A67" s="39" t="inlineStr">
        <is>
          <t>V4-SQA-055</t>
        </is>
      </c>
      <c r="B67" s="39" t="inlineStr">
        <is>
          <t>Another computer and network</t>
        </is>
      </c>
      <c r="C67" s="39" t="inlineStr">
        <is>
          <t>Not Run</t>
        </is>
      </c>
      <c r="D67" s="39" t="inlineStr">
        <is>
          <t>External device/network</t>
        </is>
      </c>
      <c r="E67" s="39" t="inlineStr">
        <is>
          <t>Cannot be certified from the same Windows computer and loopback-only local server.</t>
        </is>
      </c>
      <c r="F67" s="39" t="inlineStr">
        <is>
          <t>Repeat against staging/live URL from a second device/network.</t>
        </is>
      </c>
    </row>
    <row r="68" ht="30" customHeight="1" s="78">
      <c r="A68" s="39" t="inlineStr">
        <is>
          <t>V4-SQA-056</t>
        </is>
      </c>
      <c r="B68" s="39" t="inlineStr">
        <is>
          <t>Rollback rehearsal</t>
        </is>
      </c>
      <c r="C68" s="39" t="inlineStr">
        <is>
          <t>Partial</t>
        </is>
      </c>
      <c r="D68" s="39" t="inlineStr">
        <is>
          <t>Local disposable database</t>
        </is>
      </c>
      <c r="E68" s="39" t="inlineStr">
        <is>
          <t>Alembic upgrade, downgrade to base, and recovery upgrade completed successfully.</t>
        </is>
      </c>
      <c r="F68" s="39" t="inlineStr">
        <is>
          <t>Repeat with a production-like PostgreSQL backup/restore before live classroom use.</t>
        </is>
      </c>
    </row>
    <row r="69" ht="45" customHeight="1" s="78">
      <c r="A69" s="39" t="inlineStr">
        <is>
          <t>V4-SQA-057</t>
        </is>
      </c>
      <c r="B69" s="39" t="inlineStr">
        <is>
          <t>Manually editable ID/password dataset</t>
        </is>
      </c>
      <c r="C69" s="39" t="inlineStr">
        <is>
          <t>Pass</t>
        </is>
      </c>
      <c r="D69" s="39" t="inlineStr">
        <is>
          <t>Local repository/runtime</t>
        </is>
      </c>
      <c r="E69" s="39" t="inlineStr">
        <is>
          <t>Ignored study_accounts.json plus automated create, password-change, deactivation, and plaintext-scrubbing test passed.</t>
        </is>
      </c>
      <c r="F69" s="39" t="inlineStr">
        <is>
          <t>Use active=false instead of deleting study records; never commit temporary passwords.</t>
        </is>
      </c>
    </row>
    <row r="70" ht="30" customHeight="1" s="78">
      <c r="A70" s="39" t="inlineStr">
        <is>
          <t>V4-SQA-058</t>
        </is>
      </c>
      <c r="B70" s="39" t="inlineStr">
        <is>
          <t>Complete local release gate</t>
        </is>
      </c>
      <c r="C70" s="39" t="inlineStr">
        <is>
          <t>Pass</t>
        </is>
      </c>
      <c r="D70" s="39" t="inlineStr">
        <is>
          <t>Local full stack</t>
        </is>
      </c>
      <c r="E70" s="39" t="inlineStr">
        <is>
          <t>87 backend tests; pip check; compileall; Flutter analyze; 33 tests; release build; Git and health checks passed.</t>
        </is>
      </c>
      <c r="F70" s="39" t="inlineStr">
        <is>
          <t>Dependency update notices were informational and not failures.</t>
        </is>
      </c>
    </row>
    <row r="71" ht="30" customHeight="1" s="78">
      <c r="A71" s="39" t="inlineStr">
        <is>
          <t>V4-SQA-059</t>
        </is>
      </c>
      <c r="B71" s="39" t="inlineStr">
        <is>
          <t>Local classroom-readiness decision</t>
        </is>
      </c>
      <c r="C71" s="39" t="inlineStr">
        <is>
          <t>Partial</t>
        </is>
      </c>
      <c r="D71" s="39" t="inlineStr">
        <is>
          <t>Combined local evidence</t>
        </is>
      </c>
      <c r="E71" s="39" t="inlineStr">
        <is>
          <t>The local V4 candidate passes all executable gates requested on this machine.</t>
        </is>
      </c>
      <c r="F71" s="39" t="inlineStr">
        <is>
          <t>Do not promote live until Render restart, PostgreSQL rollback/restore, and second-device/network checks pass.</t>
        </is>
      </c>
    </row>
    <row r="72" ht="45" customHeight="1" s="78">
      <c r="A72" s="39" t="inlineStr">
        <is>
          <t>V4-SQA-060</t>
        </is>
      </c>
      <c r="B72" s="39" t="inlineStr">
        <is>
          <t>Manual Python answers for Assignments 1-4</t>
        </is>
      </c>
      <c r="C72" s="39" t="inlineStr">
        <is>
          <t>Pass</t>
        </is>
      </c>
      <c r="D72" s="39" t="inlineStr">
        <is>
          <t>Local API/automated</t>
        </is>
      </c>
      <c r="E72" s="39" t="inlineStr">
        <is>
          <t>Four private-repository answer files independently scored 100%; classroom tests load these files as their regression source.</t>
        </is>
      </c>
      <c r="F72" s="39" t="inlineStr">
        <is>
          <t>The application and student APIs do not serve this folder or hidden tests.</t>
        </is>
      </c>
    </row>
  </sheetData>
  <mergeCells count="3">
    <mergeCell ref="A1:F1"/>
    <mergeCell ref="B9:F9"/>
    <mergeCell ref="B5:F5"/>
  </mergeCells>
  <conditionalFormatting sqref="C40:C58">
    <cfRule type="expression" priority="1" dxfId="91" stopIfTrue="1">
      <formula>C13="Pass"</formula>
    </cfRule>
    <cfRule type="expression" priority="2" dxfId="90" stopIfTrue="1">
      <formula>C13="Partial"</formula>
    </cfRule>
    <cfRule type="expression" priority="3" dxfId="89" stopIfTrue="1">
      <formula>C13="Blocked"</formula>
    </cfRule>
    <cfRule type="expression" priority="4" dxfId="88" stopIfTrue="1">
      <formula>OR(C13="Deferred",C13="Not Run",C13="N/A")</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265272"/>
    <outlinePr summaryBelow="1" summaryRight="1"/>
    <pageSetUpPr/>
  </sheetPr>
  <dimension ref="A1:H61"/>
  <sheetViews>
    <sheetView showGridLines="0" workbookViewId="0">
      <selection activeCell="A1" sqref="A1"/>
    </sheetView>
  </sheetViews>
  <sheetFormatPr baseColWidth="8" defaultRowHeight="15"/>
  <cols>
    <col width="31.7109375" customWidth="1" style="78" min="1" max="1"/>
    <col width="14.7109375" customWidth="1" style="78" min="2" max="2"/>
    <col width="18.7109375" customWidth="1" style="78" min="3" max="3"/>
    <col width="14.7109375" customWidth="1" style="78" min="4" max="4"/>
    <col width="22.7109375" customWidth="1" style="78" min="5" max="5"/>
    <col width="16.7109375" customWidth="1" style="78" min="6" max="6"/>
    <col width="22.7109375" customWidth="1" style="78" min="7" max="7"/>
    <col width="24.7109375" customWidth="1" style="78" min="8" max="8"/>
  </cols>
  <sheetData>
    <row r="1" ht="33.95" customHeight="1" s="78">
      <c r="A1" s="90" t="inlineStr">
        <is>
          <t>Robotics Programming Lab - SQA Release Dashboard</t>
        </is>
      </c>
      <c r="B1" s="86" t="n"/>
      <c r="C1" s="86" t="n"/>
      <c r="D1" s="86" t="n"/>
      <c r="E1" s="86" t="n"/>
      <c r="F1" s="86" t="n"/>
      <c r="G1" s="86" t="n"/>
      <c r="H1" s="87" t="n"/>
    </row>
    <row r="2" ht="38.1" customHeight="1" s="78">
      <c r="A2" s="85" t="inlineStr">
        <is>
          <t>Complete the Master Checklist for every release. Attach evidence, link defects, retest fixes, and obtain sign-off before publishing.</t>
        </is>
      </c>
      <c r="B2" s="86" t="n"/>
      <c r="C2" s="86" t="n"/>
      <c r="D2" s="86" t="n"/>
      <c r="E2" s="86" t="n"/>
      <c r="F2" s="86" t="n"/>
      <c r="G2" s="86" t="n"/>
      <c r="H2" s="87" t="n"/>
    </row>
    <row r="3">
      <c r="A3" s="88" t="n"/>
      <c r="B3" s="88" t="n"/>
      <c r="C3" s="88" t="n"/>
      <c r="D3" s="88" t="n"/>
      <c r="E3" s="88" t="n"/>
      <c r="F3" s="88" t="n"/>
      <c r="G3" s="88" t="n"/>
      <c r="H3" s="88" t="n"/>
    </row>
    <row r="4" ht="40.5" customHeight="1" s="78">
      <c r="A4" s="1" t="inlineStr">
        <is>
          <t>Release / Version</t>
        </is>
      </c>
      <c r="B4" s="88" t="inlineStr">
        <is>
          <t>v4 Local Classroom-Ready Candidate</t>
        </is>
      </c>
      <c r="C4" s="1" t="inlineStr">
        <is>
          <t>Branch</t>
        </is>
      </c>
      <c r="D4" s="88" t="inlineStr">
        <is>
          <t>staging main - local only</t>
        </is>
      </c>
      <c r="E4" s="1" t="inlineStr">
        <is>
          <t>Commit</t>
        </is>
      </c>
      <c r="F4" s="88" t="inlineStr">
        <is>
          <t>Working tree - not pushed</t>
        </is>
      </c>
      <c r="G4" s="1" t="inlineStr">
        <is>
          <t>Test Date</t>
        </is>
      </c>
      <c r="H4" s="30" t="n">
        <v>46239</v>
      </c>
    </row>
    <row r="5" ht="40.5" customHeight="1" s="78">
      <c r="A5" s="1" t="inlineStr">
        <is>
          <t>SQA Owner</t>
        </is>
      </c>
      <c r="B5" s="88" t="inlineStr">
        <is>
          <t>Codex SQA</t>
        </is>
      </c>
      <c r="C5" s="1" t="inlineStr">
        <is>
          <t>Environment</t>
        </is>
      </c>
      <c r="D5" s="88" t="inlineStr">
        <is>
          <t>Local full stack + browser</t>
        </is>
      </c>
      <c r="E5" s="1" t="inlineStr">
        <is>
          <t>Backend URL</t>
        </is>
      </c>
      <c r="F5" s="88" t="inlineStr">
        <is>
          <t>http://127.0.0.1:5000</t>
        </is>
      </c>
      <c r="G5" s="1" t="inlineStr">
        <is>
          <t>Frontend Target</t>
        </is>
      </c>
      <c r="H5" s="88" t="inlineStr">
        <is>
          <t>Chrome / Flutter Web / 390x844 test</t>
        </is>
      </c>
    </row>
    <row r="6">
      <c r="A6" s="1" t="inlineStr">
        <is>
          <t>Scope Notes</t>
        </is>
      </c>
      <c r="B6" s="88" t="inlineStr">
        <is>
          <t>All executable local gates passed. Actual Render/Neon restart, production PostgreSQL rollback/restore, second-device/network test, and full accessibility audit remain open before live classroom release.</t>
        </is>
      </c>
      <c r="C6" s="86" t="n"/>
      <c r="D6" s="86" t="n"/>
      <c r="E6" s="86" t="n"/>
      <c r="F6" s="86" t="n"/>
      <c r="G6" s="86" t="n"/>
      <c r="H6" s="87" t="n"/>
    </row>
    <row r="7">
      <c r="A7" s="88" t="n"/>
      <c r="B7" s="88" t="n"/>
      <c r="C7" s="88" t="n"/>
      <c r="D7" s="88" t="n"/>
      <c r="E7" s="88" t="n"/>
      <c r="F7" s="88" t="n"/>
      <c r="G7" s="88" t="n"/>
      <c r="H7" s="88" t="n"/>
    </row>
    <row r="8">
      <c r="A8" s="89" t="inlineStr">
        <is>
          <t>Release Readiness</t>
        </is>
      </c>
      <c r="B8" s="86" t="n"/>
      <c r="C8" s="86" t="n"/>
      <c r="D8" s="86" t="n"/>
      <c r="E8" s="86" t="n"/>
      <c r="F8" s="86" t="n"/>
      <c r="G8" s="86" t="n"/>
      <c r="H8" s="87" t="n"/>
    </row>
    <row r="9" ht="33.95" customHeight="1" s="78">
      <c r="A9" s="6" t="inlineStr">
        <is>
          <t>Metric</t>
        </is>
      </c>
      <c r="B9" s="6" t="inlineStr">
        <is>
          <t>Value</t>
        </is>
      </c>
      <c r="C9" s="6" t="inlineStr">
        <is>
          <t>Metric</t>
        </is>
      </c>
      <c r="D9" s="6" t="inlineStr">
        <is>
          <t>Value</t>
        </is>
      </c>
      <c r="E9" s="6" t="inlineStr">
        <is>
          <t>Metric</t>
        </is>
      </c>
      <c r="F9" s="6" t="inlineStr">
        <is>
          <t>Value</t>
        </is>
      </c>
      <c r="G9" s="6" t="inlineStr">
        <is>
          <t>Metric</t>
        </is>
      </c>
      <c r="H9" s="6" t="inlineStr">
        <is>
          <t>Value</t>
        </is>
      </c>
    </row>
    <row r="10">
      <c r="A10" s="3" t="inlineStr">
        <is>
          <t>Total Checks</t>
        </is>
      </c>
      <c r="B10" s="88">
        <f>COUNTA('Master Checklist'!B2:B204)</f>
        <v/>
      </c>
      <c r="C10" s="3" t="inlineStr">
        <is>
          <t>Current Scope</t>
        </is>
      </c>
      <c r="D10" s="88">
        <f>COUNTIF('Master Checklist'!C2:C204,"Current")</f>
        <v/>
      </c>
      <c r="E10" s="3" t="inlineStr">
        <is>
          <t>Passed</t>
        </is>
      </c>
      <c r="F10" s="88">
        <f>COUNTIF('Master Checklist'!M2:M204,"Pass")</f>
        <v/>
      </c>
      <c r="G10" s="3" t="inlineStr">
        <is>
          <t>Failed</t>
        </is>
      </c>
      <c r="H10" s="88">
        <f>COUNTIF('Master Checklist'!M2:M204,"Fail")</f>
        <v/>
      </c>
    </row>
    <row r="11">
      <c r="A11" s="3" t="inlineStr">
        <is>
          <t>Blocked</t>
        </is>
      </c>
      <c r="B11" s="88">
        <f>COUNTIF('Master Checklist'!M2:M204,"Blocked")</f>
        <v/>
      </c>
      <c r="C11" s="3" t="inlineStr">
        <is>
          <t>Not Run</t>
        </is>
      </c>
      <c r="D11" s="88">
        <f>COUNTIF('Master Checklist'!M2:M204,"Not Run")</f>
        <v/>
      </c>
      <c r="E11" s="3" t="inlineStr">
        <is>
          <t>Deferred</t>
        </is>
      </c>
      <c r="F11" s="88">
        <f>COUNTIF('Master Checklist'!M2:M204,"Deferred")</f>
        <v/>
      </c>
      <c r="G11" s="3" t="inlineStr">
        <is>
          <t>N/A</t>
        </is>
      </c>
      <c r="H11" s="88">
        <f>COUNTIF('Master Checklist'!M2:M204,"N/A")</f>
        <v/>
      </c>
    </row>
    <row r="12" ht="27" customHeight="1" s="78">
      <c r="A12" s="3" t="inlineStr">
        <is>
          <t>Completion</t>
        </is>
      </c>
      <c r="B12" s="4">
        <f>IF(D10=0,0,(F10+H10+B11+H11)/D10)</f>
        <v/>
      </c>
      <c r="C12" s="3" t="inlineStr">
        <is>
          <t>Pass Rate</t>
        </is>
      </c>
      <c r="D12" s="4">
        <f>IF((F10+H10)=0,0,F10/(F10+H10))</f>
        <v/>
      </c>
      <c r="E12" s="3" t="inlineStr">
        <is>
          <t>Release Gate Fail/Blocked</t>
        </is>
      </c>
      <c r="F12" s="88">
        <f>COUNTIFS('Master Checklist'!I2:I204,"Release Gate",'Master Checklist'!M2:M204,"Fail")+COUNTIFS('Master Checklist'!I2:I204,"Release Gate",'Master Checklist'!M2:M204,"Blocked")</f>
        <v/>
      </c>
      <c r="G12" s="3" t="inlineStr">
        <is>
          <t>Decision</t>
        </is>
      </c>
      <c r="H12" s="5">
        <f>IF(F12&gt;0,"DO NOT RELEASE",IF(D11&gt;0,"TESTING INCOMPLETE","READY FOR SIGN-OFF"))</f>
        <v/>
      </c>
    </row>
    <row r="13">
      <c r="A13" s="88" t="n"/>
      <c r="B13" s="88" t="n"/>
      <c r="C13" s="88" t="n"/>
      <c r="D13" s="88" t="n"/>
      <c r="E13" s="88" t="n"/>
      <c r="F13" s="88" t="n"/>
      <c r="G13" s="88" t="n"/>
      <c r="H13" s="88" t="n"/>
    </row>
    <row r="14">
      <c r="A14" s="89" t="inlineStr">
        <is>
          <t>Category Coverage</t>
        </is>
      </c>
      <c r="B14" s="86" t="n"/>
      <c r="C14" s="86" t="n"/>
      <c r="D14" s="86" t="n"/>
      <c r="E14" s="86" t="n"/>
      <c r="F14" s="86" t="n"/>
      <c r="G14" s="86" t="n"/>
      <c r="H14" s="87" t="n"/>
    </row>
    <row r="15" ht="33.95" customHeight="1" s="78">
      <c r="A15" s="6" t="inlineStr">
        <is>
          <t>Category</t>
        </is>
      </c>
      <c r="B15" s="6" t="inlineStr">
        <is>
          <t>Total</t>
        </is>
      </c>
      <c r="C15" s="6" t="inlineStr">
        <is>
          <t>Pass</t>
        </is>
      </c>
      <c r="D15" s="6" t="inlineStr">
        <is>
          <t>Fail</t>
        </is>
      </c>
      <c r="E15" s="6" t="inlineStr">
        <is>
          <t>Blocked</t>
        </is>
      </c>
      <c r="F15" s="6" t="inlineStr">
        <is>
          <t>Not Run</t>
        </is>
      </c>
      <c r="G15" s="6" t="inlineStr">
        <is>
          <t>N/A</t>
        </is>
      </c>
      <c r="H15" s="6" t="inlineStr">
        <is>
          <t>Progress</t>
        </is>
      </c>
    </row>
    <row r="16">
      <c r="A16" s="88" t="inlineStr">
        <is>
          <t>Environment &amp; Startup</t>
        </is>
      </c>
      <c r="B16" s="88">
        <f>COUNTIF('Master Checklist'!D2:D204,A16)</f>
        <v/>
      </c>
      <c r="C16" s="88">
        <f>COUNTIFS('Master Checklist'!D2:D204,A16,'Master Checklist'!M2:M204,"Pass")</f>
        <v/>
      </c>
      <c r="D16" s="88">
        <f>COUNTIFS('Master Checklist'!D2:D204,A16,'Master Checklist'!M2:M204,"Fail")</f>
        <v/>
      </c>
      <c r="E16" s="88">
        <f>COUNTIFS('Master Checklist'!D2:D204,A16,'Master Checklist'!M2:M204,"Blocked")</f>
        <v/>
      </c>
      <c r="F16" s="88">
        <f>COUNTIFS('Master Checklist'!D2:D204,A16,'Master Checklist'!M2:M204,"Not Run")</f>
        <v/>
      </c>
      <c r="G16" s="88">
        <f>COUNTIFS('Master Checklist'!D2:D204,A16,'Master Checklist'!M2:M204,"N/A")</f>
        <v/>
      </c>
      <c r="H16" s="4">
        <f>IF(B16=0,0,(C16+D16+E16+G16)/B16)</f>
        <v/>
      </c>
    </row>
    <row r="17">
      <c r="A17" s="88" t="inlineStr">
        <is>
          <t>Health &amp; Public API</t>
        </is>
      </c>
      <c r="B17" s="88">
        <f>COUNTIF('Master Checklist'!D2:D204,A17)</f>
        <v/>
      </c>
      <c r="C17" s="88">
        <f>COUNTIFS('Master Checklist'!D2:D204,A17,'Master Checklist'!M2:M204,"Pass")</f>
        <v/>
      </c>
      <c r="D17" s="88">
        <f>COUNTIFS('Master Checklist'!D2:D204,A17,'Master Checklist'!M2:M204,"Fail")</f>
        <v/>
      </c>
      <c r="E17" s="88">
        <f>COUNTIFS('Master Checklist'!D2:D204,A17,'Master Checklist'!M2:M204,"Blocked")</f>
        <v/>
      </c>
      <c r="F17" s="88">
        <f>COUNTIFS('Master Checklist'!D2:D204,A17,'Master Checklist'!M2:M204,"Not Run")</f>
        <v/>
      </c>
      <c r="G17" s="88">
        <f>COUNTIFS('Master Checklist'!D2:D204,A17,'Master Checklist'!M2:M204,"N/A")</f>
        <v/>
      </c>
      <c r="H17" s="4">
        <f>IF(B17=0,0,(C17+D17+E17+G17)/B17)</f>
        <v/>
      </c>
    </row>
    <row r="18">
      <c r="A18" s="88" t="inlineStr">
        <is>
          <t>Student Catalog &amp; Navigation</t>
        </is>
      </c>
      <c r="B18" s="88">
        <f>COUNTIF('Master Checklist'!D2:D204,A18)</f>
        <v/>
      </c>
      <c r="C18" s="88">
        <f>COUNTIFS('Master Checklist'!D2:D204,A18,'Master Checklist'!M2:M204,"Pass")</f>
        <v/>
      </c>
      <c r="D18" s="88">
        <f>COUNTIFS('Master Checklist'!D2:D204,A18,'Master Checklist'!M2:M204,"Fail")</f>
        <v/>
      </c>
      <c r="E18" s="88">
        <f>COUNTIFS('Master Checklist'!D2:D204,A18,'Master Checklist'!M2:M204,"Blocked")</f>
        <v/>
      </c>
      <c r="F18" s="88">
        <f>COUNTIFS('Master Checklist'!D2:D204,A18,'Master Checklist'!M2:M204,"Not Run")</f>
        <v/>
      </c>
      <c r="G18" s="88">
        <f>COUNTIFS('Master Checklist'!D2:D204,A18,'Master Checklist'!M2:M204,"N/A")</f>
        <v/>
      </c>
      <c r="H18" s="4">
        <f>IF(B18=0,0,(C18+D18+E18+G18)/B18)</f>
        <v/>
      </c>
    </row>
    <row r="19">
      <c r="A19" s="88" t="inlineStr">
        <is>
          <t>Assignment Workspace &amp; Editor</t>
        </is>
      </c>
      <c r="B19" s="88">
        <f>COUNTIF('Master Checklist'!D2:D204,A19)</f>
        <v/>
      </c>
      <c r="C19" s="88">
        <f>COUNTIFS('Master Checklist'!D2:D204,A19,'Master Checklist'!M2:M204,"Pass")</f>
        <v/>
      </c>
      <c r="D19" s="88">
        <f>COUNTIFS('Master Checklist'!D2:D204,A19,'Master Checklist'!M2:M204,"Fail")</f>
        <v/>
      </c>
      <c r="E19" s="88">
        <f>COUNTIFS('Master Checklist'!D2:D204,A19,'Master Checklist'!M2:M204,"Blocked")</f>
        <v/>
      </c>
      <c r="F19" s="88">
        <f>COUNTIFS('Master Checklist'!D2:D204,A19,'Master Checklist'!M2:M204,"Not Run")</f>
        <v/>
      </c>
      <c r="G19" s="88">
        <f>COUNTIFS('Master Checklist'!D2:D204,A19,'Master Checklist'!M2:M204,"N/A")</f>
        <v/>
      </c>
      <c r="H19" s="4">
        <f>IF(B19=0,0,(C19+D19+E19+G19)/B19)</f>
        <v/>
      </c>
    </row>
    <row r="20">
      <c r="A20" s="88" t="inlineStr">
        <is>
          <t>Grading &amp; Execution</t>
        </is>
      </c>
      <c r="B20" s="88">
        <f>COUNTIF('Master Checklist'!D2:D204,A20)</f>
        <v/>
      </c>
      <c r="C20" s="88">
        <f>COUNTIFS('Master Checklist'!D2:D204,A20,'Master Checklist'!M2:M204,"Pass")</f>
        <v/>
      </c>
      <c r="D20" s="88">
        <f>COUNTIFS('Master Checklist'!D2:D204,A20,'Master Checklist'!M2:M204,"Fail")</f>
        <v/>
      </c>
      <c r="E20" s="88">
        <f>COUNTIFS('Master Checklist'!D2:D204,A20,'Master Checklist'!M2:M204,"Blocked")</f>
        <v/>
      </c>
      <c r="F20" s="88">
        <f>COUNTIFS('Master Checklist'!D2:D204,A20,'Master Checklist'!M2:M204,"Not Run")</f>
        <v/>
      </c>
      <c r="G20" s="88">
        <f>COUNTIFS('Master Checklist'!D2:D204,A20,'Master Checklist'!M2:M204,"N/A")</f>
        <v/>
      </c>
      <c r="H20" s="4">
        <f>IF(B20=0,0,(C20+D20+E20+G20)/B20)</f>
        <v/>
      </c>
    </row>
    <row r="21">
      <c r="A21" s="88" t="inlineStr">
        <is>
          <t>Sandbox, Security &amp; Privacy</t>
        </is>
      </c>
      <c r="B21" s="88">
        <f>COUNTIF('Master Checklist'!D2:D204,A21)</f>
        <v/>
      </c>
      <c r="C21" s="88">
        <f>COUNTIFS('Master Checklist'!D2:D204,A21,'Master Checklist'!M2:M204,"Pass")</f>
        <v/>
      </c>
      <c r="D21" s="88">
        <f>COUNTIFS('Master Checklist'!D2:D204,A21,'Master Checklist'!M2:M204,"Fail")</f>
        <v/>
      </c>
      <c r="E21" s="88">
        <f>COUNTIFS('Master Checklist'!D2:D204,A21,'Master Checklist'!M2:M204,"Blocked")</f>
        <v/>
      </c>
      <c r="F21" s="88">
        <f>COUNTIFS('Master Checklist'!D2:D204,A21,'Master Checklist'!M2:M204,"Not Run")</f>
        <v/>
      </c>
      <c r="G21" s="88">
        <f>COUNTIFS('Master Checklist'!D2:D204,A21,'Master Checklist'!M2:M204,"N/A")</f>
        <v/>
      </c>
      <c r="H21" s="4">
        <f>IF(B21=0,0,(C21+D21+E21+G21)/B21)</f>
        <v/>
      </c>
    </row>
    <row r="22">
      <c r="A22" s="88" t="inlineStr">
        <is>
          <t>Feedback &amp; Tutoring</t>
        </is>
      </c>
      <c r="B22" s="88">
        <f>COUNTIF('Master Checklist'!D2:D204,A22)</f>
        <v/>
      </c>
      <c r="C22" s="88">
        <f>COUNTIFS('Master Checklist'!D2:D204,A22,'Master Checklist'!M2:M204,"Pass")</f>
        <v/>
      </c>
      <c r="D22" s="88">
        <f>COUNTIFS('Master Checklist'!D2:D204,A22,'Master Checklist'!M2:M204,"Fail")</f>
        <v/>
      </c>
      <c r="E22" s="88">
        <f>COUNTIFS('Master Checklist'!D2:D204,A22,'Master Checklist'!M2:M204,"Blocked")</f>
        <v/>
      </c>
      <c r="F22" s="88">
        <f>COUNTIFS('Master Checklist'!D2:D204,A22,'Master Checklist'!M2:M204,"Not Run")</f>
        <v/>
      </c>
      <c r="G22" s="88">
        <f>COUNTIFS('Master Checklist'!D2:D204,A22,'Master Checklist'!M2:M204,"N/A")</f>
        <v/>
      </c>
      <c r="H22" s="4">
        <f>IF(B22=0,0,(C22+D22+E22+G22)/B22)</f>
        <v/>
      </c>
    </row>
    <row r="23">
      <c r="A23" s="88" t="inlineStr">
        <is>
          <t>Solutions &amp; Learning Progress</t>
        </is>
      </c>
      <c r="B23" s="88">
        <f>COUNTIF('Master Checklist'!D2:D204,A23)</f>
        <v/>
      </c>
      <c r="C23" s="88">
        <f>COUNTIFS('Master Checklist'!D2:D204,A23,'Master Checklist'!M2:M204,"Pass")</f>
        <v/>
      </c>
      <c r="D23" s="88">
        <f>COUNTIFS('Master Checklist'!D2:D204,A23,'Master Checklist'!M2:M204,"Fail")</f>
        <v/>
      </c>
      <c r="E23" s="88">
        <f>COUNTIFS('Master Checklist'!D2:D204,A23,'Master Checklist'!M2:M204,"Blocked")</f>
        <v/>
      </c>
      <c r="F23" s="88">
        <f>COUNTIFS('Master Checklist'!D2:D204,A23,'Master Checklist'!M2:M204,"Not Run")</f>
        <v/>
      </c>
      <c r="G23" s="88">
        <f>COUNTIFS('Master Checklist'!D2:D204,A23,'Master Checklist'!M2:M204,"N/A")</f>
        <v/>
      </c>
      <c r="H23" s="4">
        <f>IF(B23=0,0,(C23+D23+E23+G23)/B23)</f>
        <v/>
      </c>
    </row>
    <row r="24">
      <c r="A24" s="88" t="inlineStr">
        <is>
          <t>Instructor Assignment Studio</t>
        </is>
      </c>
      <c r="B24" s="88">
        <f>COUNTIF('Master Checklist'!D2:D204,A24)</f>
        <v/>
      </c>
      <c r="C24" s="88">
        <f>COUNTIFS('Master Checklist'!D2:D204,A24,'Master Checklist'!M2:M204,"Pass")</f>
        <v/>
      </c>
      <c r="D24" s="88">
        <f>COUNTIFS('Master Checklist'!D2:D204,A24,'Master Checklist'!M2:M204,"Fail")</f>
        <v/>
      </c>
      <c r="E24" s="88">
        <f>COUNTIFS('Master Checklist'!D2:D204,A24,'Master Checklist'!M2:M204,"Blocked")</f>
        <v/>
      </c>
      <c r="F24" s="88">
        <f>COUNTIFS('Master Checklist'!D2:D204,A24,'Master Checklist'!M2:M204,"Not Run")</f>
        <v/>
      </c>
      <c r="G24" s="88">
        <f>COUNTIFS('Master Checklist'!D2:D204,A24,'Master Checklist'!M2:M204,"N/A")</f>
        <v/>
      </c>
      <c r="H24" s="4">
        <f>IF(B24=0,0,(C24+D24+E24+G24)/B24)</f>
        <v/>
      </c>
    </row>
    <row r="25" ht="27" customHeight="1" s="78">
      <c r="A25" s="28" t="inlineStr">
        <is>
          <t>Authentication &amp; Account Management</t>
        </is>
      </c>
      <c r="B25" s="88">
        <f>COUNTIF('Master Checklist'!D2:D204,A25)</f>
        <v/>
      </c>
      <c r="C25" s="88">
        <f>COUNTIFS('Master Checklist'!D2:D204,A25,'Master Checklist'!M2:M204,"Pass")</f>
        <v/>
      </c>
      <c r="D25" s="88">
        <f>COUNTIFS('Master Checklist'!D2:D204,A25,'Master Checklist'!M2:M204,"Fail")</f>
        <v/>
      </c>
      <c r="E25" s="88">
        <f>COUNTIFS('Master Checklist'!D2:D204,A25,'Master Checklist'!M2:M204,"Blocked")</f>
        <v/>
      </c>
      <c r="F25" s="88">
        <f>COUNTIFS('Master Checklist'!D2:D204,A25,'Master Checklist'!M2:M204,"Not Run")</f>
        <v/>
      </c>
      <c r="G25" s="88">
        <f>COUNTIFS('Master Checklist'!D2:D204,A25,'Master Checklist'!M2:M204,"N/A")</f>
        <v/>
      </c>
      <c r="H25" s="29">
        <f>IF(B25=0,0,(C25+D25+E25+G25)/B25)</f>
        <v/>
      </c>
    </row>
    <row r="26">
      <c r="A26" s="88" t="inlineStr">
        <is>
          <t>Assignment Content &amp; Pedagogy</t>
        </is>
      </c>
      <c r="B26" s="88">
        <f>COUNTIF('Master Checklist'!D2:D204,A26)</f>
        <v/>
      </c>
      <c r="C26" s="88">
        <f>COUNTIFS('Master Checklist'!D2:D204,A26,'Master Checklist'!M2:M204,"Pass")</f>
        <v/>
      </c>
      <c r="D26" s="88">
        <f>COUNTIFS('Master Checklist'!D2:D204,A26,'Master Checklist'!M2:M204,"Fail")</f>
        <v/>
      </c>
      <c r="E26" s="88">
        <f>COUNTIFS('Master Checklist'!D2:D204,A26,'Master Checklist'!M2:M204,"Blocked")</f>
        <v/>
      </c>
      <c r="F26" s="88">
        <f>COUNTIFS('Master Checklist'!D2:D204,A26,'Master Checklist'!M2:M204,"Not Run")</f>
        <v/>
      </c>
      <c r="G26" s="88">
        <f>COUNTIFS('Master Checklist'!D2:D204,A26,'Master Checklist'!M2:M204,"N/A")</f>
        <v/>
      </c>
      <c r="H26" s="4">
        <f>IF(B26=0,0,(C26+D26+E26+G26)/B26)</f>
        <v/>
      </c>
    </row>
    <row r="27">
      <c r="A27" s="88" t="inlineStr">
        <is>
          <t>Responsive, Accessibility &amp; Usability</t>
        </is>
      </c>
      <c r="B27" s="88">
        <f>COUNTIF('Master Checklist'!D2:D204,A27)</f>
        <v/>
      </c>
      <c r="C27" s="88">
        <f>COUNTIFS('Master Checklist'!D2:D204,A27,'Master Checklist'!M2:M204,"Pass")</f>
        <v/>
      </c>
      <c r="D27" s="88">
        <f>COUNTIFS('Master Checklist'!D2:D204,A27,'Master Checklist'!M2:M204,"Fail")</f>
        <v/>
      </c>
      <c r="E27" s="88">
        <f>COUNTIFS('Master Checklist'!D2:D204,A27,'Master Checklist'!M2:M204,"Blocked")</f>
        <v/>
      </c>
      <c r="F27" s="88">
        <f>COUNTIFS('Master Checklist'!D2:D204,A27,'Master Checklist'!M2:M204,"Not Run")</f>
        <v/>
      </c>
      <c r="G27" s="88">
        <f>COUNTIFS('Master Checklist'!D2:D204,A27,'Master Checklist'!M2:M204,"N/A")</f>
        <v/>
      </c>
      <c r="H27" s="4">
        <f>IF(B27=0,0,(C27+D27+E27+G27)/B27)</f>
        <v/>
      </c>
    </row>
    <row r="28">
      <c r="A28" s="88" t="inlineStr">
        <is>
          <t>Data, Infrastructure &amp; Deployment</t>
        </is>
      </c>
      <c r="B28" s="88">
        <f>COUNTIF('Master Checklist'!D2:D204,A28)</f>
        <v/>
      </c>
      <c r="C28" s="88">
        <f>COUNTIFS('Master Checklist'!D2:D204,A28,'Master Checklist'!M2:M204,"Pass")</f>
        <v/>
      </c>
      <c r="D28" s="88">
        <f>COUNTIFS('Master Checklist'!D2:D204,A28,'Master Checklist'!M2:M204,"Fail")</f>
        <v/>
      </c>
      <c r="E28" s="88">
        <f>COUNTIFS('Master Checklist'!D2:D204,A28,'Master Checklist'!M2:M204,"Blocked")</f>
        <v/>
      </c>
      <c r="F28" s="88">
        <f>COUNTIFS('Master Checklist'!D2:D204,A28,'Master Checklist'!M2:M204,"Not Run")</f>
        <v/>
      </c>
      <c r="G28" s="88">
        <f>COUNTIFS('Master Checklist'!D2:D204,A28,'Master Checklist'!M2:M204,"N/A")</f>
        <v/>
      </c>
      <c r="H28" s="4">
        <f>IF(B28=0,0,(C28+D28+E28+G28)/B28)</f>
        <v/>
      </c>
    </row>
    <row r="29">
      <c r="A29" s="88" t="inlineStr">
        <is>
          <t>Automated Quality &amp; Release</t>
        </is>
      </c>
      <c r="B29" s="88">
        <f>COUNTIF('Master Checklist'!D2:D204,A29)</f>
        <v/>
      </c>
      <c r="C29" s="88">
        <f>COUNTIFS('Master Checklist'!D2:D204,A29,'Master Checklist'!M2:M204,"Pass")</f>
        <v/>
      </c>
      <c r="D29" s="88">
        <f>COUNTIFS('Master Checklist'!D2:D204,A29,'Master Checklist'!M2:M204,"Fail")</f>
        <v/>
      </c>
      <c r="E29" s="88">
        <f>COUNTIFS('Master Checklist'!D2:D204,A29,'Master Checklist'!M2:M204,"Blocked")</f>
        <v/>
      </c>
      <c r="F29" s="88">
        <f>COUNTIFS('Master Checklist'!D2:D204,A29,'Master Checklist'!M2:M204,"Not Run")</f>
        <v/>
      </c>
      <c r="G29" s="88">
        <f>COUNTIFS('Master Checklist'!D2:D204,A29,'Master Checklist'!M2:M204,"N/A")</f>
        <v/>
      </c>
      <c r="H29" s="4">
        <f>IF(B29=0,0,(C29+D29+E29+G29)/B29)</f>
        <v/>
      </c>
    </row>
    <row r="30">
      <c r="A30" s="88" t="n"/>
      <c r="B30" s="88" t="n"/>
      <c r="C30" s="88" t="n"/>
      <c r="D30" s="88" t="n"/>
      <c r="E30" s="88" t="n"/>
      <c r="F30" s="88" t="n"/>
      <c r="G30" s="88" t="n"/>
      <c r="H30" s="88" t="n"/>
    </row>
    <row r="31">
      <c r="A31" s="88" t="n"/>
      <c r="B31" s="88" t="n"/>
      <c r="C31" s="88" t="n"/>
      <c r="D31" s="88" t="n"/>
      <c r="E31" s="88" t="n"/>
      <c r="F31" s="88" t="n"/>
      <c r="G31" s="88" t="n"/>
      <c r="H31" s="88" t="n"/>
    </row>
    <row r="32">
      <c r="A32" s="91" t="inlineStr">
        <is>
          <t>Open product/architecture plan</t>
        </is>
      </c>
      <c r="B32" s="92" t="n"/>
      <c r="C32" s="92" t="n"/>
      <c r="D32" s="92" t="n"/>
      <c r="E32" s="92" t="n"/>
      <c r="F32" s="92" t="n"/>
      <c r="G32" s="92" t="n"/>
      <c r="H32" s="93" t="n"/>
    </row>
    <row r="33">
      <c r="A33" s="94" t="n"/>
      <c r="B33" s="95" t="n"/>
      <c r="C33" s="95" t="n"/>
      <c r="D33" s="95" t="n"/>
      <c r="E33" s="95" t="n"/>
      <c r="F33" s="95" t="n"/>
      <c r="G33" s="95" t="n"/>
      <c r="H33" s="96" t="n"/>
    </row>
    <row r="34">
      <c r="A34" s="88" t="n"/>
      <c r="B34" s="88" t="n"/>
      <c r="C34" s="88" t="n"/>
      <c r="D34" s="88" t="n"/>
      <c r="E34" s="88" t="n"/>
      <c r="F34" s="88" t="n"/>
      <c r="G34" s="88" t="n"/>
      <c r="H34" s="88" t="n"/>
    </row>
    <row r="35">
      <c r="A35" s="88" t="n"/>
      <c r="B35" s="88" t="n"/>
      <c r="C35" s="88" t="n"/>
      <c r="D35" s="88" t="n"/>
      <c r="E35" s="88" t="n"/>
      <c r="F35" s="88" t="n"/>
      <c r="G35" s="88" t="n"/>
      <c r="H35" s="88" t="n"/>
    </row>
    <row r="36">
      <c r="A36" s="88" t="n"/>
      <c r="B36" s="88" t="n"/>
      <c r="C36" s="88" t="n"/>
      <c r="D36" s="88" t="n"/>
      <c r="E36" s="88" t="n"/>
      <c r="F36" s="88" t="n"/>
      <c r="G36" s="88" t="n"/>
      <c r="H36" s="88" t="n"/>
    </row>
    <row r="37">
      <c r="A37" s="88" t="n"/>
      <c r="B37" s="88" t="n"/>
      <c r="C37" s="88" t="n"/>
      <c r="D37" s="88" t="n"/>
      <c r="E37" s="88" t="n"/>
      <c r="F37" s="88" t="n"/>
      <c r="G37" s="88" t="n"/>
      <c r="H37" s="88" t="n"/>
    </row>
    <row r="38">
      <c r="A38" s="88" t="n"/>
      <c r="B38" s="88" t="n"/>
      <c r="C38" s="88" t="n"/>
      <c r="D38" s="88" t="n"/>
      <c r="E38" s="88" t="n"/>
      <c r="F38" s="88" t="n"/>
      <c r="G38" s="88" t="n"/>
      <c r="H38" s="88" t="n"/>
    </row>
    <row r="39">
      <c r="A39" s="88" t="n"/>
      <c r="B39" s="88" t="n"/>
      <c r="C39" s="88" t="n"/>
      <c r="D39" s="88" t="n"/>
      <c r="E39" s="88" t="n"/>
      <c r="F39" s="88" t="n"/>
      <c r="G39" s="88" t="n"/>
      <c r="H39" s="88" t="n"/>
    </row>
    <row r="40">
      <c r="A40" s="88" t="n"/>
      <c r="B40" s="88" t="n"/>
      <c r="C40" s="88" t="n"/>
      <c r="D40" s="88" t="n"/>
      <c r="E40" s="88" t="n"/>
      <c r="F40" s="88" t="n"/>
      <c r="G40" s="88" t="n"/>
      <c r="H40" s="88" t="n"/>
    </row>
    <row r="41">
      <c r="A41" s="88" t="n"/>
      <c r="B41" s="88" t="n"/>
      <c r="C41" s="88" t="n"/>
      <c r="D41" s="88" t="n"/>
      <c r="E41" s="88" t="n"/>
      <c r="F41" s="88" t="n"/>
      <c r="G41" s="88" t="n"/>
      <c r="H41" s="88" t="n"/>
    </row>
    <row r="42">
      <c r="A42" s="88" t="n"/>
      <c r="B42" s="88" t="n"/>
      <c r="C42" s="88" t="n"/>
      <c r="D42" s="88" t="n"/>
      <c r="E42" s="88" t="n"/>
      <c r="F42" s="88" t="n"/>
      <c r="G42" s="88" t="n"/>
      <c r="H42" s="88" t="n"/>
    </row>
    <row r="43">
      <c r="A43" s="88" t="n"/>
      <c r="B43" s="88" t="n"/>
      <c r="C43" s="88" t="n"/>
      <c r="D43" s="88" t="n"/>
      <c r="E43" s="88" t="n"/>
      <c r="F43" s="88" t="n"/>
      <c r="G43" s="88" t="n"/>
      <c r="H43" s="88" t="n"/>
    </row>
    <row r="44">
      <c r="A44" s="88" t="n"/>
      <c r="B44" s="88" t="n"/>
      <c r="C44" s="88" t="n"/>
      <c r="D44" s="88" t="n"/>
      <c r="E44" s="88" t="n"/>
      <c r="F44" s="88" t="n"/>
      <c r="G44" s="88" t="n"/>
      <c r="H44" s="88" t="n"/>
    </row>
    <row r="45">
      <c r="A45" s="88" t="n"/>
      <c r="B45" s="88" t="n"/>
      <c r="C45" s="88" t="n"/>
      <c r="D45" s="88" t="n"/>
      <c r="E45" s="88" t="n"/>
      <c r="F45" s="88" t="n"/>
      <c r="G45" s="88" t="n"/>
      <c r="H45" s="88" t="n"/>
    </row>
    <row r="46">
      <c r="A46" s="88" t="n"/>
      <c r="B46" s="88" t="n"/>
      <c r="C46" s="88" t="n"/>
      <c r="D46" s="88" t="n"/>
      <c r="E46" s="88" t="n"/>
      <c r="F46" s="88" t="n"/>
      <c r="G46" s="88" t="n"/>
      <c r="H46" s="88" t="n"/>
    </row>
    <row r="47">
      <c r="A47" s="88" t="n"/>
      <c r="B47" s="88" t="n"/>
      <c r="C47" s="88" t="n"/>
      <c r="D47" s="88" t="n"/>
      <c r="E47" s="88" t="n"/>
      <c r="F47" s="88" t="n"/>
      <c r="G47" s="88" t="n"/>
      <c r="H47" s="88" t="n"/>
    </row>
    <row r="48">
      <c r="A48" s="88" t="n"/>
      <c r="B48" s="88" t="n"/>
      <c r="C48" s="88" t="n"/>
      <c r="D48" s="88" t="n"/>
      <c r="E48" s="88" t="n"/>
      <c r="F48" s="88" t="n"/>
      <c r="G48" s="88" t="n"/>
      <c r="H48" s="88" t="n"/>
    </row>
    <row r="49">
      <c r="A49" s="88" t="n"/>
      <c r="B49" s="88" t="n"/>
      <c r="C49" s="88" t="n"/>
      <c r="D49" s="88" t="n"/>
      <c r="E49" s="88" t="n"/>
      <c r="F49" s="88" t="n"/>
      <c r="G49" s="88" t="n"/>
      <c r="H49" s="88" t="n"/>
    </row>
    <row r="50">
      <c r="A50" s="88" t="n"/>
      <c r="B50" s="88" t="n"/>
      <c r="C50" s="88" t="n"/>
      <c r="D50" s="88" t="n"/>
      <c r="E50" s="88" t="n"/>
      <c r="F50" s="88" t="n"/>
      <c r="G50" s="88" t="n"/>
      <c r="H50" s="88" t="n"/>
    </row>
    <row r="51">
      <c r="A51" s="88" t="n"/>
      <c r="B51" s="88" t="n"/>
      <c r="C51" s="88" t="n"/>
      <c r="D51" s="88" t="n"/>
      <c r="E51" s="88" t="n"/>
      <c r="F51" s="88" t="n"/>
      <c r="G51" s="88" t="n"/>
      <c r="H51" s="88" t="n"/>
    </row>
    <row r="52">
      <c r="A52" s="88" t="n"/>
      <c r="B52" s="88" t="n"/>
      <c r="C52" s="88" t="n"/>
      <c r="D52" s="88" t="n"/>
      <c r="E52" s="88" t="n"/>
      <c r="F52" s="88" t="n"/>
      <c r="G52" s="88" t="n"/>
      <c r="H52" s="88" t="n"/>
    </row>
    <row r="53">
      <c r="A53" s="88" t="n"/>
      <c r="B53" s="88" t="n"/>
      <c r="C53" s="88" t="n"/>
      <c r="D53" s="88" t="n"/>
      <c r="E53" s="88" t="n"/>
      <c r="F53" s="88" t="n"/>
      <c r="G53" s="88" t="n"/>
      <c r="H53" s="88" t="n"/>
    </row>
    <row r="54">
      <c r="A54" s="88" t="n"/>
      <c r="B54" s="88" t="n"/>
      <c r="C54" s="88" t="n"/>
      <c r="D54" s="88" t="n"/>
      <c r="E54" s="88" t="n"/>
      <c r="F54" s="88" t="n"/>
      <c r="G54" s="88" t="n"/>
      <c r="H54" s="88" t="n"/>
    </row>
    <row r="55">
      <c r="A55" s="88" t="n"/>
      <c r="B55" s="88" t="n"/>
      <c r="C55" s="88" t="n"/>
      <c r="D55" s="88" t="n"/>
      <c r="E55" s="88" t="n"/>
      <c r="F55" s="88" t="n"/>
      <c r="G55" s="88" t="n"/>
      <c r="H55" s="88" t="n"/>
    </row>
    <row r="56">
      <c r="A56" s="88" t="n"/>
      <c r="B56" s="88" t="n"/>
      <c r="C56" s="88" t="n"/>
      <c r="D56" s="88" t="n"/>
      <c r="E56" s="88" t="n"/>
      <c r="F56" s="88" t="n"/>
      <c r="G56" s="88" t="n"/>
      <c r="H56" s="88" t="n"/>
    </row>
    <row r="57">
      <c r="A57" s="88" t="n"/>
      <c r="B57" s="88" t="n"/>
      <c r="C57" s="88" t="n"/>
      <c r="D57" s="88" t="n"/>
      <c r="E57" s="88" t="n"/>
      <c r="F57" s="88" t="n"/>
      <c r="G57" s="88" t="n"/>
      <c r="H57" s="88" t="n"/>
    </row>
    <row r="58">
      <c r="A58" s="88" t="n"/>
      <c r="B58" s="88" t="n"/>
      <c r="C58" s="88" t="n"/>
      <c r="D58" s="88" t="n"/>
      <c r="E58" s="88" t="n"/>
      <c r="F58" s="88" t="n"/>
      <c r="G58" s="88" t="n"/>
      <c r="H58" s="88" t="n"/>
    </row>
    <row r="59">
      <c r="A59" s="88" t="n"/>
      <c r="B59" s="88" t="n"/>
      <c r="C59" s="88" t="n"/>
      <c r="D59" s="88" t="n"/>
      <c r="E59" s="88" t="n"/>
      <c r="F59" s="88" t="n"/>
      <c r="G59" s="88" t="n"/>
      <c r="H59" s="88" t="n"/>
    </row>
    <row r="60">
      <c r="A60" s="88" t="n"/>
      <c r="B60" s="88" t="n"/>
      <c r="C60" s="88" t="n"/>
      <c r="D60" s="88" t="n"/>
      <c r="E60" s="88" t="n"/>
      <c r="F60" s="88" t="n"/>
      <c r="G60" s="88" t="n"/>
      <c r="H60" s="88" t="n"/>
    </row>
    <row r="61">
      <c r="A61" s="88" t="n"/>
      <c r="B61" s="88" t="n"/>
      <c r="C61" s="88" t="n"/>
      <c r="D61" s="88" t="n"/>
      <c r="E61" s="88" t="n"/>
      <c r="F61" s="88" t="n"/>
      <c r="G61" s="88" t="n"/>
      <c r="H61" s="88" t="n"/>
    </row>
  </sheetData>
  <mergeCells count="6">
    <mergeCell ref="A2:H2"/>
    <mergeCell ref="B6:H6"/>
    <mergeCell ref="A14:H14"/>
    <mergeCell ref="A1:H1"/>
    <mergeCell ref="A8:H8"/>
    <mergeCell ref="A32:H33"/>
  </mergeCells>
  <conditionalFormatting sqref="H12">
    <cfRule type="cellIs" priority="1" operator="equal" dxfId="5" stopIfTrue="1">
      <formula>"Pass"</formula>
    </cfRule>
    <cfRule type="cellIs" priority="2" operator="equal" dxfId="4" stopIfTrue="1">
      <formula>"Fail"</formula>
    </cfRule>
    <cfRule type="cellIs" priority="3" operator="equal" dxfId="3" stopIfTrue="1">
      <formula>"Blocked"</formula>
    </cfRule>
    <cfRule type="cellIs" priority="4" operator="equal" dxfId="2" stopIfTrue="1">
      <formula>"Not Run"</formula>
    </cfRule>
    <cfRule type="cellIs" priority="5" operator="equal" dxfId="1" stopIfTrue="1">
      <formula>"Deferred"</formula>
    </cfRule>
    <cfRule type="cellIs" priority="6" operator="equal" dxfId="0" stopIfTrue="1">
      <formula>"N/A"</formula>
    </cfRule>
  </conditionalFormatting>
  <hyperlinks>
    <hyperlink xmlns:r="http://schemas.openxmlformats.org/officeDocument/2006/relationships" ref="A32" r:id="rId1"/>
  </hyperlinks>
  <pageMargins left="0.7" right="0.7" top="0.75" bottom="0.75" header="0.3" footer="0.3"/>
  <tableParts count="1">
    <tablePart xmlns:r="http://schemas.openxmlformats.org/officeDocument/2006/relationships" r:id="rId2"/>
  </tableParts>
</worksheet>
</file>

<file path=xl/worksheets/sheet3.xml><?xml version="1.0" encoding="utf-8"?>
<worksheet xmlns="http://schemas.openxmlformats.org/spreadsheetml/2006/main">
  <sheetPr>
    <tabColor rgb="FF265272"/>
    <outlinePr summaryBelow="1" summaryRight="1"/>
    <pageSetUpPr/>
  </sheetPr>
  <dimension ref="A1:S204"/>
  <sheetViews>
    <sheetView showGridLines="0" workbookViewId="0">
      <selection activeCell="A1" sqref="A1"/>
    </sheetView>
  </sheetViews>
  <sheetFormatPr baseColWidth="8" defaultRowHeight="15"/>
  <cols>
    <col width="12.140625" customWidth="1" style="78" min="1" max="1"/>
    <col width="12.7109375" customWidth="1" style="78" min="2" max="2"/>
    <col width="10.7109375" customWidth="1" style="78" min="3" max="3"/>
    <col width="28.7109375" customWidth="1" style="78" min="4" max="4"/>
    <col width="38.7109375" customWidth="1" style="78" min="5" max="5"/>
    <col width="34.7109375" customWidth="1" style="78" min="6" max="6"/>
    <col width="50.7109375" customWidth="1" style="78" min="7" max="7"/>
    <col width="48.7109375" customWidth="1" style="78" min="8" max="8"/>
    <col width="14.7109375" customWidth="1" style="78" min="9" max="9"/>
    <col width="18.7109375" customWidth="1" style="78" min="10" max="11"/>
    <col width="14" customWidth="1" style="78" min="12" max="12"/>
    <col width="13.7109375" customWidth="1" style="78" min="13" max="14"/>
    <col width="42.7109375" customWidth="1" style="78" min="15" max="15"/>
    <col width="18.7109375" customWidth="1" style="78" min="16" max="16"/>
    <col width="13.7109375" customWidth="1" style="78" min="17" max="17"/>
    <col width="16.7109375" customWidth="1" style="78" min="18" max="18"/>
    <col width="32.7109375" customWidth="1" style="78" min="19" max="19"/>
  </cols>
  <sheetData>
    <row r="1" ht="33.95" customHeight="1" s="78">
      <c r="A1" s="15" t="inlineStr">
        <is>
          <t>Checked?</t>
        </is>
      </c>
      <c r="B1" s="11" t="inlineStr">
        <is>
          <t>Check ID</t>
        </is>
      </c>
      <c r="C1" s="11" t="inlineStr">
        <is>
          <t>Scope</t>
        </is>
      </c>
      <c r="D1" s="11" t="inlineStr">
        <is>
          <t>Category</t>
        </is>
      </c>
      <c r="E1" s="11" t="inlineStr">
        <is>
          <t>Feature / Requirement</t>
        </is>
      </c>
      <c r="F1" s="11" t="inlineStr">
        <is>
          <t>Preconditions</t>
        </is>
      </c>
      <c r="G1" s="11" t="inlineStr">
        <is>
          <t>Test Steps</t>
        </is>
      </c>
      <c r="H1" s="11" t="inlineStr">
        <is>
          <t>Expected Result</t>
        </is>
      </c>
      <c r="I1" s="11" t="inlineStr">
        <is>
          <t>Priority</t>
        </is>
      </c>
      <c r="J1" s="11" t="inlineStr">
        <is>
          <t>Test Type</t>
        </is>
      </c>
      <c r="K1" s="11" t="inlineStr">
        <is>
          <t>Platform</t>
        </is>
      </c>
      <c r="L1" s="11" t="inlineStr">
        <is>
          <t>Automated?</t>
        </is>
      </c>
      <c r="M1" s="11" t="inlineStr">
        <is>
          <t>Status</t>
        </is>
      </c>
      <c r="N1" s="11" t="inlineStr">
        <is>
          <t>Defect ID</t>
        </is>
      </c>
      <c r="O1" s="11" t="inlineStr">
        <is>
          <t>Actual Result / Evidence</t>
        </is>
      </c>
      <c r="P1" s="11" t="inlineStr">
        <is>
          <t>Tester</t>
        </is>
      </c>
      <c r="Q1" s="11" t="inlineStr">
        <is>
          <t>Test Date</t>
        </is>
      </c>
      <c r="R1" s="11" t="inlineStr">
        <is>
          <t>Retest Status</t>
        </is>
      </c>
      <c r="S1" s="18" t="inlineStr">
        <is>
          <t>Notes</t>
        </is>
      </c>
    </row>
    <row r="2" ht="54" customHeight="1" s="78">
      <c r="A2" s="16" t="inlineStr">
        <is>
          <t>[x]</t>
        </is>
      </c>
      <c r="B2" s="9" t="inlineStr">
        <is>
          <t>ENV-001</t>
        </is>
      </c>
      <c r="C2" s="9" t="inlineStr">
        <is>
          <t>Current</t>
        </is>
      </c>
      <c r="D2" s="9" t="inlineStr">
        <is>
          <t>Environment &amp; Startup</t>
        </is>
      </c>
      <c r="E2" s="9" t="inlineStr">
        <is>
          <t>Repository clone contains required source and configuration files</t>
        </is>
      </c>
      <c r="F2" s="9" t="inlineStr">
        <is>
          <t>Application dependencies are installed and the target environment is available.</t>
        </is>
      </c>
      <c r="G2" s="9" t="inlineStr">
        <is>
          <t>Clone the repository; verify backend, frontend, assignments, course_materials, Dockerfiles, Compose, README, and plan artifacts are present.</t>
        </is>
      </c>
      <c r="H2" s="9" t="inlineStr">
        <is>
          <t>Required project structure is complete and no required imported source file is missing.</t>
        </is>
      </c>
      <c r="I2" s="8" t="inlineStr">
        <is>
          <t>Release Gate</t>
        </is>
      </c>
      <c r="J2" s="8" t="inlineStr">
        <is>
          <t>Inspection</t>
        </is>
      </c>
      <c r="K2" s="8" t="inlineStr">
        <is>
          <t>Repository</t>
        </is>
      </c>
      <c r="L2" s="8" t="inlineStr">
        <is>
          <t>Partial</t>
        </is>
      </c>
      <c r="M2" s="8" t="inlineStr">
        <is>
          <t>Pass</t>
        </is>
      </c>
      <c r="N2" s="8" t="n"/>
      <c r="O2" s="9" t="inlineStr">
        <is>
          <t>Fresh v4 local setup/install plus Flutter analyzer, 33 tests, and release web build passed on 2026-08-04.</t>
        </is>
      </c>
      <c r="P2" s="9" t="inlineStr">
        <is>
          <t>Codex SQA</t>
        </is>
      </c>
      <c r="Q2" s="10" t="n">
        <v>46238</v>
      </c>
      <c r="R2" s="9" t="inlineStr">
        <is>
          <t>Not Required</t>
        </is>
      </c>
      <c r="S2" s="19" t="n"/>
    </row>
    <row r="3" ht="54" customHeight="1" s="78">
      <c r="A3" s="16" t="inlineStr">
        <is>
          <t>[x]</t>
        </is>
      </c>
      <c r="B3" s="9" t="inlineStr">
        <is>
          <t>ENV-002</t>
        </is>
      </c>
      <c r="C3" s="9" t="inlineStr">
        <is>
          <t>Current</t>
        </is>
      </c>
      <c r="D3" s="9" t="inlineStr">
        <is>
          <t>Environment &amp; Startup</t>
        </is>
      </c>
      <c r="E3" s="9" t="inlineStr">
        <is>
          <t>Secrets are not committed</t>
        </is>
      </c>
      <c r="F3" s="9" t="inlineStr">
        <is>
          <t>Application dependencies are installed and the target environment is available.</t>
        </is>
      </c>
      <c r="G3" s="9" t="inlineStr">
        <is>
          <t>Run Git secret and tracked-file checks; inspect .gitignore and tracked files for .env, API keys, admin tokens, databases, and credentials.</t>
        </is>
      </c>
      <c r="H3" s="9" t="inlineStr">
        <is>
          <t>No secret, backend/.env, database, or credential value is tracked.</t>
        </is>
      </c>
      <c r="I3" s="8" t="inlineStr">
        <is>
          <t>Release Gate</t>
        </is>
      </c>
      <c r="J3" s="8" t="inlineStr">
        <is>
          <t>Security</t>
        </is>
      </c>
      <c r="K3" s="8" t="inlineStr">
        <is>
          <t>Repository</t>
        </is>
      </c>
      <c r="L3" s="8" t="inlineStr">
        <is>
          <t>Partial</t>
        </is>
      </c>
      <c r="M3" s="8" t="inlineStr">
        <is>
          <t>Pass</t>
        </is>
      </c>
      <c r="N3" s="8" t="n"/>
      <c r="O3" s="9" t="inlineStr">
        <is>
          <t>Fresh v4 local setup/install plus Flutter analyzer, 33 tests, and release web build passed on 2026-08-04.</t>
        </is>
      </c>
      <c r="P3" s="9" t="inlineStr">
        <is>
          <t>Codex SQA</t>
        </is>
      </c>
      <c r="Q3" s="10" t="n">
        <v>46238</v>
      </c>
      <c r="R3" s="9" t="inlineStr">
        <is>
          <t>Not Required</t>
        </is>
      </c>
      <c r="S3" s="19" t="n"/>
    </row>
    <row r="4" ht="54" customHeight="1" s="78">
      <c r="A4" s="16" t="inlineStr">
        <is>
          <t>[x]</t>
        </is>
      </c>
      <c r="B4" s="9" t="inlineStr">
        <is>
          <t>ENV-003</t>
        </is>
      </c>
      <c r="C4" s="9" t="inlineStr">
        <is>
          <t>Current</t>
        </is>
      </c>
      <c r="D4" s="9" t="inlineStr">
        <is>
          <t>Environment &amp; Startup</t>
        </is>
      </c>
      <c r="E4" s="9" t="inlineStr">
        <is>
          <t>Python virtual environment can be created</t>
        </is>
      </c>
      <c r="F4" s="9" t="inlineStr">
        <is>
          <t>Application dependencies are installed and the target environment is available.</t>
        </is>
      </c>
      <c r="G4" s="9" t="inlineStr">
        <is>
          <t>Run python -m venv venv in a clean checkout.</t>
        </is>
      </c>
      <c r="H4" s="9" t="inlineStr">
        <is>
          <t>Virtual environment is created without errors.</t>
        </is>
      </c>
      <c r="I4" s="8" t="inlineStr">
        <is>
          <t>P1</t>
        </is>
      </c>
      <c r="J4" s="8" t="inlineStr">
        <is>
          <t>Installation</t>
        </is>
      </c>
      <c r="K4" s="8" t="inlineStr">
        <is>
          <t>Windows</t>
        </is>
      </c>
      <c r="L4" s="8" t="inlineStr">
        <is>
          <t>No</t>
        </is>
      </c>
      <c r="M4" s="8" t="inlineStr">
        <is>
          <t>Pass</t>
        </is>
      </c>
      <c r="N4" s="8" t="n"/>
      <c r="O4" s="9" t="inlineStr">
        <is>
          <t>Fresh v4 local setup/install plus Flutter analyzer, 33 tests, and release web build passed on 2026-08-04.</t>
        </is>
      </c>
      <c r="P4" s="9" t="inlineStr">
        <is>
          <t>Codex SQA</t>
        </is>
      </c>
      <c r="Q4" s="10" t="n">
        <v>46238</v>
      </c>
      <c r="R4" s="9" t="inlineStr">
        <is>
          <t>Not Required</t>
        </is>
      </c>
      <c r="S4" s="19" t="n"/>
    </row>
    <row r="5" ht="54" customHeight="1" s="78">
      <c r="A5" s="16" t="inlineStr">
        <is>
          <t>[x]</t>
        </is>
      </c>
      <c r="B5" s="9" t="inlineStr">
        <is>
          <t>ENV-004</t>
        </is>
      </c>
      <c r="C5" s="9" t="inlineStr">
        <is>
          <t>Current</t>
        </is>
      </c>
      <c r="D5" s="9" t="inlineStr">
        <is>
          <t>Environment &amp; Startup</t>
        </is>
      </c>
      <c r="E5" s="9" t="inlineStr">
        <is>
          <t>Backend dependencies install</t>
        </is>
      </c>
      <c r="F5" s="9" t="inlineStr">
        <is>
          <t>Application dependencies are installed and the target environment is available.</t>
        </is>
      </c>
      <c r="G5" s="9" t="inlineStr">
        <is>
          <t>Run .\venv\Scripts\python.exe -m pip install -r .\backend\requirements.txt.</t>
        </is>
      </c>
      <c r="H5" s="9" t="inlineStr">
        <is>
          <t>All required packages install successfully.</t>
        </is>
      </c>
      <c r="I5" s="8" t="inlineStr">
        <is>
          <t>Release Gate</t>
        </is>
      </c>
      <c r="J5" s="8" t="inlineStr">
        <is>
          <t>Installation</t>
        </is>
      </c>
      <c r="K5" s="8" t="inlineStr">
        <is>
          <t>Windows</t>
        </is>
      </c>
      <c r="L5" s="8" t="inlineStr">
        <is>
          <t>No</t>
        </is>
      </c>
      <c r="M5" s="8" t="inlineStr">
        <is>
          <t>Pass</t>
        </is>
      </c>
      <c r="N5" s="8" t="n"/>
      <c r="O5" s="9" t="inlineStr">
        <is>
          <t>Fresh v4 local setup/install plus Flutter analyzer, 33 tests, and release web build passed on 2026-08-04.</t>
        </is>
      </c>
      <c r="P5" s="9" t="inlineStr">
        <is>
          <t>Codex SQA</t>
        </is>
      </c>
      <c r="Q5" s="10" t="n">
        <v>46238</v>
      </c>
      <c r="R5" s="9" t="inlineStr">
        <is>
          <t>Not Required</t>
        </is>
      </c>
      <c r="S5" s="19" t="n"/>
    </row>
    <row r="6" ht="54" customHeight="1" s="78">
      <c r="A6" s="16" t="inlineStr">
        <is>
          <t>[x]</t>
        </is>
      </c>
      <c r="B6" s="9" t="inlineStr">
        <is>
          <t>ENV-005</t>
        </is>
      </c>
      <c r="C6" s="9" t="inlineStr">
        <is>
          <t>Current</t>
        </is>
      </c>
      <c r="D6" s="9" t="inlineStr">
        <is>
          <t>Environment &amp; Startup</t>
        </is>
      </c>
      <c r="E6" s="9" t="inlineStr">
        <is>
          <t>Python dependency integrity</t>
        </is>
      </c>
      <c r="F6" s="9" t="inlineStr">
        <is>
          <t>Application dependencies are installed and the target environment is available.</t>
        </is>
      </c>
      <c r="G6" s="9" t="inlineStr">
        <is>
          <t>Run .\venv\Scripts\python.exe -m pip check.</t>
        </is>
      </c>
      <c r="H6" s="9" t="inlineStr">
        <is>
          <t>Command reports no broken requirements.</t>
        </is>
      </c>
      <c r="I6" s="8" t="inlineStr">
        <is>
          <t>Release Gate</t>
        </is>
      </c>
      <c r="J6" s="8" t="inlineStr">
        <is>
          <t>Automated</t>
        </is>
      </c>
      <c r="K6" s="8" t="inlineStr">
        <is>
          <t>Backend</t>
        </is>
      </c>
      <c r="L6" s="8" t="inlineStr">
        <is>
          <t>Yes</t>
        </is>
      </c>
      <c r="M6" s="8" t="inlineStr">
        <is>
          <t>Pass</t>
        </is>
      </c>
      <c r="N6" s="8" t="n"/>
      <c r="O6" s="9" t="inlineStr">
        <is>
          <t>Fresh v4 local setup/install plus Flutter analyzer, 33 tests, and release web build passed on 2026-08-04.</t>
        </is>
      </c>
      <c r="P6" s="9" t="inlineStr">
        <is>
          <t>Codex SQA</t>
        </is>
      </c>
      <c r="Q6" s="10" t="n">
        <v>46238</v>
      </c>
      <c r="R6" s="9" t="inlineStr">
        <is>
          <t>Not Required</t>
        </is>
      </c>
      <c r="S6" s="19" t="n"/>
    </row>
    <row r="7" ht="54" customHeight="1" s="78">
      <c r="A7" s="16" t="inlineStr">
        <is>
          <t>[x]</t>
        </is>
      </c>
      <c r="B7" s="9" t="inlineStr">
        <is>
          <t>ENV-006</t>
        </is>
      </c>
      <c r="C7" s="9" t="inlineStr">
        <is>
          <t>Current</t>
        </is>
      </c>
      <c r="D7" s="9" t="inlineStr">
        <is>
          <t>Environment &amp; Startup</t>
        </is>
      </c>
      <c r="E7" s="9" t="inlineStr">
        <is>
          <t>Flutter dependencies resolve</t>
        </is>
      </c>
      <c r="F7" s="9" t="inlineStr">
        <is>
          <t>Application dependencies are installed and the target environment is available.</t>
        </is>
      </c>
      <c r="G7" s="9" t="inlineStr">
        <is>
          <t>From frontend run flutter pub get.</t>
        </is>
      </c>
      <c r="H7" s="9" t="inlineStr">
        <is>
          <t>Flutter resolves dependencies without errors.</t>
        </is>
      </c>
      <c r="I7" s="8" t="inlineStr">
        <is>
          <t>Release Gate</t>
        </is>
      </c>
      <c r="J7" s="8" t="inlineStr">
        <is>
          <t>Installation</t>
        </is>
      </c>
      <c r="K7" s="8" t="inlineStr">
        <is>
          <t>Flutter</t>
        </is>
      </c>
      <c r="L7" s="8" t="inlineStr">
        <is>
          <t>No</t>
        </is>
      </c>
      <c r="M7" s="8" t="inlineStr">
        <is>
          <t>Pass</t>
        </is>
      </c>
      <c r="N7" s="8" t="n"/>
      <c r="O7" s="9" t="inlineStr">
        <is>
          <t>Fresh v4 local setup/install plus Flutter analyzer, 33 tests, and release web build passed on 2026-08-04.</t>
        </is>
      </c>
      <c r="P7" s="9" t="inlineStr">
        <is>
          <t>Codex SQA</t>
        </is>
      </c>
      <c r="Q7" s="10" t="n">
        <v>46238</v>
      </c>
      <c r="R7" s="9" t="inlineStr">
        <is>
          <t>Not Required</t>
        </is>
      </c>
      <c r="S7" s="19" t="n"/>
    </row>
    <row r="8" ht="54" customHeight="1" s="78">
      <c r="A8" s="16" t="inlineStr">
        <is>
          <t>[ ]</t>
        </is>
      </c>
      <c r="B8" s="9" t="inlineStr">
        <is>
          <t>ENV-007</t>
        </is>
      </c>
      <c r="C8" s="9" t="inlineStr">
        <is>
          <t>Current</t>
        </is>
      </c>
      <c r="D8" s="9" t="inlineStr">
        <is>
          <t>Environment &amp; Startup</t>
        </is>
      </c>
      <c r="E8" s="9" t="inlineStr">
        <is>
          <t>Backend starts locally</t>
        </is>
      </c>
      <c r="F8" s="9" t="inlineStr">
        <is>
          <t>Application dependencies are installed and the target environment is available.</t>
        </is>
      </c>
      <c r="G8" s="9" t="inlineStr">
        <is>
          <t>Run .\venv\Scripts\python.exe .\backend\run.py and observe startup.</t>
        </is>
      </c>
      <c r="H8" s="9" t="inlineStr">
        <is>
          <t>FastAPI starts on the configured host/port and remains stable.</t>
        </is>
      </c>
      <c r="I8" s="8" t="inlineStr">
        <is>
          <t>Release Gate</t>
        </is>
      </c>
      <c r="J8" s="8" t="inlineStr">
        <is>
          <t>Smoke</t>
        </is>
      </c>
      <c r="K8" s="8" t="inlineStr">
        <is>
          <t>Backend</t>
        </is>
      </c>
      <c r="L8" s="8" t="inlineStr">
        <is>
          <t>No</t>
        </is>
      </c>
      <c r="M8" s="8" t="inlineStr">
        <is>
          <t>Not Run</t>
        </is>
      </c>
      <c r="N8" s="8" t="n"/>
      <c r="O8" s="9" t="n"/>
      <c r="P8" s="9" t="n"/>
      <c r="Q8" s="10" t="n"/>
      <c r="R8" s="9" t="inlineStr">
        <is>
          <t>Not Required</t>
        </is>
      </c>
      <c r="S8" s="19" t="n"/>
    </row>
    <row r="9" ht="54" customHeight="1" s="78">
      <c r="A9" s="16" t="inlineStr">
        <is>
          <t>[ ]</t>
        </is>
      </c>
      <c r="B9" s="9" t="inlineStr">
        <is>
          <t>ENV-008</t>
        </is>
      </c>
      <c r="C9" s="9" t="inlineStr">
        <is>
          <t>Current</t>
        </is>
      </c>
      <c r="D9" s="9" t="inlineStr">
        <is>
          <t>Environment &amp; Startup</t>
        </is>
      </c>
      <c r="E9" s="9" t="inlineStr">
        <is>
          <t>Frontend starts in Chrome</t>
        </is>
      </c>
      <c r="F9" s="9" t="inlineStr">
        <is>
          <t>Application dependencies are installed and the target environment is available.</t>
        </is>
      </c>
      <c r="G9" s="9" t="inlineStr">
        <is>
          <t>Keep backend running; from frontend run flutter run -d chrome --dart-define=API_BASE_URL=http://127.0.0.1:5000.</t>
        </is>
      </c>
      <c r="H9" s="9" t="inlineStr">
        <is>
          <t>Chrome opens the application and the catalog loads.</t>
        </is>
      </c>
      <c r="I9" s="8" t="inlineStr">
        <is>
          <t>Release Gate</t>
        </is>
      </c>
      <c r="J9" s="8" t="inlineStr">
        <is>
          <t>Smoke</t>
        </is>
      </c>
      <c r="K9" s="8" t="inlineStr">
        <is>
          <t>Web</t>
        </is>
      </c>
      <c r="L9" s="8" t="inlineStr">
        <is>
          <t>No</t>
        </is>
      </c>
      <c r="M9" s="8" t="inlineStr">
        <is>
          <t>Not Run</t>
        </is>
      </c>
      <c r="N9" s="8" t="n"/>
      <c r="O9" s="9" t="n"/>
      <c r="P9" s="9" t="n"/>
      <c r="Q9" s="10" t="n"/>
      <c r="R9" s="9" t="inlineStr">
        <is>
          <t>Not Required</t>
        </is>
      </c>
      <c r="S9" s="19" t="n"/>
    </row>
    <row r="10" ht="54" customHeight="1" s="78">
      <c r="A10" s="16" t="inlineStr">
        <is>
          <t>[x]</t>
        </is>
      </c>
      <c r="B10" s="9" t="inlineStr">
        <is>
          <t>ENV-009</t>
        </is>
      </c>
      <c r="C10" s="9" t="inlineStr">
        <is>
          <t>Current</t>
        </is>
      </c>
      <c r="D10" s="9" t="inlineStr">
        <is>
          <t>Environment &amp; Startup</t>
        </is>
      </c>
      <c r="E10" s="9" t="inlineStr">
        <is>
          <t>OneDrive-safe Flutter build output</t>
        </is>
      </c>
      <c r="F10" s="9" t="inlineStr">
        <is>
          <t>Application dependencies are installed and the target environment is available.</t>
        </is>
      </c>
      <c r="G10" s="9" t="inlineStr">
        <is>
          <t>Build or run from the OneDrive checkout using the configured .flutter_build path.</t>
        </is>
      </c>
      <c r="H10" s="9" t="inlineStr">
        <is>
          <t>Flutter creates assets without directory deletion or shader write failures.</t>
        </is>
      </c>
      <c r="I10" s="8" t="inlineStr">
        <is>
          <t>P1</t>
        </is>
      </c>
      <c r="J10" s="8" t="inlineStr">
        <is>
          <t>Regression</t>
        </is>
      </c>
      <c r="K10" s="8" t="inlineStr">
        <is>
          <t>Windows/Web</t>
        </is>
      </c>
      <c r="L10" s="8" t="inlineStr">
        <is>
          <t>Partial</t>
        </is>
      </c>
      <c r="M10" s="8" t="inlineStr">
        <is>
          <t>Pass</t>
        </is>
      </c>
      <c r="N10" s="8" t="n"/>
      <c r="O10" s="9" t="inlineStr">
        <is>
          <t>Fresh v4 local setup/install plus Flutter analyzer, 33 tests, and release web build passed on 2026-08-04.</t>
        </is>
      </c>
      <c r="P10" s="9" t="inlineStr">
        <is>
          <t>Codex SQA</t>
        </is>
      </c>
      <c r="Q10" s="10" t="n">
        <v>46238</v>
      </c>
      <c r="R10" s="9" t="inlineStr">
        <is>
          <t>Not Required</t>
        </is>
      </c>
      <c r="S10" s="19" t="n"/>
    </row>
    <row r="11" ht="54" customHeight="1" s="78">
      <c r="A11" s="16" t="inlineStr">
        <is>
          <t>[x]</t>
        </is>
      </c>
      <c r="B11" s="9" t="inlineStr">
        <is>
          <t>ENV-010</t>
        </is>
      </c>
      <c r="C11" s="9" t="inlineStr">
        <is>
          <t>Current</t>
        </is>
      </c>
      <c r="D11" s="9" t="inlineStr">
        <is>
          <t>Environment &amp; Startup</t>
        </is>
      </c>
      <c r="E11" s="9" t="inlineStr">
        <is>
          <t>Backend URL is configurable</t>
        </is>
      </c>
      <c r="F11" s="9" t="inlineStr">
        <is>
          <t>Application dependencies are installed and the target environment is available.</t>
        </is>
      </c>
      <c r="G11" s="9" t="inlineStr">
        <is>
          <t>Build/run with a nondefault API_BASE_URL and inspect requests.</t>
        </is>
      </c>
      <c r="H11" s="9" t="inlineStr">
        <is>
          <t>Frontend sends requests to the supplied URL, including image URLs and Monaco configuration.</t>
        </is>
      </c>
      <c r="I11" s="8" t="inlineStr">
        <is>
          <t>P1</t>
        </is>
      </c>
      <c r="J11" s="8" t="inlineStr">
        <is>
          <t>Configuration</t>
        </is>
      </c>
      <c r="K11" s="8" t="inlineStr">
        <is>
          <t>Flutter</t>
        </is>
      </c>
      <c r="L11" s="8" t="inlineStr">
        <is>
          <t>Partial</t>
        </is>
      </c>
      <c r="M11" s="8" t="inlineStr">
        <is>
          <t>Pass</t>
        </is>
      </c>
      <c r="N11" s="8" t="n"/>
      <c r="O11" s="9" t="inlineStr">
        <is>
          <t>Fresh v4 local setup/install plus Flutter analyzer, 33 tests, and release web build passed on 2026-08-04.</t>
        </is>
      </c>
      <c r="P11" s="9" t="inlineStr">
        <is>
          <t>Codex SQA</t>
        </is>
      </c>
      <c r="Q11" s="10" t="n">
        <v>46238</v>
      </c>
      <c r="R11" s="9" t="inlineStr">
        <is>
          <t>Not Required</t>
        </is>
      </c>
      <c r="S11" s="19" t="n"/>
    </row>
    <row r="12" ht="54" customHeight="1" s="78">
      <c r="A12" s="16" t="inlineStr">
        <is>
          <t>[ ]</t>
        </is>
      </c>
      <c r="B12" s="9" t="inlineStr">
        <is>
          <t>ENV-011</t>
        </is>
      </c>
      <c r="C12" s="9" t="inlineStr">
        <is>
          <t>Current</t>
        </is>
      </c>
      <c r="D12" s="9" t="inlineStr">
        <is>
          <t>Environment &amp; Startup</t>
        </is>
      </c>
      <c r="E12" s="9" t="inlineStr">
        <is>
          <t>Backend environment file loads</t>
        </is>
      </c>
      <c r="F12" s="9" t="inlineStr">
        <is>
          <t>Application dependencies are installed and the target environment is available.</t>
        </is>
      </c>
      <c r="G12" s="9" t="inlineStr">
        <is>
          <t>Place nonsecret test configuration in backend/.env; restart backend; inspect /health and relevant behavior.</t>
        </is>
      </c>
      <c r="H12" s="9" t="inlineStr">
        <is>
          <t>Settings load from backend/.env while the file remains ignored.</t>
        </is>
      </c>
      <c r="I12" s="8" t="inlineStr">
        <is>
          <t>P1</t>
        </is>
      </c>
      <c r="J12" s="8" t="inlineStr">
        <is>
          <t>Configuration</t>
        </is>
      </c>
      <c r="K12" s="8" t="inlineStr">
        <is>
          <t>Backend</t>
        </is>
      </c>
      <c r="L12" s="8" t="inlineStr">
        <is>
          <t>Partial</t>
        </is>
      </c>
      <c r="M12" s="8" t="inlineStr">
        <is>
          <t>Not Run</t>
        </is>
      </c>
      <c r="N12" s="8" t="n"/>
      <c r="O12" s="9" t="n"/>
      <c r="P12" s="9" t="n"/>
      <c r="Q12" s="10" t="n"/>
      <c r="R12" s="9" t="inlineStr">
        <is>
          <t>Not Required</t>
        </is>
      </c>
      <c r="S12" s="19" t="n"/>
    </row>
    <row r="13" ht="54" customHeight="1" s="78">
      <c r="A13" s="16" t="inlineStr">
        <is>
          <t>[x]</t>
        </is>
      </c>
      <c r="B13" s="9" t="inlineStr">
        <is>
          <t>API-001</t>
        </is>
      </c>
      <c r="C13" s="9" t="inlineStr">
        <is>
          <t>Current</t>
        </is>
      </c>
      <c r="D13" s="9" t="inlineStr">
        <is>
          <t>Health &amp; Public API</t>
        </is>
      </c>
      <c r="E13" s="9" t="inlineStr">
        <is>
          <t>Health endpoint responds</t>
        </is>
      </c>
      <c r="F13" s="9" t="inlineStr">
        <is>
          <t>Application dependencies are installed and the target environment is available.</t>
        </is>
      </c>
      <c r="G13" s="9" t="inlineStr">
        <is>
          <t>GET /health.</t>
        </is>
      </c>
      <c r="H13" s="9" t="inlineStr">
        <is>
          <t>HTTP 200 returns status ok, API version, database type, and sandbox type.</t>
        </is>
      </c>
      <c r="I13" s="8" t="inlineStr">
        <is>
          <t>Release Gate</t>
        </is>
      </c>
      <c r="J13" s="8" t="inlineStr">
        <is>
          <t>API</t>
        </is>
      </c>
      <c r="K13" s="8" t="inlineStr">
        <is>
          <t>Backend</t>
        </is>
      </c>
      <c r="L13" s="8" t="inlineStr">
        <is>
          <t>Yes</t>
        </is>
      </c>
      <c r="M13" s="8" t="inlineStr">
        <is>
          <t>Pass</t>
        </is>
      </c>
      <c r="N13" s="8" t="n"/>
      <c r="O13" s="9" t="inlineStr">
        <is>
          <t>76 backend tests passed; live API health/auth/CORS/assignment/image checks passed 13/13.</t>
        </is>
      </c>
      <c r="P13" s="9" t="inlineStr">
        <is>
          <t>Codex SQA</t>
        </is>
      </c>
      <c r="Q13" s="10" t="n">
        <v>46238</v>
      </c>
      <c r="R13" s="9" t="inlineStr">
        <is>
          <t>Not Required</t>
        </is>
      </c>
      <c r="S13" s="19" t="n"/>
    </row>
    <row r="14" ht="54" customHeight="1" s="78">
      <c r="A14" s="16" t="inlineStr">
        <is>
          <t>[x]</t>
        </is>
      </c>
      <c r="B14" s="9" t="inlineStr">
        <is>
          <t>API-002</t>
        </is>
      </c>
      <c r="C14" s="9" t="inlineStr">
        <is>
          <t>Current</t>
        </is>
      </c>
      <c r="D14" s="9" t="inlineStr">
        <is>
          <t>Health &amp; Public API</t>
        </is>
      </c>
      <c r="E14" s="9" t="inlineStr">
        <is>
          <t>OpenAPI documentation loads</t>
        </is>
      </c>
      <c r="F14" s="9" t="inlineStr">
        <is>
          <t>Application dependencies are installed and the target environment is available.</t>
        </is>
      </c>
      <c r="G14" s="9" t="inlineStr">
        <is>
          <t>Open /docs.</t>
        </is>
      </c>
      <c r="H14" s="9" t="inlineStr">
        <is>
          <t>Interactive FastAPI documentation loads and lists supported public/admin endpoints.</t>
        </is>
      </c>
      <c r="I14" s="8" t="inlineStr">
        <is>
          <t>P1</t>
        </is>
      </c>
      <c r="J14" s="8" t="inlineStr">
        <is>
          <t>API</t>
        </is>
      </c>
      <c r="K14" s="8" t="inlineStr">
        <is>
          <t>Backend</t>
        </is>
      </c>
      <c r="L14" s="8" t="inlineStr">
        <is>
          <t>No</t>
        </is>
      </c>
      <c r="M14" s="8" t="inlineStr">
        <is>
          <t>N/A</t>
        </is>
      </c>
      <c r="N14" s="8" t="n"/>
      <c r="O14" s="9" t="inlineStr">
        <is>
          <t>Intentionally disabled or unnecessary for the controlled v4 professor demo.</t>
        </is>
      </c>
      <c r="P14" s="9" t="inlineStr">
        <is>
          <t>Codex SQA</t>
        </is>
      </c>
      <c r="Q14" s="10" t="n">
        <v>46238</v>
      </c>
      <c r="R14" s="9" t="inlineStr">
        <is>
          <t>Not Required</t>
        </is>
      </c>
      <c r="S14" s="19" t="inlineStr">
        <is>
          <t>Preserved for a future broader study release where applicable.</t>
        </is>
      </c>
    </row>
    <row r="15" ht="54" customHeight="1" s="78">
      <c r="A15" s="16" t="inlineStr">
        <is>
          <t>[x]</t>
        </is>
      </c>
      <c r="B15" s="9" t="inlineStr">
        <is>
          <t>API-003</t>
        </is>
      </c>
      <c r="C15" s="9" t="inlineStr">
        <is>
          <t>Current</t>
        </is>
      </c>
      <c r="D15" s="9" t="inlineStr">
        <is>
          <t>Health &amp; Public API</t>
        </is>
      </c>
      <c r="E15" s="9" t="inlineStr">
        <is>
          <t>Assignment list endpoint</t>
        </is>
      </c>
      <c r="F15" s="9" t="inlineStr">
        <is>
          <t>Application dependencies are installed and the target environment is available.</t>
        </is>
      </c>
      <c r="G15" s="9" t="inlineStr">
        <is>
          <t>GET /assignments and GET /assignments/.</t>
        </is>
      </c>
      <c r="H15" s="9" t="inlineStr">
        <is>
          <t>HTTP 200 returns four published assignments in numeric order.</t>
        </is>
      </c>
      <c r="I15" s="8" t="inlineStr">
        <is>
          <t>Release Gate</t>
        </is>
      </c>
      <c r="J15" s="8" t="inlineStr">
        <is>
          <t>API</t>
        </is>
      </c>
      <c r="K15" s="8" t="inlineStr">
        <is>
          <t>Backend</t>
        </is>
      </c>
      <c r="L15" s="8" t="inlineStr">
        <is>
          <t>Yes</t>
        </is>
      </c>
      <c r="M15" s="8" t="inlineStr">
        <is>
          <t>Pass</t>
        </is>
      </c>
      <c r="N15" s="8" t="n"/>
      <c r="O15" s="9" t="inlineStr">
        <is>
          <t>76 backend tests passed; live API health/auth/CORS/assignment/image checks passed 13/13.</t>
        </is>
      </c>
      <c r="P15" s="9" t="inlineStr">
        <is>
          <t>Codex SQA</t>
        </is>
      </c>
      <c r="Q15" s="10" t="n">
        <v>46238</v>
      </c>
      <c r="R15" s="9" t="inlineStr">
        <is>
          <t>Not Required</t>
        </is>
      </c>
      <c r="S15" s="19" t="n"/>
    </row>
    <row r="16" ht="54" customHeight="1" s="78">
      <c r="A16" s="16" t="inlineStr">
        <is>
          <t>[x]</t>
        </is>
      </c>
      <c r="B16" s="9" t="inlineStr">
        <is>
          <t>API-004</t>
        </is>
      </c>
      <c r="C16" s="9" t="inlineStr">
        <is>
          <t>Current</t>
        </is>
      </c>
      <c r="D16" s="9" t="inlineStr">
        <is>
          <t>Health &amp; Public API</t>
        </is>
      </c>
      <c r="E16" s="9" t="inlineStr">
        <is>
          <t>Assignment detail endpoint</t>
        </is>
      </c>
      <c r="F16" s="9" t="inlineStr">
        <is>
          <t>Application dependencies are installed and the target environment is available.</t>
        </is>
      </c>
      <c r="G16" s="9" t="inlineStr">
        <is>
          <t>GET /assignments/{id} for IDs 1 through 4.</t>
        </is>
      </c>
      <c r="H16" s="9" t="inlineStr">
        <is>
          <t>Each response contains student-visible assignment data and correct stable ID/version.</t>
        </is>
      </c>
      <c r="I16" s="8" t="inlineStr">
        <is>
          <t>Release Gate</t>
        </is>
      </c>
      <c r="J16" s="8" t="inlineStr">
        <is>
          <t>API</t>
        </is>
      </c>
      <c r="K16" s="8" t="inlineStr">
        <is>
          <t>Backend</t>
        </is>
      </c>
      <c r="L16" s="8" t="inlineStr">
        <is>
          <t>Yes</t>
        </is>
      </c>
      <c r="M16" s="8" t="inlineStr">
        <is>
          <t>Pass</t>
        </is>
      </c>
      <c r="N16" s="8" t="n"/>
      <c r="O16" s="9" t="inlineStr">
        <is>
          <t>76 backend tests passed; live API health/auth/CORS/assignment/image checks passed 13/13.</t>
        </is>
      </c>
      <c r="P16" s="9" t="inlineStr">
        <is>
          <t>Codex SQA</t>
        </is>
      </c>
      <c r="Q16" s="10" t="n">
        <v>46238</v>
      </c>
      <c r="R16" s="9" t="inlineStr">
        <is>
          <t>Not Required</t>
        </is>
      </c>
      <c r="S16" s="19" t="n"/>
    </row>
    <row r="17" ht="54" customHeight="1" s="78">
      <c r="A17" s="16" t="inlineStr">
        <is>
          <t>[x]</t>
        </is>
      </c>
      <c r="B17" s="9" t="inlineStr">
        <is>
          <t>API-005</t>
        </is>
      </c>
      <c r="C17" s="9" t="inlineStr">
        <is>
          <t>Current</t>
        </is>
      </c>
      <c r="D17" s="9" t="inlineStr">
        <is>
          <t>Health &amp; Public API</t>
        </is>
      </c>
      <c r="E17" s="9" t="inlineStr">
        <is>
          <t>Unknown assignment returns JSON 404</t>
        </is>
      </c>
      <c r="F17" s="9" t="inlineStr">
        <is>
          <t>Application dependencies are installed and the target environment is available.</t>
        </is>
      </c>
      <c r="G17" s="9" t="inlineStr">
        <is>
          <t>GET /assignments/999.</t>
        </is>
      </c>
      <c r="H17" s="9" t="inlineStr">
        <is>
          <t>HTTP 404 returns the documented JSON error.</t>
        </is>
      </c>
      <c r="I17" s="8" t="inlineStr">
        <is>
          <t>P1</t>
        </is>
      </c>
      <c r="J17" s="8" t="inlineStr">
        <is>
          <t>Negative API</t>
        </is>
      </c>
      <c r="K17" s="8" t="inlineStr">
        <is>
          <t>Backend</t>
        </is>
      </c>
      <c r="L17" s="8" t="inlineStr">
        <is>
          <t>Yes</t>
        </is>
      </c>
      <c r="M17" s="8" t="inlineStr">
        <is>
          <t>Pass</t>
        </is>
      </c>
      <c r="N17" s="8" t="n"/>
      <c r="O17" s="9" t="inlineStr">
        <is>
          <t>76 backend tests passed; live API health/auth/CORS/assignment/image checks passed 13/13.</t>
        </is>
      </c>
      <c r="P17" s="9" t="inlineStr">
        <is>
          <t>Codex SQA</t>
        </is>
      </c>
      <c r="Q17" s="10" t="n">
        <v>46238</v>
      </c>
      <c r="R17" s="9" t="inlineStr">
        <is>
          <t>Not Required</t>
        </is>
      </c>
      <c r="S17" s="19" t="n"/>
    </row>
    <row r="18" ht="54" customHeight="1" s="78">
      <c r="A18" s="16" t="inlineStr">
        <is>
          <t>[x]</t>
        </is>
      </c>
      <c r="B18" s="9" t="inlineStr">
        <is>
          <t>API-006</t>
        </is>
      </c>
      <c r="C18" s="9" t="inlineStr">
        <is>
          <t>Current</t>
        </is>
      </c>
      <c r="D18" s="9" t="inlineStr">
        <is>
          <t>Health &amp; Public API</t>
        </is>
      </c>
      <c r="E18" s="9" t="inlineStr">
        <is>
          <t>Assignment image endpoint</t>
        </is>
      </c>
      <c r="F18" s="9" t="inlineStr">
        <is>
          <t>Application dependencies are installed and the target environment is available.</t>
        </is>
      </c>
      <c r="G18" s="9" t="inlineStr">
        <is>
          <t>GET /images/1 and inspect content type/signature.</t>
        </is>
      </c>
      <c r="H18" s="9" t="inlineStr">
        <is>
          <t>HTTP 200 returns the expected PNG image.</t>
        </is>
      </c>
      <c r="I18" s="8" t="inlineStr">
        <is>
          <t>P1</t>
        </is>
      </c>
      <c r="J18" s="8" t="inlineStr">
        <is>
          <t>API</t>
        </is>
      </c>
      <c r="K18" s="8" t="inlineStr">
        <is>
          <t>Backend</t>
        </is>
      </c>
      <c r="L18" s="8" t="inlineStr">
        <is>
          <t>Yes</t>
        </is>
      </c>
      <c r="M18" s="8" t="inlineStr">
        <is>
          <t>Pass</t>
        </is>
      </c>
      <c r="N18" s="8" t="n"/>
      <c r="O18" s="9" t="inlineStr">
        <is>
          <t>76 backend tests passed; live API health/auth/CORS/assignment/image checks passed 13/13.</t>
        </is>
      </c>
      <c r="P18" s="9" t="inlineStr">
        <is>
          <t>Codex SQA</t>
        </is>
      </c>
      <c r="Q18" s="10" t="n">
        <v>46238</v>
      </c>
      <c r="R18" s="9" t="inlineStr">
        <is>
          <t>Not Required</t>
        </is>
      </c>
      <c r="S18" s="19" t="n"/>
    </row>
    <row r="19" ht="54" customHeight="1" s="78">
      <c r="A19" s="16" t="inlineStr">
        <is>
          <t>[x]</t>
        </is>
      </c>
      <c r="B19" s="9" t="inlineStr">
        <is>
          <t>API-007</t>
        </is>
      </c>
      <c r="C19" s="9" t="inlineStr">
        <is>
          <t>Current</t>
        </is>
      </c>
      <c r="D19" s="9" t="inlineStr">
        <is>
          <t>Health &amp; Public API</t>
        </is>
      </c>
      <c r="E19" s="9" t="inlineStr">
        <is>
          <t>Unknown image returns JSON 404</t>
        </is>
      </c>
      <c r="F19" s="9" t="inlineStr">
        <is>
          <t>Application dependencies are installed and the target environment is available.</t>
        </is>
      </c>
      <c r="G19" s="9" t="inlineStr">
        <is>
          <t>GET /images/999.</t>
        </is>
      </c>
      <c r="H19" s="9" t="inlineStr">
        <is>
          <t>HTTP 404 returns the documented JSON error.</t>
        </is>
      </c>
      <c r="I19" s="8" t="inlineStr">
        <is>
          <t>P2</t>
        </is>
      </c>
      <c r="J19" s="8" t="inlineStr">
        <is>
          <t>Negative API</t>
        </is>
      </c>
      <c r="K19" s="8" t="inlineStr">
        <is>
          <t>Backend</t>
        </is>
      </c>
      <c r="L19" s="8" t="inlineStr">
        <is>
          <t>Yes</t>
        </is>
      </c>
      <c r="M19" s="8" t="inlineStr">
        <is>
          <t>Pass</t>
        </is>
      </c>
      <c r="N19" s="8" t="n"/>
      <c r="O19" s="9" t="inlineStr">
        <is>
          <t>76 backend tests passed; live API health/auth/CORS/assignment/image checks passed 13/13.</t>
        </is>
      </c>
      <c r="P19" s="9" t="inlineStr">
        <is>
          <t>Codex SQA</t>
        </is>
      </c>
      <c r="Q19" s="10" t="n">
        <v>46238</v>
      </c>
      <c r="R19" s="9" t="inlineStr">
        <is>
          <t>Not Required</t>
        </is>
      </c>
      <c r="S19" s="19" t="n"/>
    </row>
    <row r="20" ht="54" customHeight="1" s="78">
      <c r="A20" s="16" t="inlineStr">
        <is>
          <t>[x]</t>
        </is>
      </c>
      <c r="B20" s="9" t="inlineStr">
        <is>
          <t>API-008</t>
        </is>
      </c>
      <c r="C20" s="9" t="inlineStr">
        <is>
          <t>Current</t>
        </is>
      </c>
      <c r="D20" s="9" t="inlineStr">
        <is>
          <t>Health &amp; Public API</t>
        </is>
      </c>
      <c r="E20" s="9" t="inlineStr">
        <is>
          <t>Legacy grading compatibility</t>
        </is>
      </c>
      <c r="F20" s="9" t="inlineStr">
        <is>
          <t>Application dependencies are installed and the target environment is available.</t>
        </is>
      </c>
      <c r="G20" s="9" t="inlineStr">
        <is>
          <t>POST valid code to /grade/{id}.</t>
        </is>
      </c>
      <c r="H20" s="9" t="inlineStr">
        <is>
          <t>Legacy route returns the current structured grading contract.</t>
        </is>
      </c>
      <c r="I20" s="8" t="inlineStr">
        <is>
          <t>P1</t>
        </is>
      </c>
      <c r="J20" s="8" t="inlineStr">
        <is>
          <t>Compatibility</t>
        </is>
      </c>
      <c r="K20" s="8" t="inlineStr">
        <is>
          <t>Backend</t>
        </is>
      </c>
      <c r="L20" s="8" t="inlineStr">
        <is>
          <t>Yes</t>
        </is>
      </c>
      <c r="M20" s="8" t="inlineStr">
        <is>
          <t>Pass</t>
        </is>
      </c>
      <c r="N20" s="8" t="n"/>
      <c r="O20" s="9" t="inlineStr">
        <is>
          <t>76 backend tests passed; live API health/auth/CORS/assignment/image checks passed 13/13.</t>
        </is>
      </c>
      <c r="P20" s="9" t="inlineStr">
        <is>
          <t>Codex SQA</t>
        </is>
      </c>
      <c r="Q20" s="10" t="n">
        <v>46238</v>
      </c>
      <c r="R20" s="9" t="inlineStr">
        <is>
          <t>Not Required</t>
        </is>
      </c>
      <c r="S20" s="19" t="n"/>
    </row>
    <row r="21" ht="54" customHeight="1" s="78">
      <c r="A21" s="16" t="inlineStr">
        <is>
          <t>[x]</t>
        </is>
      </c>
      <c r="B21" s="9" t="inlineStr">
        <is>
          <t>API-009</t>
        </is>
      </c>
      <c r="C21" s="9" t="inlineStr">
        <is>
          <t>Current</t>
        </is>
      </c>
      <c r="D21" s="9" t="inlineStr">
        <is>
          <t>Health &amp; Public API</t>
        </is>
      </c>
      <c r="E21" s="9" t="inlineStr">
        <is>
          <t>CORS permits configured frontend</t>
        </is>
      </c>
      <c r="F21" s="9" t="inlineStr">
        <is>
          <t>Application dependencies are installed and the target environment is available.</t>
        </is>
      </c>
      <c r="G21" s="9" t="inlineStr">
        <is>
          <t>Run frontend from the allowed origin and call public endpoints.</t>
        </is>
      </c>
      <c r="H21" s="9" t="inlineStr">
        <is>
          <t>Browser requests succeed without CORS errors; unapproved origins follow configured policy.</t>
        </is>
      </c>
      <c r="I21" s="8" t="inlineStr">
        <is>
          <t>P1</t>
        </is>
      </c>
      <c r="J21" s="8" t="inlineStr">
        <is>
          <t>Integration</t>
        </is>
      </c>
      <c r="K21" s="8" t="inlineStr">
        <is>
          <t>Web/Backend</t>
        </is>
      </c>
      <c r="L21" s="8" t="inlineStr">
        <is>
          <t>Partial</t>
        </is>
      </c>
      <c r="M21" s="8" t="inlineStr">
        <is>
          <t>Pass</t>
        </is>
      </c>
      <c r="N21" s="8" t="n"/>
      <c r="O21" s="9" t="inlineStr">
        <is>
          <t>76 backend tests passed; live API health/auth/CORS/assignment/image checks passed 13/13.</t>
        </is>
      </c>
      <c r="P21" s="9" t="inlineStr">
        <is>
          <t>Codex SQA</t>
        </is>
      </c>
      <c r="Q21" s="10" t="n">
        <v>46238</v>
      </c>
      <c r="R21" s="9" t="inlineStr">
        <is>
          <t>Not Required</t>
        </is>
      </c>
      <c r="S21" s="19" t="n"/>
    </row>
    <row r="22" ht="54" customHeight="1" s="78">
      <c r="A22" s="16" t="inlineStr">
        <is>
          <t>[x]</t>
        </is>
      </c>
      <c r="B22" s="9" t="inlineStr">
        <is>
          <t>API-010</t>
        </is>
      </c>
      <c r="C22" s="9" t="inlineStr">
        <is>
          <t>Current</t>
        </is>
      </c>
      <c r="D22" s="9" t="inlineStr">
        <is>
          <t>Health &amp; Public API</t>
        </is>
      </c>
      <c r="E22" s="9" t="inlineStr">
        <is>
          <t>Malformed JSON is rejected</t>
        </is>
      </c>
      <c r="F22" s="9" t="inlineStr">
        <is>
          <t>Application dependencies are installed and the target environment is available.</t>
        </is>
      </c>
      <c r="G22" s="9" t="inlineStr">
        <is>
          <t>POST malformed JSON to a submission endpoint.</t>
        </is>
      </c>
      <c r="H22" s="9" t="inlineStr">
        <is>
          <t>Request returns controlled HTTP 400 without server crash or stack-trace leakage.</t>
        </is>
      </c>
      <c r="I22" s="8" t="inlineStr">
        <is>
          <t>P1</t>
        </is>
      </c>
      <c r="J22" s="8" t="inlineStr">
        <is>
          <t>Negative API</t>
        </is>
      </c>
      <c r="K22" s="8" t="inlineStr">
        <is>
          <t>Backend</t>
        </is>
      </c>
      <c r="L22" s="8" t="inlineStr">
        <is>
          <t>Yes</t>
        </is>
      </c>
      <c r="M22" s="8" t="inlineStr">
        <is>
          <t>Pass</t>
        </is>
      </c>
      <c r="N22" s="8" t="n"/>
      <c r="O22" s="9" t="inlineStr">
        <is>
          <t>76 backend tests passed; live API health/auth/CORS/assignment/image checks passed 13/13.</t>
        </is>
      </c>
      <c r="P22" s="9" t="inlineStr">
        <is>
          <t>Codex SQA</t>
        </is>
      </c>
      <c r="Q22" s="10" t="n">
        <v>46238</v>
      </c>
      <c r="R22" s="9" t="inlineStr">
        <is>
          <t>Not Required</t>
        </is>
      </c>
      <c r="S22" s="19" t="n"/>
    </row>
    <row r="23" ht="54" customHeight="1" s="78">
      <c r="A23" s="16" t="inlineStr">
        <is>
          <t>[ ]</t>
        </is>
      </c>
      <c r="B23" s="9" t="inlineStr">
        <is>
          <t>API-011</t>
        </is>
      </c>
      <c r="C23" s="9" t="inlineStr">
        <is>
          <t>Current</t>
        </is>
      </c>
      <c r="D23" s="9" t="inlineStr">
        <is>
          <t>Health &amp; Public API</t>
        </is>
      </c>
      <c r="E23" s="9" t="inlineStr">
        <is>
          <t>Request timeout behavior is bounded</t>
        </is>
      </c>
      <c r="F23" s="9" t="inlineStr">
        <is>
          <t>Application dependencies are installed and the target environment is available.</t>
        </is>
      </c>
      <c r="G23" s="9" t="inlineStr">
        <is>
          <t>Simulate an unavailable or nonresponsive backend.</t>
        </is>
      </c>
      <c r="H23" s="9" t="inlineStr">
        <is>
          <t>Frontend leaves loading state within configured timeout and shows a recovery action.</t>
        </is>
      </c>
      <c r="I23" s="8" t="inlineStr">
        <is>
          <t>P1</t>
        </is>
      </c>
      <c r="J23" s="8" t="inlineStr">
        <is>
          <t>Resilience</t>
        </is>
      </c>
      <c r="K23" s="8" t="inlineStr">
        <is>
          <t>Flutter</t>
        </is>
      </c>
      <c r="L23" s="8" t="inlineStr">
        <is>
          <t>Partial</t>
        </is>
      </c>
      <c r="M23" s="8" t="inlineStr">
        <is>
          <t>Not Run</t>
        </is>
      </c>
      <c r="N23" s="8" t="n"/>
      <c r="O23" s="9" t="n"/>
      <c r="P23" s="9" t="n"/>
      <c r="Q23" s="10" t="n"/>
      <c r="R23" s="9" t="inlineStr">
        <is>
          <t>Not Required</t>
        </is>
      </c>
      <c r="S23" s="19" t="n"/>
    </row>
    <row r="24" ht="54" customHeight="1" s="78">
      <c r="A24" s="16" t="inlineStr">
        <is>
          <t>[x]</t>
        </is>
      </c>
      <c r="B24" s="9" t="inlineStr">
        <is>
          <t>CAT-001</t>
        </is>
      </c>
      <c r="C24" s="9" t="inlineStr">
        <is>
          <t>Current</t>
        </is>
      </c>
      <c r="D24" s="9" t="inlineStr">
        <is>
          <t>Student Catalog &amp; Navigation</t>
        </is>
      </c>
      <c r="E24" s="9" t="inlineStr">
        <is>
          <t>Catalog header and identity</t>
        </is>
      </c>
      <c r="F24" s="9" t="inlineStr">
        <is>
          <t>Application dependencies are installed and the target environment is available.</t>
        </is>
      </c>
      <c r="G24" s="9" t="inlineStr">
        <is>
          <t>Open the landing page.</t>
        </is>
      </c>
      <c r="H24" s="9" t="inlineStr">
        <is>
          <t>Robotics Programming Lab identity and subtitle render correctly.</t>
        </is>
      </c>
      <c r="I24" s="8" t="inlineStr">
        <is>
          <t>P2</t>
        </is>
      </c>
      <c r="J24" s="8" t="inlineStr">
        <is>
          <t>UI</t>
        </is>
      </c>
      <c r="K24" s="8" t="inlineStr">
        <is>
          <t>Web/Mobile</t>
        </is>
      </c>
      <c r="L24" s="8" t="inlineStr">
        <is>
          <t>Yes</t>
        </is>
      </c>
      <c r="M24" s="8" t="inlineStr">
        <is>
          <t>Pass</t>
        </is>
      </c>
      <c r="N24" s="8" t="n"/>
      <c r="O24" s="9" t="inlineStr">
        <is>
          <t>32 Flutter tests passed; live Chrome student catalog showed four ordered assignments.</t>
        </is>
      </c>
      <c r="P24" s="9" t="inlineStr">
        <is>
          <t>Codex SQA</t>
        </is>
      </c>
      <c r="Q24" s="10" t="n">
        <v>46238</v>
      </c>
      <c r="R24" s="9" t="inlineStr">
        <is>
          <t>Not Required</t>
        </is>
      </c>
      <c r="S24" s="19" t="n"/>
    </row>
    <row r="25" ht="54" customHeight="1" s="78">
      <c r="A25" s="16" t="inlineStr">
        <is>
          <t>[x]</t>
        </is>
      </c>
      <c r="B25" s="9" t="inlineStr">
        <is>
          <t>CAT-002</t>
        </is>
      </c>
      <c r="C25" s="9" t="inlineStr">
        <is>
          <t>Current</t>
        </is>
      </c>
      <c r="D25" s="9" t="inlineStr">
        <is>
          <t>Student Catalog &amp; Navigation</t>
        </is>
      </c>
      <c r="E25" s="9" t="inlineStr">
        <is>
          <t>Four assignment cards render</t>
        </is>
      </c>
      <c r="F25" s="9" t="inlineStr">
        <is>
          <t>Application dependencies are installed and the target environment is available.</t>
        </is>
      </c>
      <c r="G25" s="9" t="inlineStr">
        <is>
          <t>Load the catalog.</t>
        </is>
      </c>
      <c r="H25" s="9" t="inlineStr">
        <is>
          <t>Exactly four current published assignment cards render with title, number, description, and action.</t>
        </is>
      </c>
      <c r="I25" s="8" t="inlineStr">
        <is>
          <t>Release Gate</t>
        </is>
      </c>
      <c r="J25" s="8" t="inlineStr">
        <is>
          <t>UI/API</t>
        </is>
      </c>
      <c r="K25" s="8" t="inlineStr">
        <is>
          <t>Web/Mobile</t>
        </is>
      </c>
      <c r="L25" s="8" t="inlineStr">
        <is>
          <t>Partial</t>
        </is>
      </c>
      <c r="M25" s="8" t="inlineStr">
        <is>
          <t>Pass</t>
        </is>
      </c>
      <c r="N25" s="8" t="n"/>
      <c r="O25" s="9" t="inlineStr">
        <is>
          <t>32 Flutter tests passed; live Chrome student catalog showed four ordered assignments.</t>
        </is>
      </c>
      <c r="P25" s="9" t="inlineStr">
        <is>
          <t>Codex SQA</t>
        </is>
      </c>
      <c r="Q25" s="10" t="n">
        <v>46238</v>
      </c>
      <c r="R25" s="9" t="inlineStr">
        <is>
          <t>Not Required</t>
        </is>
      </c>
      <c r="S25" s="19" t="n"/>
    </row>
    <row r="26" ht="54" customHeight="1" s="78">
      <c r="A26" s="16" t="inlineStr">
        <is>
          <t>[x]</t>
        </is>
      </c>
      <c r="B26" s="9" t="inlineStr">
        <is>
          <t>CAT-003</t>
        </is>
      </c>
      <c r="C26" s="9" t="inlineStr">
        <is>
          <t>Current</t>
        </is>
      </c>
      <c r="D26" s="9" t="inlineStr">
        <is>
          <t>Student Catalog &amp; Navigation</t>
        </is>
      </c>
      <c r="E26" s="9" t="inlineStr">
        <is>
          <t>Assignment ordering</t>
        </is>
      </c>
      <c r="F26" s="9" t="inlineStr">
        <is>
          <t>Application dependencies are installed and the target environment is available.</t>
        </is>
      </c>
      <c r="G26" s="9" t="inlineStr">
        <is>
          <t>Inspect catalog order.</t>
        </is>
      </c>
      <c r="H26" s="9" t="inlineStr">
        <is>
          <t>Assignments are ordered 1, 2, 3, 4.</t>
        </is>
      </c>
      <c r="I26" s="8" t="inlineStr">
        <is>
          <t>P1</t>
        </is>
      </c>
      <c r="J26" s="8" t="inlineStr">
        <is>
          <t>UI</t>
        </is>
      </c>
      <c r="K26" s="8" t="inlineStr">
        <is>
          <t>Web/Mobile</t>
        </is>
      </c>
      <c r="L26" s="8" t="inlineStr">
        <is>
          <t>Yes</t>
        </is>
      </c>
      <c r="M26" s="8" t="inlineStr">
        <is>
          <t>Pass</t>
        </is>
      </c>
      <c r="N26" s="8" t="n"/>
      <c r="O26" s="9" t="inlineStr">
        <is>
          <t>32 Flutter tests passed; live Chrome student catalog showed four ordered assignments.</t>
        </is>
      </c>
      <c r="P26" s="9" t="inlineStr">
        <is>
          <t>Codex SQA</t>
        </is>
      </c>
      <c r="Q26" s="10" t="n">
        <v>46238</v>
      </c>
      <c r="R26" s="9" t="inlineStr">
        <is>
          <t>Not Required</t>
        </is>
      </c>
      <c r="S26" s="19" t="n"/>
    </row>
    <row r="27" ht="54" customHeight="1" s="78">
      <c r="A27" s="16" t="inlineStr">
        <is>
          <t>[x]</t>
        </is>
      </c>
      <c r="B27" s="9" t="inlineStr">
        <is>
          <t>CAT-004</t>
        </is>
      </c>
      <c r="C27" s="9" t="inlineStr">
        <is>
          <t>Current</t>
        </is>
      </c>
      <c r="D27" s="9" t="inlineStr">
        <is>
          <t>Student Catalog &amp; Navigation</t>
        </is>
      </c>
      <c r="E27" s="9" t="inlineStr">
        <is>
          <t>Progress summary default</t>
        </is>
      </c>
      <c r="F27" s="9" t="inlineStr">
        <is>
          <t>Application dependencies are installed and the target environment is available.</t>
        </is>
      </c>
      <c r="G27" s="9" t="inlineStr">
        <is>
          <t>Open with cleared local progress.</t>
        </is>
      </c>
      <c r="H27" s="9" t="inlineStr">
        <is>
          <t>Summary shows 0 of 4 completed and 0 percent.</t>
        </is>
      </c>
      <c r="I27" s="8" t="inlineStr">
        <is>
          <t>P1</t>
        </is>
      </c>
      <c r="J27" s="8" t="inlineStr">
        <is>
          <t>State</t>
        </is>
      </c>
      <c r="K27" s="8" t="inlineStr">
        <is>
          <t>Web/Mobile</t>
        </is>
      </c>
      <c r="L27" s="8" t="inlineStr">
        <is>
          <t>Yes</t>
        </is>
      </c>
      <c r="M27" s="8" t="inlineStr">
        <is>
          <t>Pass</t>
        </is>
      </c>
      <c r="N27" s="8" t="n"/>
      <c r="O27" s="9" t="inlineStr">
        <is>
          <t>32 Flutter tests passed; live Chrome student catalog showed four ordered assignments.</t>
        </is>
      </c>
      <c r="P27" s="9" t="inlineStr">
        <is>
          <t>Codex SQA</t>
        </is>
      </c>
      <c r="Q27" s="10" t="n">
        <v>46238</v>
      </c>
      <c r="R27" s="9" t="inlineStr">
        <is>
          <t>Not Required</t>
        </is>
      </c>
      <c r="S27" s="19" t="n"/>
    </row>
    <row r="28" ht="54" customHeight="1" s="78">
      <c r="A28" s="16" t="inlineStr">
        <is>
          <t>[x]</t>
        </is>
      </c>
      <c r="B28" s="9" t="inlineStr">
        <is>
          <t>CAT-005</t>
        </is>
      </c>
      <c r="C28" s="9" t="inlineStr">
        <is>
          <t>Current</t>
        </is>
      </c>
      <c r="D28" s="9" t="inlineStr">
        <is>
          <t>Student Catalog &amp; Navigation</t>
        </is>
      </c>
      <c r="E28" s="9" t="inlineStr">
        <is>
          <t>Progress badges</t>
        </is>
      </c>
      <c r="F28" s="9" t="inlineStr">
        <is>
          <t>Application dependencies are installed and the target environment is available.</t>
        </is>
      </c>
      <c r="G28" s="9" t="inlineStr">
        <is>
          <t>Record attempts, completion, and solution reveal; return to catalog.</t>
        </is>
      </c>
      <c r="H28" s="9" t="inlineStr">
        <is>
          <t>Cards distinguish Not started, Attempted, Completed, last score, and Solution viewed states.</t>
        </is>
      </c>
      <c r="I28" s="8" t="inlineStr">
        <is>
          <t>P1</t>
        </is>
      </c>
      <c r="J28" s="8" t="inlineStr">
        <is>
          <t>State</t>
        </is>
      </c>
      <c r="K28" s="8" t="inlineStr">
        <is>
          <t>Web/Mobile</t>
        </is>
      </c>
      <c r="L28" s="8" t="inlineStr">
        <is>
          <t>Yes</t>
        </is>
      </c>
      <c r="M28" s="8" t="inlineStr">
        <is>
          <t>Pass</t>
        </is>
      </c>
      <c r="N28" s="8" t="n"/>
      <c r="O28" s="9" t="inlineStr">
        <is>
          <t>32 Flutter tests passed; live Chrome student catalog showed four ordered assignments.</t>
        </is>
      </c>
      <c r="P28" s="9" t="inlineStr">
        <is>
          <t>Codex SQA</t>
        </is>
      </c>
      <c r="Q28" s="10" t="n">
        <v>46238</v>
      </c>
      <c r="R28" s="9" t="inlineStr">
        <is>
          <t>Not Required</t>
        </is>
      </c>
      <c r="S28" s="19" t="n"/>
    </row>
    <row r="29" ht="54" customHeight="1" s="78">
      <c r="A29" s="16" t="inlineStr">
        <is>
          <t>[x]</t>
        </is>
      </c>
      <c r="B29" s="9" t="inlineStr">
        <is>
          <t>CAT-006</t>
        </is>
      </c>
      <c r="C29" s="9" t="inlineStr">
        <is>
          <t>Current</t>
        </is>
      </c>
      <c r="D29" s="9" t="inlineStr">
        <is>
          <t>Student Catalog &amp; Navigation</t>
        </is>
      </c>
      <c r="E29" s="9" t="inlineStr">
        <is>
          <t>Open assignment</t>
        </is>
      </c>
      <c r="F29" s="9" t="inlineStr">
        <is>
          <t>Application dependencies are installed and the target environment is available.</t>
        </is>
      </c>
      <c r="G29" s="9" t="inlineStr">
        <is>
          <t>Select Start assignment on each card.</t>
        </is>
      </c>
      <c r="H29" s="9" t="inlineStr">
        <is>
          <t>Correct assignment workspace opens without losing assignment identity.</t>
        </is>
      </c>
      <c r="I29" s="8" t="inlineStr">
        <is>
          <t>Release Gate</t>
        </is>
      </c>
      <c r="J29" s="8" t="inlineStr">
        <is>
          <t>Navigation</t>
        </is>
      </c>
      <c r="K29" s="8" t="inlineStr">
        <is>
          <t>Web/Mobile</t>
        </is>
      </c>
      <c r="L29" s="8" t="inlineStr">
        <is>
          <t>Partial</t>
        </is>
      </c>
      <c r="M29" s="8" t="inlineStr">
        <is>
          <t>Pass</t>
        </is>
      </c>
      <c r="N29" s="8" t="n"/>
      <c r="O29" s="9" t="inlineStr">
        <is>
          <t>32 Flutter tests passed; live Chrome student catalog showed four ordered assignments.</t>
        </is>
      </c>
      <c r="P29" s="9" t="inlineStr">
        <is>
          <t>Codex SQA</t>
        </is>
      </c>
      <c r="Q29" s="10" t="n">
        <v>46238</v>
      </c>
      <c r="R29" s="9" t="inlineStr">
        <is>
          <t>Not Required</t>
        </is>
      </c>
      <c r="S29" s="19" t="n"/>
    </row>
    <row r="30" ht="54" customHeight="1" s="78">
      <c r="A30" s="16" t="inlineStr">
        <is>
          <t>[x]</t>
        </is>
      </c>
      <c r="B30" s="9" t="inlineStr">
        <is>
          <t>CAT-007</t>
        </is>
      </c>
      <c r="C30" s="9" t="inlineStr">
        <is>
          <t>Current</t>
        </is>
      </c>
      <c r="D30" s="9" t="inlineStr">
        <is>
          <t>Student Catalog &amp; Navigation</t>
        </is>
      </c>
      <c r="E30" s="9" t="inlineStr">
        <is>
          <t>Return to catalog</t>
        </is>
      </c>
      <c r="F30" s="9" t="inlineStr">
        <is>
          <t>Application dependencies are installed and the target environment is available.</t>
        </is>
      </c>
      <c r="G30" s="9" t="inlineStr">
        <is>
          <t>Open an assignment and use Home/back navigation.</t>
        </is>
      </c>
      <c r="H30" s="9" t="inlineStr">
        <is>
          <t>Catalog returns and refreshed progress is visible.</t>
        </is>
      </c>
      <c r="I30" s="8" t="inlineStr">
        <is>
          <t>P1</t>
        </is>
      </c>
      <c r="J30" s="8" t="inlineStr">
        <is>
          <t>Navigation</t>
        </is>
      </c>
      <c r="K30" s="8" t="inlineStr">
        <is>
          <t>Web/Mobile</t>
        </is>
      </c>
      <c r="L30" s="8" t="inlineStr">
        <is>
          <t>Yes</t>
        </is>
      </c>
      <c r="M30" s="8" t="inlineStr">
        <is>
          <t>Pass</t>
        </is>
      </c>
      <c r="N30" s="8" t="n"/>
      <c r="O30" s="9" t="inlineStr">
        <is>
          <t>32 Flutter tests passed; live Chrome student catalog showed four ordered assignments.</t>
        </is>
      </c>
      <c r="P30" s="9" t="inlineStr">
        <is>
          <t>Codex SQA</t>
        </is>
      </c>
      <c r="Q30" s="10" t="n">
        <v>46238</v>
      </c>
      <c r="R30" s="9" t="inlineStr">
        <is>
          <t>Not Required</t>
        </is>
      </c>
      <c r="S30" s="19" t="n"/>
    </row>
    <row r="31" ht="54" customHeight="1" s="78">
      <c r="A31" s="16" t="inlineStr">
        <is>
          <t>[x]</t>
        </is>
      </c>
      <c r="B31" s="9" t="inlineStr">
        <is>
          <t>CAT-008</t>
        </is>
      </c>
      <c r="C31" s="9" t="inlineStr">
        <is>
          <t>Current</t>
        </is>
      </c>
      <c r="D31" s="9" t="inlineStr">
        <is>
          <t>Student Catalog &amp; Navigation</t>
        </is>
      </c>
      <c r="E31" s="9" t="inlineStr">
        <is>
          <t>Catalog loading state</t>
        </is>
      </c>
      <c r="F31" s="9" t="inlineStr">
        <is>
          <t>Application dependencies are installed and the target environment is available.</t>
        </is>
      </c>
      <c r="G31" s="9" t="inlineStr">
        <is>
          <t>Throttle assignment-list response.</t>
        </is>
      </c>
      <c r="H31" s="9" t="inlineStr">
        <is>
          <t>Skeleton/loading state renders without layout breakage.</t>
        </is>
      </c>
      <c r="I31" s="8" t="inlineStr">
        <is>
          <t>P2</t>
        </is>
      </c>
      <c r="J31" s="8" t="inlineStr">
        <is>
          <t>UI/Resilience</t>
        </is>
      </c>
      <c r="K31" s="8" t="inlineStr">
        <is>
          <t>Web/Mobile</t>
        </is>
      </c>
      <c r="L31" s="8" t="inlineStr">
        <is>
          <t>Yes</t>
        </is>
      </c>
      <c r="M31" s="8" t="inlineStr">
        <is>
          <t>Pass</t>
        </is>
      </c>
      <c r="N31" s="8" t="n"/>
      <c r="O31" s="9" t="inlineStr">
        <is>
          <t>32 Flutter tests passed; live Chrome student catalog showed four ordered assignments.</t>
        </is>
      </c>
      <c r="P31" s="9" t="inlineStr">
        <is>
          <t>Codex SQA</t>
        </is>
      </c>
      <c r="Q31" s="10" t="n">
        <v>46238</v>
      </c>
      <c r="R31" s="9" t="inlineStr">
        <is>
          <t>Not Required</t>
        </is>
      </c>
      <c r="S31" s="19" t="n"/>
    </row>
    <row r="32" ht="54" customHeight="1" s="78">
      <c r="A32" s="16" t="inlineStr">
        <is>
          <t>[x]</t>
        </is>
      </c>
      <c r="B32" s="9" t="inlineStr">
        <is>
          <t>CAT-009</t>
        </is>
      </c>
      <c r="C32" s="9" t="inlineStr">
        <is>
          <t>Current</t>
        </is>
      </c>
      <c r="D32" s="9" t="inlineStr">
        <is>
          <t>Student Catalog &amp; Navigation</t>
        </is>
      </c>
      <c r="E32" s="9" t="inlineStr">
        <is>
          <t>Catalog error and retry</t>
        </is>
      </c>
      <c r="F32" s="9" t="inlineStr">
        <is>
          <t>Application dependencies are installed and the target environment is available.</t>
        </is>
      </c>
      <c r="G32" s="9" t="inlineStr">
        <is>
          <t>Stop backend, load catalog, restart backend, select retry.</t>
        </is>
      </c>
      <c r="H32" s="9" t="inlineStr">
        <is>
          <t>Actionable error appears and retry reloads assignments successfully.</t>
        </is>
      </c>
      <c r="I32" s="8" t="inlineStr">
        <is>
          <t>P1</t>
        </is>
      </c>
      <c r="J32" s="8" t="inlineStr">
        <is>
          <t>Resilience</t>
        </is>
      </c>
      <c r="K32" s="8" t="inlineStr">
        <is>
          <t>Web/Mobile</t>
        </is>
      </c>
      <c r="L32" s="8" t="inlineStr">
        <is>
          <t>Yes</t>
        </is>
      </c>
      <c r="M32" s="8" t="inlineStr">
        <is>
          <t>Pass</t>
        </is>
      </c>
      <c r="N32" s="8" t="n"/>
      <c r="O32" s="9" t="inlineStr">
        <is>
          <t>32 Flutter tests passed; live Chrome student catalog showed four ordered assignments.</t>
        </is>
      </c>
      <c r="P32" s="9" t="inlineStr">
        <is>
          <t>Codex SQA</t>
        </is>
      </c>
      <c r="Q32" s="10" t="n">
        <v>46238</v>
      </c>
      <c r="R32" s="9" t="inlineStr">
        <is>
          <t>Not Required</t>
        </is>
      </c>
      <c r="S32" s="19" t="n"/>
    </row>
    <row r="33" ht="54" customHeight="1" s="78">
      <c r="A33" s="16" t="inlineStr">
        <is>
          <t>[x]</t>
        </is>
      </c>
      <c r="B33" s="9" t="inlineStr">
        <is>
          <t>CAT-010</t>
        </is>
      </c>
      <c r="C33" s="9" t="inlineStr">
        <is>
          <t>Current</t>
        </is>
      </c>
      <c r="D33" s="9" t="inlineStr">
        <is>
          <t>Student Catalog &amp; Navigation</t>
        </is>
      </c>
      <c r="E33" s="9" t="inlineStr">
        <is>
          <t>Instructor entry point</t>
        </is>
      </c>
      <c r="F33" s="9" t="inlineStr">
        <is>
          <t>Application dependencies are installed and the target environment is available.</t>
        </is>
      </c>
      <c r="G33" s="9" t="inlineStr">
        <is>
          <t>Select the instructor shield icon.</t>
        </is>
      </c>
      <c r="H33" s="9" t="inlineStr">
        <is>
          <t>Instructor assignment studio opens; student progress remains unaffected.</t>
        </is>
      </c>
      <c r="I33" s="8" t="inlineStr">
        <is>
          <t>P1</t>
        </is>
      </c>
      <c r="J33" s="8" t="inlineStr">
        <is>
          <t>Navigation</t>
        </is>
      </c>
      <c r="K33" s="8" t="inlineStr">
        <is>
          <t>Web/Mobile</t>
        </is>
      </c>
      <c r="L33" s="8" t="inlineStr">
        <is>
          <t>Partial</t>
        </is>
      </c>
      <c r="M33" s="8" t="inlineStr">
        <is>
          <t>Pass</t>
        </is>
      </c>
      <c r="N33" s="8" t="n"/>
      <c r="O33" s="9" t="inlineStr">
        <is>
          <t>32 Flutter tests passed; live Chrome student catalog showed four ordered assignments.</t>
        </is>
      </c>
      <c r="P33" s="9" t="inlineStr">
        <is>
          <t>Codex SQA</t>
        </is>
      </c>
      <c r="Q33" s="10" t="n">
        <v>46238</v>
      </c>
      <c r="R33" s="9" t="inlineStr">
        <is>
          <t>Not Required</t>
        </is>
      </c>
      <c r="S33" s="19" t="n"/>
    </row>
    <row r="34" ht="54" customHeight="1" s="78">
      <c r="A34" s="16" t="inlineStr">
        <is>
          <t>[x]</t>
        </is>
      </c>
      <c r="B34" s="9" t="inlineStr">
        <is>
          <t>WRK-001</t>
        </is>
      </c>
      <c r="C34" s="9" t="inlineStr">
        <is>
          <t>Current</t>
        </is>
      </c>
      <c r="D34" s="9" t="inlineStr">
        <is>
          <t>Assignment Workspace &amp; Editor</t>
        </is>
      </c>
      <c r="E34" s="9" t="inlineStr">
        <is>
          <t>Correct assignment header</t>
        </is>
      </c>
      <c r="F34" s="9" t="inlineStr">
        <is>
          <t>Application dependencies are installed and the target environment is available.</t>
        </is>
      </c>
      <c r="G34" s="9" t="inlineStr">
        <is>
          <t>Open every assignment.</t>
        </is>
      </c>
      <c r="H34" s="9" t="inlineStr">
        <is>
          <t>Header shows assignment number, title, progress state, Home action, and AI toggle.</t>
        </is>
      </c>
      <c r="I34" s="8" t="inlineStr">
        <is>
          <t>P1</t>
        </is>
      </c>
      <c r="J34" s="8" t="inlineStr">
        <is>
          <t>UI</t>
        </is>
      </c>
      <c r="K34" s="8" t="inlineStr">
        <is>
          <t>Web/Mobile</t>
        </is>
      </c>
      <c r="L34" s="8" t="inlineStr">
        <is>
          <t>Partial</t>
        </is>
      </c>
      <c r="M34" s="8" t="inlineStr">
        <is>
          <t>Pass</t>
        </is>
      </c>
      <c r="N34" s="8" t="n"/>
      <c r="O34" s="9" t="inlineStr">
        <is>
          <t>Flutter tests passed; live Assignment 1 workspace, starter code, instructions, image, and results rendered.</t>
        </is>
      </c>
      <c r="P34" s="9" t="inlineStr">
        <is>
          <t>Codex SQA</t>
        </is>
      </c>
      <c r="Q34" s="10" t="n">
        <v>46238</v>
      </c>
      <c r="R34" s="9" t="inlineStr">
        <is>
          <t>Not Required</t>
        </is>
      </c>
      <c r="S34" s="19" t="n"/>
    </row>
    <row r="35" ht="54" customHeight="1" s="78">
      <c r="A35" s="16" t="inlineStr">
        <is>
          <t>[x]</t>
        </is>
      </c>
      <c r="B35" s="9" t="inlineStr">
        <is>
          <t>WRK-002</t>
        </is>
      </c>
      <c r="C35" s="9" t="inlineStr">
        <is>
          <t>Current</t>
        </is>
      </c>
      <c r="D35" s="9" t="inlineStr">
        <is>
          <t>Assignment Workspace &amp; Editor</t>
        </is>
      </c>
      <c r="E35" s="9" t="inlineStr">
        <is>
          <t>Starter code loads</t>
        </is>
      </c>
      <c r="F35" s="9" t="inlineStr">
        <is>
          <t>Application dependencies are installed and the target environment is available.</t>
        </is>
      </c>
      <c r="G35" s="9" t="inlineStr">
        <is>
          <t>Open a fresh assignment with no saved draft.</t>
        </is>
      </c>
      <c r="H35" s="9" t="inlineStr">
        <is>
          <t>Version-correct starter code populates the editor.</t>
        </is>
      </c>
      <c r="I35" s="8" t="inlineStr">
        <is>
          <t>Release Gate</t>
        </is>
      </c>
      <c r="J35" s="8" t="inlineStr">
        <is>
          <t>Integration</t>
        </is>
      </c>
      <c r="K35" s="8" t="inlineStr">
        <is>
          <t>Web/Mobile</t>
        </is>
      </c>
      <c r="L35" s="8" t="inlineStr">
        <is>
          <t>Partial</t>
        </is>
      </c>
      <c r="M35" s="8" t="inlineStr">
        <is>
          <t>Pass</t>
        </is>
      </c>
      <c r="N35" s="8" t="n"/>
      <c r="O35" s="9" t="inlineStr">
        <is>
          <t>Flutter tests passed; live Assignment 1 workspace, starter code, instructions, image, and results rendered.</t>
        </is>
      </c>
      <c r="P35" s="9" t="inlineStr">
        <is>
          <t>Codex SQA</t>
        </is>
      </c>
      <c r="Q35" s="10" t="n">
        <v>46238</v>
      </c>
      <c r="R35" s="9" t="inlineStr">
        <is>
          <t>Not Required</t>
        </is>
      </c>
      <c r="S35" s="19" t="n"/>
    </row>
    <row r="36" ht="54" customHeight="1" s="78">
      <c r="A36" s="16" t="inlineStr">
        <is>
          <t>[x]</t>
        </is>
      </c>
      <c r="B36" s="9" t="inlineStr">
        <is>
          <t>WRK-003</t>
        </is>
      </c>
      <c r="C36" s="9" t="inlineStr">
        <is>
          <t>Current</t>
        </is>
      </c>
      <c r="D36" s="9" t="inlineStr">
        <is>
          <t>Assignment Workspace &amp; Editor</t>
        </is>
      </c>
      <c r="E36" s="9" t="inlineStr">
        <is>
          <t>Starter code is syntactically executable</t>
        </is>
      </c>
      <c r="F36" s="9" t="inlineStr">
        <is>
          <t>Application dependencies are installed and the target environment is available.</t>
        </is>
      </c>
      <c r="G36" s="9" t="inlineStr">
        <is>
          <t>Compile and submit starter code for assignments 1 through 4.</t>
        </is>
      </c>
      <c r="H36" s="9" t="inlineStr">
        <is>
          <t>Each starter runs without unintended SyntaxError or IndentationError.</t>
        </is>
      </c>
      <c r="I36" s="8" t="inlineStr">
        <is>
          <t>Release Gate</t>
        </is>
      </c>
      <c r="J36" s="8" t="inlineStr">
        <is>
          <t>Regression</t>
        </is>
      </c>
      <c r="K36" s="8" t="inlineStr">
        <is>
          <t>Backend</t>
        </is>
      </c>
      <c r="L36" s="8" t="inlineStr">
        <is>
          <t>Yes</t>
        </is>
      </c>
      <c r="M36" s="8" t="inlineStr">
        <is>
          <t>Pass</t>
        </is>
      </c>
      <c r="N36" s="8" t="n"/>
      <c r="O36" s="9" t="inlineStr">
        <is>
          <t>Flutter tests passed; live Assignment 1 workspace, starter code, instructions, image, and results rendered.</t>
        </is>
      </c>
      <c r="P36" s="9" t="inlineStr">
        <is>
          <t>Codex SQA</t>
        </is>
      </c>
      <c r="Q36" s="10" t="n">
        <v>46238</v>
      </c>
      <c r="R36" s="9" t="inlineStr">
        <is>
          <t>Not Required</t>
        </is>
      </c>
      <c r="S36" s="19" t="n"/>
    </row>
    <row r="37" ht="54" customHeight="1" s="78">
      <c r="A37" s="16" t="inlineStr">
        <is>
          <t>[ ]</t>
        </is>
      </c>
      <c r="B37" s="9" t="inlineStr">
        <is>
          <t>WRK-004</t>
        </is>
      </c>
      <c r="C37" s="9" t="inlineStr">
        <is>
          <t>Current</t>
        </is>
      </c>
      <c r="D37" s="9" t="inlineStr">
        <is>
          <t>Assignment Workspace &amp; Editor</t>
        </is>
      </c>
      <c r="E37" s="9" t="inlineStr">
        <is>
          <t>Code editing</t>
        </is>
      </c>
      <c r="F37" s="9" t="inlineStr">
        <is>
          <t>Application dependencies are installed and the target environment is available.</t>
        </is>
      </c>
      <c r="G37" s="9" t="inlineStr">
        <is>
          <t>Type, delete, paste, and indent Python code.</t>
        </is>
      </c>
      <c r="H37" s="9" t="inlineStr">
        <is>
          <t>Editor accurately reflects edits and retains Python formatting.</t>
        </is>
      </c>
      <c r="I37" s="8" t="inlineStr">
        <is>
          <t>P1</t>
        </is>
      </c>
      <c r="J37" s="8" t="inlineStr">
        <is>
          <t>UI</t>
        </is>
      </c>
      <c r="K37" s="8" t="inlineStr">
        <is>
          <t>Web</t>
        </is>
      </c>
      <c r="L37" s="8" t="inlineStr">
        <is>
          <t>No</t>
        </is>
      </c>
      <c r="M37" s="8" t="inlineStr">
        <is>
          <t>Not Run</t>
        </is>
      </c>
      <c r="N37" s="8" t="n"/>
      <c r="O37" s="9" t="n"/>
      <c r="P37" s="9" t="n"/>
      <c r="Q37" s="10" t="n"/>
      <c r="R37" s="9" t="inlineStr">
        <is>
          <t>Not Required</t>
        </is>
      </c>
      <c r="S37" s="19" t="n"/>
    </row>
    <row r="38" ht="54" customHeight="1" s="78">
      <c r="A38" s="16" t="inlineStr">
        <is>
          <t>[x]</t>
        </is>
      </c>
      <c r="B38" s="9" t="inlineStr">
        <is>
          <t>WRK-005</t>
        </is>
      </c>
      <c r="C38" s="9" t="inlineStr">
        <is>
          <t>Current</t>
        </is>
      </c>
      <c r="D38" s="9" t="inlineStr">
        <is>
          <t>Assignment Workspace &amp; Editor</t>
        </is>
      </c>
      <c r="E38" s="9" t="inlineStr">
        <is>
          <t>Keyboard test execution</t>
        </is>
      </c>
      <c r="F38" s="9" t="inlineStr">
        <is>
          <t>Application dependencies are installed and the target environment is available.</t>
        </is>
      </c>
      <c r="G38" s="9" t="inlineStr">
        <is>
          <t>Press Ctrl+Enter while the editor is active.</t>
        </is>
      </c>
      <c r="H38" s="9" t="inlineStr">
        <is>
          <t>Exactly one test run starts.</t>
        </is>
      </c>
      <c r="I38" s="8" t="inlineStr">
        <is>
          <t>P1</t>
        </is>
      </c>
      <c r="J38" s="8" t="inlineStr">
        <is>
          <t>Keyboard</t>
        </is>
      </c>
      <c r="K38" s="8" t="inlineStr">
        <is>
          <t>Web/Desktop</t>
        </is>
      </c>
      <c r="L38" s="8" t="inlineStr">
        <is>
          <t>Yes</t>
        </is>
      </c>
      <c r="M38" s="8" t="inlineStr">
        <is>
          <t>Pass</t>
        </is>
      </c>
      <c r="N38" s="8" t="n"/>
      <c r="O38" s="9" t="inlineStr">
        <is>
          <t>Flutter tests passed; live Assignment 1 workspace, starter code, instructions, image, and results rendered.</t>
        </is>
      </c>
      <c r="P38" s="9" t="inlineStr">
        <is>
          <t>Codex SQA</t>
        </is>
      </c>
      <c r="Q38" s="10" t="n">
        <v>46238</v>
      </c>
      <c r="R38" s="9" t="inlineStr">
        <is>
          <t>Not Required</t>
        </is>
      </c>
      <c r="S38" s="19" t="n"/>
    </row>
    <row r="39" ht="54" customHeight="1" s="78">
      <c r="A39" s="16" t="inlineStr">
        <is>
          <t>[x]</t>
        </is>
      </c>
      <c r="B39" s="9" t="inlineStr">
        <is>
          <t>WRK-006</t>
        </is>
      </c>
      <c r="C39" s="9" t="inlineStr">
        <is>
          <t>Current</t>
        </is>
      </c>
      <c r="D39" s="9" t="inlineStr">
        <is>
          <t>Assignment Workspace &amp; Editor</t>
        </is>
      </c>
      <c r="E39" s="9" t="inlineStr">
        <is>
          <t>Run button execution</t>
        </is>
      </c>
      <c r="F39" s="9" t="inlineStr">
        <is>
          <t>Application dependencies are installed and the target environment is available.</t>
        </is>
      </c>
      <c r="G39" s="9" t="inlineStr">
        <is>
          <t>Select Run tests.</t>
        </is>
      </c>
      <c r="H39" s="9" t="inlineStr">
        <is>
          <t>Button enters running state, blocks duplicate execution, then returns to enabled state.</t>
        </is>
      </c>
      <c r="I39" s="8" t="inlineStr">
        <is>
          <t>Release Gate</t>
        </is>
      </c>
      <c r="J39" s="8" t="inlineStr">
        <is>
          <t>UI/Integration</t>
        </is>
      </c>
      <c r="K39" s="8" t="inlineStr">
        <is>
          <t>Web/Mobile</t>
        </is>
      </c>
      <c r="L39" s="8" t="inlineStr">
        <is>
          <t>Yes</t>
        </is>
      </c>
      <c r="M39" s="8" t="inlineStr">
        <is>
          <t>Pass</t>
        </is>
      </c>
      <c r="N39" s="8" t="n"/>
      <c r="O39" s="9" t="inlineStr">
        <is>
          <t>Flutter tests passed; live Assignment 1 workspace, starter code, instructions, image, and results rendered.</t>
        </is>
      </c>
      <c r="P39" s="9" t="inlineStr">
        <is>
          <t>Codex SQA</t>
        </is>
      </c>
      <c r="Q39" s="10" t="n">
        <v>46238</v>
      </c>
      <c r="R39" s="9" t="inlineStr">
        <is>
          <t>Not Required</t>
        </is>
      </c>
      <c r="S39" s="19" t="n"/>
    </row>
    <row r="40" ht="54" customHeight="1" s="78">
      <c r="A40" s="16" t="inlineStr">
        <is>
          <t>[ ]</t>
        </is>
      </c>
      <c r="B40" s="9" t="inlineStr">
        <is>
          <t>WRK-007</t>
        </is>
      </c>
      <c r="C40" s="9" t="inlineStr">
        <is>
          <t>Current</t>
        </is>
      </c>
      <c r="D40" s="9" t="inlineStr">
        <is>
          <t>Assignment Workspace &amp; Editor</t>
        </is>
      </c>
      <c r="E40" s="9" t="inlineStr">
        <is>
          <t>Draft autosave</t>
        </is>
      </c>
      <c r="F40" s="9" t="inlineStr">
        <is>
          <t>Application dependencies are installed and the target environment is available.</t>
        </is>
      </c>
      <c r="G40" s="9" t="inlineStr">
        <is>
          <t>Edit code; wait for debounce; leave assignment.</t>
        </is>
      </c>
      <c r="H40" s="9" t="inlineStr">
        <is>
          <t>Draft is persisted for the assignment.</t>
        </is>
      </c>
      <c r="I40" s="8" t="inlineStr">
        <is>
          <t>P1</t>
        </is>
      </c>
      <c r="J40" s="8" t="inlineStr">
        <is>
          <t>State</t>
        </is>
      </c>
      <c r="K40" s="8" t="inlineStr">
        <is>
          <t>Web/Mobile</t>
        </is>
      </c>
      <c r="L40" s="8" t="inlineStr">
        <is>
          <t>Partial</t>
        </is>
      </c>
      <c r="M40" s="8" t="inlineStr">
        <is>
          <t>Not Run</t>
        </is>
      </c>
      <c r="N40" s="8" t="n"/>
      <c r="O40" s="9" t="n"/>
      <c r="P40" s="9" t="n"/>
      <c r="Q40" s="10" t="n"/>
      <c r="R40" s="9" t="inlineStr">
        <is>
          <t>Not Required</t>
        </is>
      </c>
      <c r="S40" s="19" t="n"/>
    </row>
    <row r="41" ht="54" customHeight="1" s="78">
      <c r="A41" s="16" t="inlineStr">
        <is>
          <t>[x]</t>
        </is>
      </c>
      <c r="B41" s="9" t="inlineStr">
        <is>
          <t>WRK-008</t>
        </is>
      </c>
      <c r="C41" s="9" t="inlineStr">
        <is>
          <t>Current</t>
        </is>
      </c>
      <c r="D41" s="9" t="inlineStr">
        <is>
          <t>Assignment Workspace &amp; Editor</t>
        </is>
      </c>
      <c r="E41" s="9" t="inlineStr">
        <is>
          <t>Draft restore</t>
        </is>
      </c>
      <c r="F41" s="9" t="inlineStr">
        <is>
          <t>Application dependencies are installed and the target environment is available.</t>
        </is>
      </c>
      <c r="G41" s="9" t="inlineStr">
        <is>
          <t>Reopen an assignment after saving a draft.</t>
        </is>
      </c>
      <c r="H41" s="9" t="inlineStr">
        <is>
          <t>Saved draft replaces starter code only for that assignment.</t>
        </is>
      </c>
      <c r="I41" s="8" t="inlineStr">
        <is>
          <t>P1</t>
        </is>
      </c>
      <c r="J41" s="8" t="inlineStr">
        <is>
          <t>State</t>
        </is>
      </c>
      <c r="K41" s="8" t="inlineStr">
        <is>
          <t>Web/Mobile</t>
        </is>
      </c>
      <c r="L41" s="8" t="inlineStr">
        <is>
          <t>Yes</t>
        </is>
      </c>
      <c r="M41" s="8" t="inlineStr">
        <is>
          <t>Pass</t>
        </is>
      </c>
      <c r="N41" s="8" t="n"/>
      <c r="O41" s="9" t="inlineStr">
        <is>
          <t>Flutter tests passed; live Assignment 1 workspace, starter code, instructions, image, and results rendered.</t>
        </is>
      </c>
      <c r="P41" s="9" t="inlineStr">
        <is>
          <t>Codex SQA</t>
        </is>
      </c>
      <c r="Q41" s="10" t="n">
        <v>46238</v>
      </c>
      <c r="R41" s="9" t="inlineStr">
        <is>
          <t>Not Required</t>
        </is>
      </c>
      <c r="S41" s="19" t="n"/>
    </row>
    <row r="42" ht="54" customHeight="1" s="78">
      <c r="A42" s="16" t="inlineStr">
        <is>
          <t>[x]</t>
        </is>
      </c>
      <c r="B42" s="9" t="inlineStr">
        <is>
          <t>WRK-009</t>
        </is>
      </c>
      <c r="C42" s="9" t="inlineStr">
        <is>
          <t>Current</t>
        </is>
      </c>
      <c r="D42" s="9" t="inlineStr">
        <is>
          <t>Assignment Workspace &amp; Editor</t>
        </is>
      </c>
      <c r="E42" s="9" t="inlineStr">
        <is>
          <t>Independent assignment drafts</t>
        </is>
      </c>
      <c r="F42" s="9" t="inlineStr">
        <is>
          <t>Application dependencies are installed and the target environment is available.</t>
        </is>
      </c>
      <c r="G42" s="9" t="inlineStr">
        <is>
          <t>Save different code in two assignments and reopen both.</t>
        </is>
      </c>
      <c r="H42" s="9" t="inlineStr">
        <is>
          <t>Each assignment restores only its own draft.</t>
        </is>
      </c>
      <c r="I42" s="8" t="inlineStr">
        <is>
          <t>P1</t>
        </is>
      </c>
      <c r="J42" s="8" t="inlineStr">
        <is>
          <t>State</t>
        </is>
      </c>
      <c r="K42" s="8" t="inlineStr">
        <is>
          <t>Web/Mobile</t>
        </is>
      </c>
      <c r="L42" s="8" t="inlineStr">
        <is>
          <t>Yes</t>
        </is>
      </c>
      <c r="M42" s="8" t="inlineStr">
        <is>
          <t>Pass</t>
        </is>
      </c>
      <c r="N42" s="8" t="n"/>
      <c r="O42" s="9" t="inlineStr">
        <is>
          <t>Flutter tests passed; live Assignment 1 workspace, starter code, instructions, image, and results rendered.</t>
        </is>
      </c>
      <c r="P42" s="9" t="inlineStr">
        <is>
          <t>Codex SQA</t>
        </is>
      </c>
      <c r="Q42" s="10" t="n">
        <v>46238</v>
      </c>
      <c r="R42" s="9" t="inlineStr">
        <is>
          <t>Not Required</t>
        </is>
      </c>
      <c r="S42" s="19" t="n"/>
    </row>
    <row r="43" ht="54" customHeight="1" s="78">
      <c r="A43" s="16" t="inlineStr">
        <is>
          <t>[x]</t>
        </is>
      </c>
      <c r="B43" s="9" t="inlineStr">
        <is>
          <t>WRK-010</t>
        </is>
      </c>
      <c r="C43" s="9" t="inlineStr">
        <is>
          <t>Current</t>
        </is>
      </c>
      <c r="D43" s="9" t="inlineStr">
        <is>
          <t>Assignment Workspace &amp; Editor</t>
        </is>
      </c>
      <c r="E43" s="9" t="inlineStr">
        <is>
          <t>Scenario section</t>
        </is>
      </c>
      <c r="F43" s="9" t="inlineStr">
        <is>
          <t>Application dependencies are installed and the target environment is available.</t>
        </is>
      </c>
      <c r="G43" s="9" t="inlineStr">
        <is>
          <t>Inspect instructions for every assignment.</t>
        </is>
      </c>
      <c r="H43" s="9" t="inlineStr">
        <is>
          <t>Scenario content is present, readable, and belongs to the correct assignment.</t>
        </is>
      </c>
      <c r="I43" s="8" t="inlineStr">
        <is>
          <t>Release Gate</t>
        </is>
      </c>
      <c r="J43" s="8" t="inlineStr">
        <is>
          <t>Content/UI</t>
        </is>
      </c>
      <c r="K43" s="8" t="inlineStr">
        <is>
          <t>Web/Mobile</t>
        </is>
      </c>
      <c r="L43" s="8" t="inlineStr">
        <is>
          <t>Partial</t>
        </is>
      </c>
      <c r="M43" s="8" t="inlineStr">
        <is>
          <t>Pass</t>
        </is>
      </c>
      <c r="N43" s="8" t="n"/>
      <c r="O43" s="9" t="inlineStr">
        <is>
          <t>Flutter tests passed; live Assignment 1 workspace, starter code, instructions, image, and results rendered.</t>
        </is>
      </c>
      <c r="P43" s="9" t="inlineStr">
        <is>
          <t>Codex SQA</t>
        </is>
      </c>
      <c r="Q43" s="10" t="n">
        <v>46238</v>
      </c>
      <c r="R43" s="9" t="inlineStr">
        <is>
          <t>Not Required</t>
        </is>
      </c>
      <c r="S43" s="19" t="n"/>
    </row>
    <row r="44" ht="54" customHeight="1" s="78">
      <c r="A44" s="16" t="inlineStr">
        <is>
          <t>[ ]</t>
        </is>
      </c>
      <c r="B44" s="9" t="inlineStr">
        <is>
          <t>WRK-011</t>
        </is>
      </c>
      <c r="C44" s="9" t="inlineStr">
        <is>
          <t>Current</t>
        </is>
      </c>
      <c r="D44" s="9" t="inlineStr">
        <is>
          <t>Assignment Workspace &amp; Editor</t>
        </is>
      </c>
      <c r="E44" s="9" t="inlineStr">
        <is>
          <t>Task and hints sections</t>
        </is>
      </c>
      <c r="F44" s="9" t="inlineStr">
        <is>
          <t>Application dependencies are installed and the target environment is available.</t>
        </is>
      </c>
      <c r="G44" s="9" t="inlineStr">
        <is>
          <t>Inspect instruction structure.</t>
        </is>
      </c>
      <c r="H44" s="9" t="inlineStr">
        <is>
          <t>Task/question and hints are organized without exposing the solution.</t>
        </is>
      </c>
      <c r="I44" s="8" t="inlineStr">
        <is>
          <t>Release Gate</t>
        </is>
      </c>
      <c r="J44" s="8" t="inlineStr">
        <is>
          <t>Content/Security</t>
        </is>
      </c>
      <c r="K44" s="8" t="inlineStr">
        <is>
          <t>Web/Mobile</t>
        </is>
      </c>
      <c r="L44" s="8" t="inlineStr">
        <is>
          <t>Partial</t>
        </is>
      </c>
      <c r="M44" s="8" t="inlineStr">
        <is>
          <t>Not Run</t>
        </is>
      </c>
      <c r="N44" s="8" t="n"/>
      <c r="O44" s="9" t="n"/>
      <c r="P44" s="9" t="n"/>
      <c r="Q44" s="10" t="n"/>
      <c r="R44" s="9" t="inlineStr">
        <is>
          <t>Not Required</t>
        </is>
      </c>
      <c r="S44" s="19" t="n"/>
    </row>
    <row r="45" ht="54" customHeight="1" s="78">
      <c r="A45" s="16" t="inlineStr">
        <is>
          <t>[x]</t>
        </is>
      </c>
      <c r="B45" s="9" t="inlineStr">
        <is>
          <t>WRK-012</t>
        </is>
      </c>
      <c r="C45" s="9" t="inlineStr">
        <is>
          <t>Current</t>
        </is>
      </c>
      <c r="D45" s="9" t="inlineStr">
        <is>
          <t>Assignment Workspace &amp; Editor</t>
        </is>
      </c>
      <c r="E45" s="9" t="inlineStr">
        <is>
          <t>Assignment image rewriting</t>
        </is>
      </c>
      <c r="F45" s="9" t="inlineStr">
        <is>
          <t>Application dependencies are installed and the target environment is available.</t>
        </is>
      </c>
      <c r="G45" s="9" t="inlineStr">
        <is>
          <t>Run against nondefault API_BASE_URL and open assignment 1.</t>
        </is>
      </c>
      <c r="H45" s="9" t="inlineStr">
        <is>
          <t>Image URL uses the configured backend and loads successfully.</t>
        </is>
      </c>
      <c r="I45" s="8" t="inlineStr">
        <is>
          <t>P1</t>
        </is>
      </c>
      <c r="J45" s="8" t="inlineStr">
        <is>
          <t>Integration</t>
        </is>
      </c>
      <c r="K45" s="8" t="inlineStr">
        <is>
          <t>Web/Mobile</t>
        </is>
      </c>
      <c r="L45" s="8" t="inlineStr">
        <is>
          <t>Partial</t>
        </is>
      </c>
      <c r="M45" s="8" t="inlineStr">
        <is>
          <t>Pass</t>
        </is>
      </c>
      <c r="N45" s="8" t="n"/>
      <c r="O45" s="9" t="inlineStr">
        <is>
          <t>Flutter tests passed; live Assignment 1 workspace, starter code, instructions, image, and results rendered.</t>
        </is>
      </c>
      <c r="P45" s="9" t="inlineStr">
        <is>
          <t>Codex SQA</t>
        </is>
      </c>
      <c r="Q45" s="10" t="n">
        <v>46238</v>
      </c>
      <c r="R45" s="9" t="inlineStr">
        <is>
          <t>Not Required</t>
        </is>
      </c>
      <c r="S45" s="19" t="n"/>
    </row>
    <row r="46" ht="54" customHeight="1" s="78">
      <c r="A46" s="16" t="inlineStr">
        <is>
          <t>[x]</t>
        </is>
      </c>
      <c r="B46" s="9" t="inlineStr">
        <is>
          <t>WRK-013</t>
        </is>
      </c>
      <c r="C46" s="9" t="inlineStr">
        <is>
          <t>Current</t>
        </is>
      </c>
      <c r="D46" s="9" t="inlineStr">
        <is>
          <t>Assignment Workspace &amp; Editor</t>
        </is>
      </c>
      <c r="E46" s="9" t="inlineStr">
        <is>
          <t>Desktop panel focus</t>
        </is>
      </c>
      <c r="F46" s="9" t="inlineStr">
        <is>
          <t>Application dependencies are installed and the target environment is available.</t>
        </is>
      </c>
      <c r="G46" s="9" t="inlineStr">
        <is>
          <t>Use focus/maximize controls for editor, instructions, and results.</t>
        </is>
      </c>
      <c r="H46" s="9" t="inlineStr">
        <is>
          <t>Selected panel expands and restores without losing state.</t>
        </is>
      </c>
      <c r="I46" s="8" t="inlineStr">
        <is>
          <t>P2</t>
        </is>
      </c>
      <c r="J46" s="8" t="inlineStr">
        <is>
          <t>Responsive UI</t>
        </is>
      </c>
      <c r="K46" s="8" t="inlineStr">
        <is>
          <t>Web/Desktop</t>
        </is>
      </c>
      <c r="L46" s="8" t="inlineStr">
        <is>
          <t>Yes</t>
        </is>
      </c>
      <c r="M46" s="8" t="inlineStr">
        <is>
          <t>Pass</t>
        </is>
      </c>
      <c r="N46" s="8" t="n"/>
      <c r="O46" s="9" t="inlineStr">
        <is>
          <t>Flutter tests passed; live Assignment 1 workspace, starter code, instructions, image, and results rendered.</t>
        </is>
      </c>
      <c r="P46" s="9" t="inlineStr">
        <is>
          <t>Codex SQA</t>
        </is>
      </c>
      <c r="Q46" s="10" t="n">
        <v>46238</v>
      </c>
      <c r="R46" s="9" t="inlineStr">
        <is>
          <t>Not Required</t>
        </is>
      </c>
      <c r="S46" s="19" t="n"/>
    </row>
    <row r="47" ht="54" customHeight="1" s="78">
      <c r="A47" s="16" t="inlineStr">
        <is>
          <t>[ ]</t>
        </is>
      </c>
      <c r="B47" s="9" t="inlineStr">
        <is>
          <t>WRK-014</t>
        </is>
      </c>
      <c r="C47" s="9" t="inlineStr">
        <is>
          <t>Current</t>
        </is>
      </c>
      <c r="D47" s="9" t="inlineStr">
        <is>
          <t>Assignment Workspace &amp; Editor</t>
        </is>
      </c>
      <c r="E47" s="9" t="inlineStr">
        <is>
          <t>Desktop resize handle</t>
        </is>
      </c>
      <c r="F47" s="9" t="inlineStr">
        <is>
          <t>Application dependencies are installed and the target environment is available.</t>
        </is>
      </c>
      <c r="G47" s="9" t="inlineStr">
        <is>
          <t>Drag the editor/instruction divider within allowed limits.</t>
        </is>
      </c>
      <c r="H47" s="9" t="inlineStr">
        <is>
          <t>Panels resize smoothly and remain usable.</t>
        </is>
      </c>
      <c r="I47" s="8" t="inlineStr">
        <is>
          <t>P2</t>
        </is>
      </c>
      <c r="J47" s="8" t="inlineStr">
        <is>
          <t>Responsive UI</t>
        </is>
      </c>
      <c r="K47" s="8" t="inlineStr">
        <is>
          <t>Web/Desktop</t>
        </is>
      </c>
      <c r="L47" s="8" t="inlineStr">
        <is>
          <t>No</t>
        </is>
      </c>
      <c r="M47" s="8" t="inlineStr">
        <is>
          <t>Not Run</t>
        </is>
      </c>
      <c r="N47" s="8" t="n"/>
      <c r="O47" s="9" t="n"/>
      <c r="P47" s="9" t="n"/>
      <c r="Q47" s="10" t="n"/>
      <c r="R47" s="9" t="inlineStr">
        <is>
          <t>Not Required</t>
        </is>
      </c>
      <c r="S47" s="19" t="n"/>
    </row>
    <row r="48" ht="54" customHeight="1" s="78">
      <c r="A48" s="16" t="inlineStr">
        <is>
          <t>[x]</t>
        </is>
      </c>
      <c r="B48" s="9" t="inlineStr">
        <is>
          <t>WRK-015</t>
        </is>
      </c>
      <c r="C48" s="9" t="inlineStr">
        <is>
          <t>Current</t>
        </is>
      </c>
      <c r="D48" s="9" t="inlineStr">
        <is>
          <t>Assignment Workspace &amp; Editor</t>
        </is>
      </c>
      <c r="E48" s="9" t="inlineStr">
        <is>
          <t>Mobile workspace tabs</t>
        </is>
      </c>
      <c r="F48" s="9" t="inlineStr">
        <is>
          <t>Application dependencies are installed and the target environment is available.</t>
        </is>
      </c>
      <c r="G48" s="9" t="inlineStr">
        <is>
          <t>Open at a narrow/mobile viewport and select Code, Instructions, and Results.</t>
        </is>
      </c>
      <c r="H48" s="9" t="inlineStr">
        <is>
          <t>Each tab shows the correct panel without overflow.</t>
        </is>
      </c>
      <c r="I48" s="8" t="inlineStr">
        <is>
          <t>Release Gate</t>
        </is>
      </c>
      <c r="J48" s="8" t="inlineStr">
        <is>
          <t>Responsive UI</t>
        </is>
      </c>
      <c r="K48" s="8" t="inlineStr">
        <is>
          <t>Mobile/Web</t>
        </is>
      </c>
      <c r="L48" s="8" t="inlineStr">
        <is>
          <t>Yes</t>
        </is>
      </c>
      <c r="M48" s="8" t="inlineStr">
        <is>
          <t>Pass</t>
        </is>
      </c>
      <c r="N48" s="8" t="n"/>
      <c r="O48" s="9" t="inlineStr">
        <is>
          <t>Flutter tests passed; live Assignment 1 workspace, starter code, instructions, image, and results rendered.</t>
        </is>
      </c>
      <c r="P48" s="9" t="inlineStr">
        <is>
          <t>Codex SQA</t>
        </is>
      </c>
      <c r="Q48" s="10" t="n">
        <v>46238</v>
      </c>
      <c r="R48" s="9" t="inlineStr">
        <is>
          <t>Not Required</t>
        </is>
      </c>
      <c r="S48" s="19" t="n"/>
    </row>
    <row r="49" ht="54" customHeight="1" s="78">
      <c r="A49" s="16" t="inlineStr">
        <is>
          <t>[ ]</t>
        </is>
      </c>
      <c r="B49" s="9" t="inlineStr">
        <is>
          <t>WRK-016</t>
        </is>
      </c>
      <c r="C49" s="9" t="inlineStr">
        <is>
          <t>Current</t>
        </is>
      </c>
      <c r="D49" s="9" t="inlineStr">
        <is>
          <t>Assignment Workspace &amp; Editor</t>
        </is>
      </c>
      <c r="E49" s="9" t="inlineStr">
        <is>
          <t>Workspace state survives tab changes</t>
        </is>
      </c>
      <c r="F49" s="9" t="inlineStr">
        <is>
          <t>Application dependencies are installed and the target environment is available.</t>
        </is>
      </c>
      <c r="G49" s="9" t="inlineStr">
        <is>
          <t>Edit code, switch mobile tabs, and return.</t>
        </is>
      </c>
      <c r="H49" s="9" t="inlineStr">
        <is>
          <t>Code, results, hint level, and scroll-independent state are retained.</t>
        </is>
      </c>
      <c r="I49" s="8" t="inlineStr">
        <is>
          <t>P1</t>
        </is>
      </c>
      <c r="J49" s="8" t="inlineStr">
        <is>
          <t>State/UI</t>
        </is>
      </c>
      <c r="K49" s="8" t="inlineStr">
        <is>
          <t>Mobile/Web</t>
        </is>
      </c>
      <c r="L49" s="8" t="inlineStr">
        <is>
          <t>Partial</t>
        </is>
      </c>
      <c r="M49" s="8" t="inlineStr">
        <is>
          <t>Not Run</t>
        </is>
      </c>
      <c r="N49" s="8" t="n"/>
      <c r="O49" s="9" t="n"/>
      <c r="P49" s="9" t="n"/>
      <c r="Q49" s="10" t="n"/>
      <c r="R49" s="9" t="inlineStr">
        <is>
          <t>Not Required</t>
        </is>
      </c>
      <c r="S49" s="19" t="n"/>
    </row>
    <row r="50" ht="54" customHeight="1" s="78">
      <c r="A50" s="16" t="inlineStr">
        <is>
          <t>[x]</t>
        </is>
      </c>
      <c r="B50" s="9" t="inlineStr">
        <is>
          <t>GRD-001</t>
        </is>
      </c>
      <c r="C50" s="9" t="inlineStr">
        <is>
          <t>Current</t>
        </is>
      </c>
      <c r="D50" s="9" t="inlineStr">
        <is>
          <t>Grading &amp; Execution</t>
        </is>
      </c>
      <c r="E50" s="9" t="inlineStr">
        <is>
          <t>Public run endpoint executes code</t>
        </is>
      </c>
      <c r="F50" s="9" t="inlineStr">
        <is>
          <t>Application dependencies are installed and the target environment is available.</t>
        </is>
      </c>
      <c r="G50" s="9" t="inlineStr">
        <is>
          <t>POST code to /assignments/{id}/run.</t>
        </is>
      </c>
      <c r="H50" s="9" t="inlineStr">
        <is>
          <t>Execution result contains only public evidence and no hidden expectations.</t>
        </is>
      </c>
      <c r="I50" s="8" t="inlineStr">
        <is>
          <t>Release Gate</t>
        </is>
      </c>
      <c r="J50" s="8" t="inlineStr">
        <is>
          <t>API/Security</t>
        </is>
      </c>
      <c r="K50" s="8" t="inlineStr">
        <is>
          <t>Backend</t>
        </is>
      </c>
      <c r="L50" s="8" t="inlineStr">
        <is>
          <t>Yes</t>
        </is>
      </c>
      <c r="M50" s="8" t="inlineStr">
        <is>
          <t>Pass</t>
        </is>
      </c>
      <c r="N50" s="8" t="n"/>
      <c r="O50" s="9" t="inlineStr">
        <is>
          <t>76 backend tests passed, including all four official solutions; live Run tests completed with structured evidence.</t>
        </is>
      </c>
      <c r="P50" s="9" t="inlineStr">
        <is>
          <t>Codex SQA</t>
        </is>
      </c>
      <c r="Q50" s="10" t="n">
        <v>46238</v>
      </c>
      <c r="R50" s="9" t="inlineStr">
        <is>
          <t>Not Required</t>
        </is>
      </c>
      <c r="S50" s="19" t="n"/>
    </row>
    <row r="51" ht="54" customHeight="1" s="78">
      <c r="A51" s="16" t="inlineStr">
        <is>
          <t>[x]</t>
        </is>
      </c>
      <c r="B51" s="9" t="inlineStr">
        <is>
          <t>GRD-002</t>
        </is>
      </c>
      <c r="C51" s="9" t="inlineStr">
        <is>
          <t>Current</t>
        </is>
      </c>
      <c r="D51" s="9" t="inlineStr">
        <is>
          <t>Grading &amp; Execution</t>
        </is>
      </c>
      <c r="E51" s="9" t="inlineStr">
        <is>
          <t>Submission endpoint executes grader</t>
        </is>
      </c>
      <c r="F51" s="9" t="inlineStr">
        <is>
          <t>Application dependencies are installed and the target environment is available.</t>
        </is>
      </c>
      <c r="G51" s="9" t="inlineStr">
        <is>
          <t>POST valid code to /assignments/{id}/submit.</t>
        </is>
      </c>
      <c r="H51" s="9" t="inlineStr">
        <is>
          <t>Structured submission response includes submission ID, assignment version, score, evidence, and pass results.</t>
        </is>
      </c>
      <c r="I51" s="8" t="inlineStr">
        <is>
          <t>Release Gate</t>
        </is>
      </c>
      <c r="J51" s="8" t="inlineStr">
        <is>
          <t>API</t>
        </is>
      </c>
      <c r="K51" s="8" t="inlineStr">
        <is>
          <t>Backend</t>
        </is>
      </c>
      <c r="L51" s="8" t="inlineStr">
        <is>
          <t>Yes</t>
        </is>
      </c>
      <c r="M51" s="8" t="inlineStr">
        <is>
          <t>Pass</t>
        </is>
      </c>
      <c r="N51" s="8" t="n"/>
      <c r="O51" s="9" t="inlineStr">
        <is>
          <t>76 backend tests passed, including all four official solutions; live Run tests completed with structured evidence.</t>
        </is>
      </c>
      <c r="P51" s="9" t="inlineStr">
        <is>
          <t>Codex SQA</t>
        </is>
      </c>
      <c r="Q51" s="10" t="n">
        <v>46238</v>
      </c>
      <c r="R51" s="9" t="inlineStr">
        <is>
          <t>Not Required</t>
        </is>
      </c>
      <c r="S51" s="19" t="n"/>
    </row>
    <row r="52" ht="54" customHeight="1" s="78">
      <c r="A52" s="16" t="inlineStr">
        <is>
          <t>[x]</t>
        </is>
      </c>
      <c r="B52" s="9" t="inlineStr">
        <is>
          <t>GRD-003</t>
        </is>
      </c>
      <c r="C52" s="9" t="inlineStr">
        <is>
          <t>Current</t>
        </is>
      </c>
      <c r="D52" s="9" t="inlineStr">
        <is>
          <t>Grading &amp; Execution</t>
        </is>
      </c>
      <c r="E52" s="9" t="inlineStr">
        <is>
          <t>Assignment 1 official solution</t>
        </is>
      </c>
      <c r="F52" s="9" t="inlineStr">
        <is>
          <t>Application dependencies are installed and the target environment is available.</t>
        </is>
      </c>
      <c r="G52" s="9" t="inlineStr">
        <is>
          <t>Submit the server-controlled official solution for assignment 1.</t>
        </is>
      </c>
      <c r="H52" s="9" t="inlineStr">
        <is>
          <t>All hidden checks pass and score is 100 percent.</t>
        </is>
      </c>
      <c r="I52" s="8" t="inlineStr">
        <is>
          <t>Release Gate</t>
        </is>
      </c>
      <c r="J52" s="8" t="inlineStr">
        <is>
          <t>Regression</t>
        </is>
      </c>
      <c r="K52" s="8" t="inlineStr">
        <is>
          <t>Backend</t>
        </is>
      </c>
      <c r="L52" s="8" t="inlineStr">
        <is>
          <t>Yes</t>
        </is>
      </c>
      <c r="M52" s="8" t="inlineStr">
        <is>
          <t>Pass</t>
        </is>
      </c>
      <c r="N52" s="8" t="n"/>
      <c r="O52" s="9" t="inlineStr">
        <is>
          <t>87-test local gate plus manual_sqa_answers/assignment_1_answer.py passed every grader check at 100%.</t>
        </is>
      </c>
      <c r="P52" s="9" t="inlineStr">
        <is>
          <t>Codex SQA</t>
        </is>
      </c>
      <c r="Q52" s="10" t="n">
        <v>46239</v>
      </c>
      <c r="R52" s="9" t="inlineStr">
        <is>
          <t>Not Required</t>
        </is>
      </c>
      <c r="S52" s="19" t="n"/>
    </row>
    <row r="53" ht="54" customHeight="1" s="78">
      <c r="A53" s="16" t="inlineStr">
        <is>
          <t>[x]</t>
        </is>
      </c>
      <c r="B53" s="9" t="inlineStr">
        <is>
          <t>GRD-004</t>
        </is>
      </c>
      <c r="C53" s="9" t="inlineStr">
        <is>
          <t>Current</t>
        </is>
      </c>
      <c r="D53" s="9" t="inlineStr">
        <is>
          <t>Grading &amp; Execution</t>
        </is>
      </c>
      <c r="E53" s="9" t="inlineStr">
        <is>
          <t>Assignment 2 official solution</t>
        </is>
      </c>
      <c r="F53" s="9" t="inlineStr">
        <is>
          <t>Application dependencies are installed and the target environment is available.</t>
        </is>
      </c>
      <c r="G53" s="9" t="inlineStr">
        <is>
          <t>Submit the server-controlled official solution for assignment 2.</t>
        </is>
      </c>
      <c r="H53" s="9" t="inlineStr">
        <is>
          <t>All hidden checks pass and score is 100 percent.</t>
        </is>
      </c>
      <c r="I53" s="8" t="inlineStr">
        <is>
          <t>Release Gate</t>
        </is>
      </c>
      <c r="J53" s="8" t="inlineStr">
        <is>
          <t>Regression</t>
        </is>
      </c>
      <c r="K53" s="8" t="inlineStr">
        <is>
          <t>Backend</t>
        </is>
      </c>
      <c r="L53" s="8" t="inlineStr">
        <is>
          <t>Yes</t>
        </is>
      </c>
      <c r="M53" s="8" t="inlineStr">
        <is>
          <t>Pass</t>
        </is>
      </c>
      <c r="N53" s="8" t="n"/>
      <c r="O53" s="9" t="inlineStr">
        <is>
          <t>87-test local gate plus manual_sqa_answers/assignment_2_answer.py passed every grader check at 100%.</t>
        </is>
      </c>
      <c r="P53" s="9" t="inlineStr">
        <is>
          <t>Codex SQA</t>
        </is>
      </c>
      <c r="Q53" s="10" t="n">
        <v>46239</v>
      </c>
      <c r="R53" s="9" t="inlineStr">
        <is>
          <t>Not Required</t>
        </is>
      </c>
      <c r="S53" s="19" t="n"/>
    </row>
    <row r="54" ht="54" customHeight="1" s="78">
      <c r="A54" s="16" t="inlineStr">
        <is>
          <t>[x]</t>
        </is>
      </c>
      <c r="B54" s="9" t="inlineStr">
        <is>
          <t>GRD-005</t>
        </is>
      </c>
      <c r="C54" s="9" t="inlineStr">
        <is>
          <t>Current</t>
        </is>
      </c>
      <c r="D54" s="9" t="inlineStr">
        <is>
          <t>Grading &amp; Execution</t>
        </is>
      </c>
      <c r="E54" s="9" t="inlineStr">
        <is>
          <t>Assignment 3 official solution</t>
        </is>
      </c>
      <c r="F54" s="9" t="inlineStr">
        <is>
          <t>Application dependencies are installed and the target environment is available.</t>
        </is>
      </c>
      <c r="G54" s="9" t="inlineStr">
        <is>
          <t>Submit the server-controlled official solution for assignment 3.</t>
        </is>
      </c>
      <c r="H54" s="9" t="inlineStr">
        <is>
          <t>All hidden checks pass and score is 100 percent.</t>
        </is>
      </c>
      <c r="I54" s="8" t="inlineStr">
        <is>
          <t>Release Gate</t>
        </is>
      </c>
      <c r="J54" s="8" t="inlineStr">
        <is>
          <t>Regression</t>
        </is>
      </c>
      <c r="K54" s="8" t="inlineStr">
        <is>
          <t>Backend</t>
        </is>
      </c>
      <c r="L54" s="8" t="inlineStr">
        <is>
          <t>Yes</t>
        </is>
      </c>
      <c r="M54" s="8" t="inlineStr">
        <is>
          <t>Pass</t>
        </is>
      </c>
      <c r="N54" s="8" t="n"/>
      <c r="O54" s="9" t="inlineStr">
        <is>
          <t>87-test local gate plus manual_sqa_answers/assignment_3_answer.py passed every grader check at 100%.</t>
        </is>
      </c>
      <c r="P54" s="9" t="inlineStr">
        <is>
          <t>Codex SQA</t>
        </is>
      </c>
      <c r="Q54" s="10" t="n">
        <v>46239</v>
      </c>
      <c r="R54" s="9" t="inlineStr">
        <is>
          <t>Not Required</t>
        </is>
      </c>
      <c r="S54" s="19" t="n"/>
    </row>
    <row r="55" ht="54" customHeight="1" s="78">
      <c r="A55" s="16" t="inlineStr">
        <is>
          <t>[x]</t>
        </is>
      </c>
      <c r="B55" s="9" t="inlineStr">
        <is>
          <t>GRD-006</t>
        </is>
      </c>
      <c r="C55" s="9" t="inlineStr">
        <is>
          <t>Current</t>
        </is>
      </c>
      <c r="D55" s="9" t="inlineStr">
        <is>
          <t>Grading &amp; Execution</t>
        </is>
      </c>
      <c r="E55" s="9" t="inlineStr">
        <is>
          <t>Assignment 4 official solution</t>
        </is>
      </c>
      <c r="F55" s="9" t="inlineStr">
        <is>
          <t>Application dependencies are installed and the target environment is available.</t>
        </is>
      </c>
      <c r="G55" s="9" t="inlineStr">
        <is>
          <t>Submit the server-controlled official solution for assignment 4.</t>
        </is>
      </c>
      <c r="H55" s="9" t="inlineStr">
        <is>
          <t>All hidden checks pass and score is 100 percent.</t>
        </is>
      </c>
      <c r="I55" s="8" t="inlineStr">
        <is>
          <t>Release Gate</t>
        </is>
      </c>
      <c r="J55" s="8" t="inlineStr">
        <is>
          <t>Regression</t>
        </is>
      </c>
      <c r="K55" s="8" t="inlineStr">
        <is>
          <t>Backend</t>
        </is>
      </c>
      <c r="L55" s="8" t="inlineStr">
        <is>
          <t>Yes</t>
        </is>
      </c>
      <c r="M55" s="8" t="inlineStr">
        <is>
          <t>Pass</t>
        </is>
      </c>
      <c r="N55" s="8" t="n"/>
      <c r="O55" s="9" t="inlineStr">
        <is>
          <t>87-test local gate plus manual_sqa_answers/assignment_4_answer.py passed every grader check at 100%.</t>
        </is>
      </c>
      <c r="P55" s="9" t="inlineStr">
        <is>
          <t>Codex SQA</t>
        </is>
      </c>
      <c r="Q55" s="10" t="n">
        <v>46239</v>
      </c>
      <c r="R55" s="9" t="inlineStr">
        <is>
          <t>Not Required</t>
        </is>
      </c>
      <c r="S55" s="19" t="n"/>
    </row>
    <row r="56" ht="54" customHeight="1" s="78">
      <c r="A56" s="16" t="inlineStr">
        <is>
          <t>[x]</t>
        </is>
      </c>
      <c r="B56" s="9" t="inlineStr">
        <is>
          <t>GRD-007</t>
        </is>
      </c>
      <c r="C56" s="9" t="inlineStr">
        <is>
          <t>Current</t>
        </is>
      </c>
      <c r="D56" s="9" t="inlineStr">
        <is>
          <t>Grading &amp; Execution</t>
        </is>
      </c>
      <c r="E56" s="9" t="inlineStr">
        <is>
          <t>Incorrect code returns useful evidence</t>
        </is>
      </c>
      <c r="F56" s="9" t="inlineStr">
        <is>
          <t>Application dependencies are installed and the target environment is available.</t>
        </is>
      </c>
      <c r="G56" s="9" t="inlineStr">
        <is>
          <t>Submit code with incorrect calculated variables.</t>
        </is>
      </c>
      <c r="H56" s="9" t="inlineStr">
        <is>
          <t>Program execution and individual calculation failures are reported without expected values.</t>
        </is>
      </c>
      <c r="I56" s="8" t="inlineStr">
        <is>
          <t>Release Gate</t>
        </is>
      </c>
      <c r="J56" s="8" t="inlineStr">
        <is>
          <t>Functional</t>
        </is>
      </c>
      <c r="K56" s="8" t="inlineStr">
        <is>
          <t>Backend/UI</t>
        </is>
      </c>
      <c r="L56" s="8" t="inlineStr">
        <is>
          <t>Yes</t>
        </is>
      </c>
      <c r="M56" s="8" t="inlineStr">
        <is>
          <t>Pass</t>
        </is>
      </c>
      <c r="N56" s="8" t="n"/>
      <c r="O56" s="9" t="inlineStr">
        <is>
          <t>Incorrect executable code returned safe structured failing evidence without revealing expected values.</t>
        </is>
      </c>
      <c r="P56" s="9" t="inlineStr">
        <is>
          <t>Codex SQA</t>
        </is>
      </c>
      <c r="Q56" s="10" t="n">
        <v>46239</v>
      </c>
      <c r="R56" s="9" t="inlineStr">
        <is>
          <t>Not Required</t>
        </is>
      </c>
      <c r="S56" s="19" t="n"/>
    </row>
    <row r="57" ht="54" customHeight="1" s="78">
      <c r="A57" s="16" t="inlineStr">
        <is>
          <t>[x]</t>
        </is>
      </c>
      <c r="B57" s="9" t="inlineStr">
        <is>
          <t>GRD-008</t>
        </is>
      </c>
      <c r="C57" s="9" t="inlineStr">
        <is>
          <t>Current</t>
        </is>
      </c>
      <c r="D57" s="9" t="inlineStr">
        <is>
          <t>Grading &amp; Execution</t>
        </is>
      </c>
      <c r="E57" s="9" t="inlineStr">
        <is>
          <t>Execution error is structured</t>
        </is>
      </c>
      <c r="F57" s="9" t="inlineStr">
        <is>
          <t>Application dependencies are installed and the target environment is available.</t>
        </is>
      </c>
      <c r="G57" s="9" t="inlineStr">
        <is>
          <t>Submit code that raises a runtime exception.</t>
        </is>
      </c>
      <c r="H57" s="9" t="inlineStr">
        <is>
          <t>Response identifies execution failure safely; UI shows terminal error rather than spinning.</t>
        </is>
      </c>
      <c r="I57" s="8" t="inlineStr">
        <is>
          <t>Release Gate</t>
        </is>
      </c>
      <c r="J57" s="8" t="inlineStr">
        <is>
          <t>Negative</t>
        </is>
      </c>
      <c r="K57" s="8" t="inlineStr">
        <is>
          <t>Backend/UI</t>
        </is>
      </c>
      <c r="L57" s="8" t="inlineStr">
        <is>
          <t>Partial</t>
        </is>
      </c>
      <c r="M57" s="8" t="inlineStr">
        <is>
          <t>Pass</t>
        </is>
      </c>
      <c r="N57" s="8" t="n"/>
      <c r="O57" s="9" t="inlineStr">
        <is>
          <t>SyntaxError and ZeroDivisionError submissions returned structured execution failures; UI recovery tests passed.</t>
        </is>
      </c>
      <c r="P57" s="9" t="inlineStr">
        <is>
          <t>Codex SQA</t>
        </is>
      </c>
      <c r="Q57" s="10" t="n">
        <v>46239</v>
      </c>
      <c r="R57" s="9" t="inlineStr">
        <is>
          <t>Not Required</t>
        </is>
      </c>
      <c r="S57" s="19" t="inlineStr">
        <is>
          <t>Automated and separate-process smoke evidence.</t>
        </is>
      </c>
    </row>
    <row r="58" ht="54" customHeight="1" s="78">
      <c r="A58" s="16" t="inlineStr">
        <is>
          <t>[x]</t>
        </is>
      </c>
      <c r="B58" s="9" t="inlineStr">
        <is>
          <t>GRD-009</t>
        </is>
      </c>
      <c r="C58" s="9" t="inlineStr">
        <is>
          <t>Current</t>
        </is>
      </c>
      <c r="D58" s="9" t="inlineStr">
        <is>
          <t>Grading &amp; Execution</t>
        </is>
      </c>
      <c r="E58" s="9" t="inlineStr">
        <is>
          <t>Empty code handling</t>
        </is>
      </c>
      <c r="F58" s="9" t="inlineStr">
        <is>
          <t>Application dependencies are installed and the target environment is available.</t>
        </is>
      </c>
      <c r="G58" s="9" t="inlineStr">
        <is>
          <t>Submit empty code.</t>
        </is>
      </c>
      <c r="H58" s="9" t="inlineStr">
        <is>
          <t>Request is rejected with controlled client error and UI remains usable.</t>
        </is>
      </c>
      <c r="I58" s="8" t="inlineStr">
        <is>
          <t>P1</t>
        </is>
      </c>
      <c r="J58" s="8" t="inlineStr">
        <is>
          <t>Negative</t>
        </is>
      </c>
      <c r="K58" s="8" t="inlineStr">
        <is>
          <t>Backend/UI</t>
        </is>
      </c>
      <c r="L58" s="8" t="inlineStr">
        <is>
          <t>Yes</t>
        </is>
      </c>
      <c r="M58" s="8" t="inlineStr">
        <is>
          <t>Pass</t>
        </is>
      </c>
      <c r="N58" s="8" t="n"/>
      <c r="O58" s="9" t="inlineStr">
        <is>
          <t>76 backend tests passed, including all four official solutions; live Run tests completed with structured evidence.</t>
        </is>
      </c>
      <c r="P58" s="9" t="inlineStr">
        <is>
          <t>Codex SQA</t>
        </is>
      </c>
      <c r="Q58" s="10" t="n">
        <v>46238</v>
      </c>
      <c r="R58" s="9" t="inlineStr">
        <is>
          <t>Not Required</t>
        </is>
      </c>
      <c r="S58" s="19" t="n"/>
    </row>
    <row r="59" ht="54" customHeight="1" s="78">
      <c r="A59" s="16" t="inlineStr">
        <is>
          <t>[x]</t>
        </is>
      </c>
      <c r="B59" s="9" t="inlineStr">
        <is>
          <t>GRD-010</t>
        </is>
      </c>
      <c r="C59" s="9" t="inlineStr">
        <is>
          <t>Current</t>
        </is>
      </c>
      <c r="D59" s="9" t="inlineStr">
        <is>
          <t>Grading &amp; Execution</t>
        </is>
      </c>
      <c r="E59" s="9" t="inlineStr">
        <is>
          <t>Unknown assignment submission</t>
        </is>
      </c>
      <c r="F59" s="9" t="inlineStr">
        <is>
          <t>Application dependencies are installed and the target environment is available.</t>
        </is>
      </c>
      <c r="G59" s="9" t="inlineStr">
        <is>
          <t>Submit code to assignment 999.</t>
        </is>
      </c>
      <c r="H59" s="9" t="inlineStr">
        <is>
          <t>HTTP 404 is returned with no execution attempt.</t>
        </is>
      </c>
      <c r="I59" s="8" t="inlineStr">
        <is>
          <t>P1</t>
        </is>
      </c>
      <c r="J59" s="8" t="inlineStr">
        <is>
          <t>Negative API</t>
        </is>
      </c>
      <c r="K59" s="8" t="inlineStr">
        <is>
          <t>Backend</t>
        </is>
      </c>
      <c r="L59" s="8" t="inlineStr">
        <is>
          <t>Yes</t>
        </is>
      </c>
      <c r="M59" s="8" t="inlineStr">
        <is>
          <t>Pass</t>
        </is>
      </c>
      <c r="N59" s="8" t="n"/>
      <c r="O59" s="9" t="inlineStr">
        <is>
          <t>76 backend tests passed, including all four official solutions; live Run tests completed with structured evidence.</t>
        </is>
      </c>
      <c r="P59" s="9" t="inlineStr">
        <is>
          <t>Codex SQA</t>
        </is>
      </c>
      <c r="Q59" s="10" t="n">
        <v>46238</v>
      </c>
      <c r="R59" s="9" t="inlineStr">
        <is>
          <t>Not Required</t>
        </is>
      </c>
      <c r="S59" s="19" t="n"/>
    </row>
    <row r="60" ht="54" customHeight="1" s="78">
      <c r="A60" s="16" t="inlineStr">
        <is>
          <t>[x]</t>
        </is>
      </c>
      <c r="B60" s="9" t="inlineStr">
        <is>
          <t>GRD-011</t>
        </is>
      </c>
      <c r="C60" s="9" t="inlineStr">
        <is>
          <t>Current</t>
        </is>
      </c>
      <c r="D60" s="9" t="inlineStr">
        <is>
          <t>Grading &amp; Execution</t>
        </is>
      </c>
      <c r="E60" s="9" t="inlineStr">
        <is>
          <t>Score calculation</t>
        </is>
      </c>
      <c r="F60" s="9" t="inlineStr">
        <is>
          <t>Application dependencies are installed and the target environment is available.</t>
        </is>
      </c>
      <c r="G60" s="9" t="inlineStr">
        <is>
          <t>Submit combinations of passing and failing variables.</t>
        </is>
      </c>
      <c r="H60" s="9" t="inlineStr">
        <is>
          <t>Score and pass/fail counts exactly match structured boolean test outcomes.</t>
        </is>
      </c>
      <c r="I60" s="8" t="inlineStr">
        <is>
          <t>Release Gate</t>
        </is>
      </c>
      <c r="J60" s="8" t="inlineStr">
        <is>
          <t>Functional</t>
        </is>
      </c>
      <c r="K60" s="8" t="inlineStr">
        <is>
          <t>Backend/UI</t>
        </is>
      </c>
      <c r="L60" s="8" t="inlineStr">
        <is>
          <t>Yes</t>
        </is>
      </c>
      <c r="M60" s="8" t="inlineStr">
        <is>
          <t>Pass</t>
        </is>
      </c>
      <c r="N60" s="8" t="n"/>
      <c r="O60" s="9" t="inlineStr">
        <is>
          <t>76 backend tests passed, including all four official solutions; live Run tests completed with structured evidence.</t>
        </is>
      </c>
      <c r="P60" s="9" t="inlineStr">
        <is>
          <t>Codex SQA</t>
        </is>
      </c>
      <c r="Q60" s="10" t="n">
        <v>46238</v>
      </c>
      <c r="R60" s="9" t="inlineStr">
        <is>
          <t>Not Required</t>
        </is>
      </c>
      <c r="S60" s="19" t="n"/>
    </row>
    <row r="61" ht="54" customHeight="1" s="78">
      <c r="A61" s="16" t="inlineStr">
        <is>
          <t>[x]</t>
        </is>
      </c>
      <c r="B61" s="9" t="inlineStr">
        <is>
          <t>GRD-012</t>
        </is>
      </c>
      <c r="C61" s="9" t="inlineStr">
        <is>
          <t>Current</t>
        </is>
      </c>
      <c r="D61" s="9" t="inlineStr">
        <is>
          <t>Grading &amp; Execution</t>
        </is>
      </c>
      <c r="E61" s="9" t="inlineStr">
        <is>
          <t>Terminal stdout displayed</t>
        </is>
      </c>
      <c r="F61" s="9" t="inlineStr">
        <is>
          <t>Application dependencies are installed and the target environment is available.</t>
        </is>
      </c>
      <c r="G61" s="9" t="inlineStr">
        <is>
          <t>Submit code that prints output.</t>
        </is>
      </c>
      <c r="H61" s="9" t="inlineStr">
        <is>
          <t>Captured output appears in Terminal output and remains size-bounded.</t>
        </is>
      </c>
      <c r="I61" s="8" t="inlineStr">
        <is>
          <t>P1</t>
        </is>
      </c>
      <c r="J61" s="8" t="inlineStr">
        <is>
          <t>Functional</t>
        </is>
      </c>
      <c r="K61" s="8" t="inlineStr">
        <is>
          <t>Backend/UI</t>
        </is>
      </c>
      <c r="L61" s="8" t="inlineStr">
        <is>
          <t>Partial</t>
        </is>
      </c>
      <c r="M61" s="8" t="inlineStr">
        <is>
          <t>Pass</t>
        </is>
      </c>
      <c r="N61" s="8" t="n"/>
      <c r="O61" s="9" t="inlineStr">
        <is>
          <t>76 backend tests passed, including all four official solutions; live Run tests completed with structured evidence.</t>
        </is>
      </c>
      <c r="P61" s="9" t="inlineStr">
        <is>
          <t>Codex SQA</t>
        </is>
      </c>
      <c r="Q61" s="10" t="n">
        <v>46238</v>
      </c>
      <c r="R61" s="9" t="inlineStr">
        <is>
          <t>Not Required</t>
        </is>
      </c>
      <c r="S61" s="19" t="n"/>
    </row>
    <row r="62" ht="54" customHeight="1" s="78">
      <c r="A62" s="16" t="inlineStr">
        <is>
          <t>[x]</t>
        </is>
      </c>
      <c r="B62" s="9" t="inlineStr">
        <is>
          <t>GRD-013</t>
        </is>
      </c>
      <c r="C62" s="9" t="inlineStr">
        <is>
          <t>Current</t>
        </is>
      </c>
      <c r="D62" s="9" t="inlineStr">
        <is>
          <t>Grading &amp; Execution</t>
        </is>
      </c>
      <c r="E62" s="9" t="inlineStr">
        <is>
          <t>Per-test details displayed</t>
        </is>
      </c>
      <c r="F62" s="9" t="inlineStr">
        <is>
          <t>Application dependencies are installed and the target environment is available.</t>
        </is>
      </c>
      <c r="G62" s="9" t="inlineStr">
        <is>
          <t>Submit an incorrect but executable solution.</t>
        </is>
      </c>
      <c r="H62" s="9" t="inlineStr">
        <is>
          <t>Every visible test has a Passed or Needs attention card and safe message.</t>
        </is>
      </c>
      <c r="I62" s="8" t="inlineStr">
        <is>
          <t>Release Gate</t>
        </is>
      </c>
      <c r="J62" s="8" t="inlineStr">
        <is>
          <t>UI/Integration</t>
        </is>
      </c>
      <c r="K62" s="8" t="inlineStr">
        <is>
          <t>Web/Mobile</t>
        </is>
      </c>
      <c r="L62" s="8" t="inlineStr">
        <is>
          <t>Yes</t>
        </is>
      </c>
      <c r="M62" s="8" t="inlineStr">
        <is>
          <t>Pass</t>
        </is>
      </c>
      <c r="N62" s="8" t="n"/>
      <c r="O62" s="9" t="inlineStr">
        <is>
          <t>76 backend tests passed, including all four official solutions; live Run tests completed with structured evidence.</t>
        </is>
      </c>
      <c r="P62" s="9" t="inlineStr">
        <is>
          <t>Codex SQA</t>
        </is>
      </c>
      <c r="Q62" s="10" t="n">
        <v>46238</v>
      </c>
      <c r="R62" s="9" t="inlineStr">
        <is>
          <t>Not Required</t>
        </is>
      </c>
      <c r="S62" s="19" t="n"/>
    </row>
    <row r="63" ht="54" customHeight="1" s="78">
      <c r="A63" s="16" t="inlineStr">
        <is>
          <t>[x]</t>
        </is>
      </c>
      <c r="B63" s="9" t="inlineStr">
        <is>
          <t>GRD-014</t>
        </is>
      </c>
      <c r="C63" s="9" t="inlineStr">
        <is>
          <t>Current</t>
        </is>
      </c>
      <c r="D63" s="9" t="inlineStr">
        <is>
          <t>Grading &amp; Execution</t>
        </is>
      </c>
      <c r="E63" s="9" t="inlineStr">
        <is>
          <t>No hidden expected values in response</t>
        </is>
      </c>
      <c r="F63" s="9" t="inlineStr">
        <is>
          <t>Application dependencies are installed and the target environment is available.</t>
        </is>
      </c>
      <c r="G63" s="9" t="inlineStr">
        <is>
          <t>Inspect public run, submission, hint, logs, and browser network responses.</t>
        </is>
      </c>
      <c r="H63" s="9" t="inlineStr">
        <is>
          <t>Hidden expected values, test implementation, grader config, and official solution are absent.</t>
        </is>
      </c>
      <c r="I63" s="8" t="inlineStr">
        <is>
          <t>Release Gate</t>
        </is>
      </c>
      <c r="J63" s="8" t="inlineStr">
        <is>
          <t>Security</t>
        </is>
      </c>
      <c r="K63" s="8" t="inlineStr">
        <is>
          <t>All</t>
        </is>
      </c>
      <c r="L63" s="8" t="inlineStr">
        <is>
          <t>Partial</t>
        </is>
      </c>
      <c r="M63" s="8" t="inlineStr">
        <is>
          <t>Pass</t>
        </is>
      </c>
      <c r="N63" s="8" t="n"/>
      <c r="O63" s="9" t="inlineStr">
        <is>
          <t>76 backend tests passed, including all four official solutions; live Run tests completed with structured evidence.</t>
        </is>
      </c>
      <c r="P63" s="9" t="inlineStr">
        <is>
          <t>Codex SQA</t>
        </is>
      </c>
      <c r="Q63" s="10" t="n">
        <v>46238</v>
      </c>
      <c r="R63" s="9" t="inlineStr">
        <is>
          <t>Not Required</t>
        </is>
      </c>
      <c r="S63" s="19" t="n"/>
    </row>
    <row r="64" ht="54" customHeight="1" s="78">
      <c r="A64" s="16" t="inlineStr">
        <is>
          <t>[x]</t>
        </is>
      </c>
      <c r="B64" s="9" t="inlineStr">
        <is>
          <t>GRD-015</t>
        </is>
      </c>
      <c r="C64" s="9" t="inlineStr">
        <is>
          <t>Current</t>
        </is>
      </c>
      <c r="D64" s="9" t="inlineStr">
        <is>
          <t>Grading &amp; Execution</t>
        </is>
      </c>
      <c r="E64" s="9" t="inlineStr">
        <is>
          <t>Submission version captured</t>
        </is>
      </c>
      <c r="F64" s="9" t="inlineStr">
        <is>
          <t>Application dependencies are installed and the target environment is available.</t>
        </is>
      </c>
      <c r="G64" s="9" t="inlineStr">
        <is>
          <t>Submit each assignment and inspect stored/returned assignment_version.</t>
        </is>
      </c>
      <c r="H64" s="9" t="inlineStr">
        <is>
          <t>Submission records the exact published version used.</t>
        </is>
      </c>
      <c r="I64" s="8" t="inlineStr">
        <is>
          <t>Release Gate</t>
        </is>
      </c>
      <c r="J64" s="8" t="inlineStr">
        <is>
          <t>Data Integrity</t>
        </is>
      </c>
      <c r="K64" s="8" t="inlineStr">
        <is>
          <t>Backend</t>
        </is>
      </c>
      <c r="L64" s="8" t="inlineStr">
        <is>
          <t>Yes</t>
        </is>
      </c>
      <c r="M64" s="8" t="inlineStr">
        <is>
          <t>Pass</t>
        </is>
      </c>
      <c r="N64" s="8" t="n"/>
      <c r="O64" s="9" t="inlineStr">
        <is>
          <t>76 backend tests passed, including all four official solutions; live Run tests completed with structured evidence.</t>
        </is>
      </c>
      <c r="P64" s="9" t="inlineStr">
        <is>
          <t>Codex SQA</t>
        </is>
      </c>
      <c r="Q64" s="10" t="n">
        <v>46238</v>
      </c>
      <c r="R64" s="9" t="inlineStr">
        <is>
          <t>Not Required</t>
        </is>
      </c>
      <c r="S64" s="19" t="n"/>
    </row>
    <row r="65" ht="54" customHeight="1" s="78">
      <c r="A65" s="16" t="inlineStr">
        <is>
          <t>[x]</t>
        </is>
      </c>
      <c r="B65" s="9" t="inlineStr">
        <is>
          <t>GRD-016</t>
        </is>
      </c>
      <c r="C65" s="9" t="inlineStr">
        <is>
          <t>Current</t>
        </is>
      </c>
      <c r="D65" s="9" t="inlineStr">
        <is>
          <t>Grading &amp; Execution</t>
        </is>
      </c>
      <c r="E65" s="9" t="inlineStr">
        <is>
          <t>Concurrent run protection in UI</t>
        </is>
      </c>
      <c r="F65" s="9" t="inlineStr">
        <is>
          <t>Application dependencies are installed and the target environment is available.</t>
        </is>
      </c>
      <c r="G65" s="9" t="inlineStr">
        <is>
          <t>Double-click Run tests and press Ctrl+Enter while running.</t>
        </is>
      </c>
      <c r="H65" s="9" t="inlineStr">
        <is>
          <t>Only one active request is started and progress returns to idle.</t>
        </is>
      </c>
      <c r="I65" s="8" t="inlineStr">
        <is>
          <t>P1</t>
        </is>
      </c>
      <c r="J65" s="8" t="inlineStr">
        <is>
          <t>Resilience</t>
        </is>
      </c>
      <c r="K65" s="8" t="inlineStr">
        <is>
          <t>Web/Mobile</t>
        </is>
      </c>
      <c r="L65" s="8" t="inlineStr">
        <is>
          <t>Yes</t>
        </is>
      </c>
      <c r="M65" s="8" t="inlineStr">
        <is>
          <t>Pass</t>
        </is>
      </c>
      <c r="N65" s="8" t="n"/>
      <c r="O65" s="9" t="inlineStr">
        <is>
          <t>76 backend tests passed, including all four official solutions; live Run tests completed with structured evidence.</t>
        </is>
      </c>
      <c r="P65" s="9" t="inlineStr">
        <is>
          <t>Codex SQA</t>
        </is>
      </c>
      <c r="Q65" s="10" t="n">
        <v>46238</v>
      </c>
      <c r="R65" s="9" t="inlineStr">
        <is>
          <t>Not Required</t>
        </is>
      </c>
      <c r="S65" s="19" t="n"/>
    </row>
    <row r="66" ht="54" customHeight="1" s="78">
      <c r="A66" s="16" t="inlineStr">
        <is>
          <t>[x]</t>
        </is>
      </c>
      <c r="B66" s="9" t="inlineStr">
        <is>
          <t>GRD-017</t>
        </is>
      </c>
      <c r="C66" s="9" t="inlineStr">
        <is>
          <t>Current</t>
        </is>
      </c>
      <c r="D66" s="9" t="inlineStr">
        <is>
          <t>Grading &amp; Execution</t>
        </is>
      </c>
      <c r="E66" s="9" t="inlineStr">
        <is>
          <t>Grading request timeout</t>
        </is>
      </c>
      <c r="F66" s="9" t="inlineStr">
        <is>
          <t>Application dependencies are installed and the target environment is available.</t>
        </is>
      </c>
      <c r="G66" s="9" t="inlineStr">
        <is>
          <t>Force grading past the frontend timeout.</t>
        </is>
      </c>
      <c r="H66" s="9" t="inlineStr">
        <is>
          <t>UI stops waiting, displays grading-service recovery state, and permits retry.</t>
        </is>
      </c>
      <c r="I66" s="8" t="inlineStr">
        <is>
          <t>P1</t>
        </is>
      </c>
      <c r="J66" s="8" t="inlineStr">
        <is>
          <t>Resilience</t>
        </is>
      </c>
      <c r="K66" s="8" t="inlineStr">
        <is>
          <t>Web/Mobile</t>
        </is>
      </c>
      <c r="L66" s="8" t="inlineStr">
        <is>
          <t>Yes</t>
        </is>
      </c>
      <c r="M66" s="8" t="inlineStr">
        <is>
          <t>Pass</t>
        </is>
      </c>
      <c r="N66" s="8" t="n"/>
      <c r="O66" s="9" t="inlineStr">
        <is>
          <t>76 backend tests passed, including all four official solutions; live Run tests completed with structured evidence.</t>
        </is>
      </c>
      <c r="P66" s="9" t="inlineStr">
        <is>
          <t>Codex SQA</t>
        </is>
      </c>
      <c r="Q66" s="10" t="n">
        <v>46238</v>
      </c>
      <c r="R66" s="9" t="inlineStr">
        <is>
          <t>Not Required</t>
        </is>
      </c>
      <c r="S66" s="19" t="n"/>
    </row>
    <row r="67" ht="54" customHeight="1" s="78">
      <c r="A67" s="16" t="inlineStr">
        <is>
          <t>[x]</t>
        </is>
      </c>
      <c r="B67" s="9" t="inlineStr">
        <is>
          <t>GRD-018</t>
        </is>
      </c>
      <c r="C67" s="9" t="inlineStr">
        <is>
          <t>Current</t>
        </is>
      </c>
      <c r="D67" s="9" t="inlineStr">
        <is>
          <t>Grading &amp; Execution</t>
        </is>
      </c>
      <c r="E67" s="9" t="inlineStr">
        <is>
          <t>Retry after backend recovery</t>
        </is>
      </c>
      <c r="F67" s="9" t="inlineStr">
        <is>
          <t>Application dependencies are installed and the target environment is available.</t>
        </is>
      </c>
      <c r="G67" s="9" t="inlineStr">
        <is>
          <t>Trigger a grading error, restore backend, and select Retry test run.</t>
        </is>
      </c>
      <c r="H67" s="9" t="inlineStr">
        <is>
          <t>New grading request completes and replaces the error state.</t>
        </is>
      </c>
      <c r="I67" s="8" t="inlineStr">
        <is>
          <t>P1</t>
        </is>
      </c>
      <c r="J67" s="8" t="inlineStr">
        <is>
          <t>Resilience</t>
        </is>
      </c>
      <c r="K67" s="8" t="inlineStr">
        <is>
          <t>Web/Mobile</t>
        </is>
      </c>
      <c r="L67" s="8" t="inlineStr">
        <is>
          <t>Yes</t>
        </is>
      </c>
      <c r="M67" s="8" t="inlineStr">
        <is>
          <t>Pass</t>
        </is>
      </c>
      <c r="N67" s="8" t="n"/>
      <c r="O67" s="9" t="inlineStr">
        <is>
          <t>76 backend tests passed, including all four official solutions; live Run tests completed with structured evidence.</t>
        </is>
      </c>
      <c r="P67" s="9" t="inlineStr">
        <is>
          <t>Codex SQA</t>
        </is>
      </c>
      <c r="Q67" s="10" t="n">
        <v>46238</v>
      </c>
      <c r="R67" s="9" t="inlineStr">
        <is>
          <t>Not Required</t>
        </is>
      </c>
      <c r="S67" s="19" t="n"/>
    </row>
    <row r="68" ht="54" customHeight="1" s="78">
      <c r="A68" s="16" t="inlineStr">
        <is>
          <t>[x]</t>
        </is>
      </c>
      <c r="B68" s="9" t="inlineStr">
        <is>
          <t>SEC-001</t>
        </is>
      </c>
      <c r="C68" s="9" t="inlineStr">
        <is>
          <t>Current</t>
        </is>
      </c>
      <c r="D68" s="9" t="inlineStr">
        <is>
          <t>Sandbox, Security &amp; Privacy</t>
        </is>
      </c>
      <c r="E68" s="9" t="inlineStr">
        <is>
          <t>Oversized submission rejected</t>
        </is>
      </c>
      <c r="F68" s="9" t="inlineStr">
        <is>
          <t>Application dependencies are installed and the target environment is available.</t>
        </is>
      </c>
      <c r="G68" s="9" t="inlineStr">
        <is>
          <t>Submit more than the configured maximum characters.</t>
        </is>
      </c>
      <c r="H68" s="9" t="inlineStr">
        <is>
          <t>HTTP 413 is returned before execution.</t>
        </is>
      </c>
      <c r="I68" s="8" t="inlineStr">
        <is>
          <t>Release Gate</t>
        </is>
      </c>
      <c r="J68" s="8" t="inlineStr">
        <is>
          <t>Security</t>
        </is>
      </c>
      <c r="K68" s="8" t="inlineStr">
        <is>
          <t>Backend</t>
        </is>
      </c>
      <c r="L68" s="8" t="inlineStr">
        <is>
          <t>Yes</t>
        </is>
      </c>
      <c r="M68" s="8" t="inlineStr">
        <is>
          <t>Pass</t>
        </is>
      </c>
      <c r="N68" s="8" t="n"/>
      <c r="O68" s="9" t="inlineStr">
        <is>
          <t>Oversized submission and request-body limits returned HTTP 413 before execution.</t>
        </is>
      </c>
      <c r="P68" s="9" t="inlineStr">
        <is>
          <t>Codex SQA</t>
        </is>
      </c>
      <c r="Q68" s="10" t="n">
        <v>46239</v>
      </c>
      <c r="R68" s="9" t="inlineStr">
        <is>
          <t>Not Required</t>
        </is>
      </c>
      <c r="S68" s="19" t="n"/>
    </row>
    <row r="69" ht="54" customHeight="1" s="78">
      <c r="A69" s="16" t="inlineStr">
        <is>
          <t>[x]</t>
        </is>
      </c>
      <c r="B69" s="9" t="inlineStr">
        <is>
          <t>SEC-002</t>
        </is>
      </c>
      <c r="C69" s="9" t="inlineStr">
        <is>
          <t>Current</t>
        </is>
      </c>
      <c r="D69" s="9" t="inlineStr">
        <is>
          <t>Sandbox, Security &amp; Privacy</t>
        </is>
      </c>
      <c r="E69" s="9" t="inlineStr">
        <is>
          <t>Infinite loop terminated</t>
        </is>
      </c>
      <c r="F69" s="9" t="inlineStr">
        <is>
          <t>Application dependencies are installed and the target environment is available.</t>
        </is>
      </c>
      <c r="G69" s="9" t="inlineStr">
        <is>
          <t>Submit an infinite loop.</t>
        </is>
      </c>
      <c r="H69" s="9" t="inlineStr">
        <is>
          <t>Execution is terminated within the configured timeout and backend remains healthy.</t>
        </is>
      </c>
      <c r="I69" s="8" t="inlineStr">
        <is>
          <t>Release Gate</t>
        </is>
      </c>
      <c r="J69" s="8" t="inlineStr">
        <is>
          <t>Security/Resilience</t>
        </is>
      </c>
      <c r="K69" s="8" t="inlineStr">
        <is>
          <t>Backend</t>
        </is>
      </c>
      <c r="L69" s="8" t="inlineStr">
        <is>
          <t>Yes</t>
        </is>
      </c>
      <c r="M69" s="8" t="inlineStr">
        <is>
          <t>Pass</t>
        </is>
      </c>
      <c r="N69" s="8" t="n"/>
      <c r="O69" s="9" t="inlineStr">
        <is>
          <t>Infinite-loop submission was terminated by the configured execution timeout.</t>
        </is>
      </c>
      <c r="P69" s="9" t="inlineStr">
        <is>
          <t>Codex SQA</t>
        </is>
      </c>
      <c r="Q69" s="10" t="n">
        <v>46239</v>
      </c>
      <c r="R69" s="9" t="inlineStr">
        <is>
          <t>Not Required</t>
        </is>
      </c>
      <c r="S69" s="19" t="n"/>
    </row>
    <row r="70" ht="54" customHeight="1" s="78">
      <c r="A70" s="16" t="inlineStr">
        <is>
          <t>[x]</t>
        </is>
      </c>
      <c r="B70" s="9" t="inlineStr">
        <is>
          <t>SEC-003</t>
        </is>
      </c>
      <c r="C70" s="9" t="inlineStr">
        <is>
          <t>Current</t>
        </is>
      </c>
      <c r="D70" s="9" t="inlineStr">
        <is>
          <t>Sandbox, Security &amp; Privacy</t>
        </is>
      </c>
      <c r="E70" s="9" t="inlineStr">
        <is>
          <t>Large output capped</t>
        </is>
      </c>
      <c r="F70" s="9" t="inlineStr">
        <is>
          <t>Application dependencies are installed and the target environment is available.</t>
        </is>
      </c>
      <c r="G70" s="9" t="inlineStr">
        <is>
          <t>Submit code producing output beyond the limit.</t>
        </is>
      </c>
      <c r="H70" s="9" t="inlineStr">
        <is>
          <t>Output is truncated with a marker and memory use remains bounded.</t>
        </is>
      </c>
      <c r="I70" s="8" t="inlineStr">
        <is>
          <t>Release Gate</t>
        </is>
      </c>
      <c r="J70" s="8" t="inlineStr">
        <is>
          <t>Security/Resilience</t>
        </is>
      </c>
      <c r="K70" s="8" t="inlineStr">
        <is>
          <t>Backend</t>
        </is>
      </c>
      <c r="L70" s="8" t="inlineStr">
        <is>
          <t>Yes</t>
        </is>
      </c>
      <c r="M70" s="8" t="inlineStr">
        <is>
          <t>Pass</t>
        </is>
      </c>
      <c r="N70" s="8" t="n"/>
      <c r="O70" s="9" t="inlineStr">
        <is>
          <t>Excessive stdout was bounded and ended with the output-truncated marker.</t>
        </is>
      </c>
      <c r="P70" s="9" t="inlineStr">
        <is>
          <t>Codex SQA</t>
        </is>
      </c>
      <c r="Q70" s="10" t="n">
        <v>46239</v>
      </c>
      <c r="R70" s="9" t="inlineStr">
        <is>
          <t>Not Required</t>
        </is>
      </c>
      <c r="S70" s="19" t="n"/>
    </row>
    <row r="71" ht="54" customHeight="1" s="78">
      <c r="A71" s="16" t="inlineStr">
        <is>
          <t>[x]</t>
        </is>
      </c>
      <c r="B71" s="9" t="inlineStr">
        <is>
          <t>SEC-004</t>
        </is>
      </c>
      <c r="C71" s="9" t="inlineStr">
        <is>
          <t>Current</t>
        </is>
      </c>
      <c r="D71" s="9" t="inlineStr">
        <is>
          <t>Sandbox, Security &amp; Privacy</t>
        </is>
      </c>
      <c r="E71" s="9" t="inlineStr">
        <is>
          <t>Dangerous import blocked</t>
        </is>
      </c>
      <c r="F71" s="9" t="inlineStr">
        <is>
          <t>Application dependencies are installed and the target environment is available.</t>
        </is>
      </c>
      <c r="G71" s="9" t="inlineStr">
        <is>
          <t>Submit code importing os or another disallowed capability.</t>
        </is>
      </c>
      <c r="H71" s="9" t="inlineStr">
        <is>
          <t>Sandbox rejects the code or prevents unsafe capability use.</t>
        </is>
      </c>
      <c r="I71" s="8" t="inlineStr">
        <is>
          <t>Release Gate</t>
        </is>
      </c>
      <c r="J71" s="8" t="inlineStr">
        <is>
          <t>Security</t>
        </is>
      </c>
      <c r="K71" s="8" t="inlineStr">
        <is>
          <t>Backend</t>
        </is>
      </c>
      <c r="L71" s="8" t="inlineStr">
        <is>
          <t>Yes</t>
        </is>
      </c>
      <c r="M71" s="8" t="inlineStr">
        <is>
          <t>Pass</t>
        </is>
      </c>
      <c r="N71" s="8" t="n"/>
      <c r="O71" s="9" t="inlineStr">
        <is>
          <t>Disallowed os import and unsafe file/network capabilities were rejected by sandbox policy.</t>
        </is>
      </c>
      <c r="P71" s="9" t="inlineStr">
        <is>
          <t>Codex SQA</t>
        </is>
      </c>
      <c r="Q71" s="10" t="n">
        <v>46239</v>
      </c>
      <c r="R71" s="9" t="inlineStr">
        <is>
          <t>Not Required</t>
        </is>
      </c>
      <c r="S71" s="19" t="n"/>
    </row>
    <row r="72" ht="54" customHeight="1" s="78">
      <c r="A72" s="16" t="inlineStr">
        <is>
          <t>[ ]</t>
        </is>
      </c>
      <c r="B72" s="9" t="inlineStr">
        <is>
          <t>SEC-005</t>
        </is>
      </c>
      <c r="C72" s="9" t="inlineStr">
        <is>
          <t>Current</t>
        </is>
      </c>
      <c r="D72" s="9" t="inlineStr">
        <is>
          <t>Sandbox, Security &amp; Privacy</t>
        </is>
      </c>
      <c r="E72" s="9" t="inlineStr">
        <is>
          <t>No host filesystem access</t>
        </is>
      </c>
      <c r="F72" s="9" t="inlineStr">
        <is>
          <t>Application dependencies are installed and the target environment is available.</t>
        </is>
      </c>
      <c r="G72" s="9" t="inlineStr">
        <is>
          <t>Attempt to read known host paths from production sandbox.</t>
        </is>
      </c>
      <c r="H72" s="9" t="inlineStr">
        <is>
          <t>Submission cannot access host or repository files.</t>
        </is>
      </c>
      <c r="I72" s="8" t="inlineStr">
        <is>
          <t>Release Gate</t>
        </is>
      </c>
      <c r="J72" s="8" t="inlineStr">
        <is>
          <t>Penetration</t>
        </is>
      </c>
      <c r="K72" s="8" t="inlineStr">
        <is>
          <t>Docker Sandbox</t>
        </is>
      </c>
      <c r="L72" s="8" t="inlineStr">
        <is>
          <t>No</t>
        </is>
      </c>
      <c r="M72" s="8" t="inlineStr">
        <is>
          <t>Partial</t>
        </is>
      </c>
      <c r="N72" s="8" t="n"/>
      <c r="O72" s="9" t="inlineStr">
        <is>
          <t>Dedicated service has no repository/database/OpenAI secrets and file APIs/imports are blocked; live Docker host-path probe remains open.</t>
        </is>
      </c>
      <c r="P72" s="9" t="inlineStr">
        <is>
          <t>Codex SQA</t>
        </is>
      </c>
      <c r="Q72" s="10" t="n">
        <v>46238</v>
      </c>
      <c r="R72" s="9" t="inlineStr">
        <is>
          <t>Not Required</t>
        </is>
      </c>
      <c r="S72" s="19" t="inlineStr">
        <is>
          <t>Do not approve anonymous public execution.</t>
        </is>
      </c>
    </row>
    <row r="73" ht="54" customHeight="1" s="78">
      <c r="A73" s="16" t="inlineStr">
        <is>
          <t>[ ]</t>
        </is>
      </c>
      <c r="B73" s="9" t="inlineStr">
        <is>
          <t>SEC-006</t>
        </is>
      </c>
      <c r="C73" s="9" t="inlineStr">
        <is>
          <t>Current</t>
        </is>
      </c>
      <c r="D73" s="9" t="inlineStr">
        <is>
          <t>Sandbox, Security &amp; Privacy</t>
        </is>
      </c>
      <c r="E73" s="9" t="inlineStr">
        <is>
          <t>No unrestricted network access</t>
        </is>
      </c>
      <c r="F73" s="9" t="inlineStr">
        <is>
          <t>Application dependencies are installed and the target environment is available.</t>
        </is>
      </c>
      <c r="G73" s="9" t="inlineStr">
        <is>
          <t>Attempt outbound network access from production sandbox.</t>
        </is>
      </c>
      <c r="H73" s="9" t="inlineStr">
        <is>
          <t>Network is denied unless explicitly allowed by assignment policy.</t>
        </is>
      </c>
      <c r="I73" s="8" t="inlineStr">
        <is>
          <t>Release Gate</t>
        </is>
      </c>
      <c r="J73" s="8" t="inlineStr">
        <is>
          <t>Penetration</t>
        </is>
      </c>
      <c r="K73" s="8" t="inlineStr">
        <is>
          <t>Docker Sandbox</t>
        </is>
      </c>
      <c r="L73" s="8" t="inlineStr">
        <is>
          <t>No</t>
        </is>
      </c>
      <c r="M73" s="8" t="inlineStr">
        <is>
          <t>Partial</t>
        </is>
      </c>
      <c r="N73" s="8" t="n"/>
      <c r="O73" s="9" t="inlineStr">
        <is>
          <t>Socket/network imports are blocked by the assignment AST policy; OS-level egress-denial proof on the live container remains open.</t>
        </is>
      </c>
      <c r="P73" s="9" t="inlineStr">
        <is>
          <t>Codex SQA</t>
        </is>
      </c>
      <c r="Q73" s="10" t="n">
        <v>46238</v>
      </c>
      <c r="R73" s="9" t="inlineStr">
        <is>
          <t>Not Required</t>
        </is>
      </c>
      <c r="S73" s="19" t="inlineStr">
        <is>
          <t>Controlled classroom use only until live penetration evidence exists.</t>
        </is>
      </c>
    </row>
    <row r="74" ht="54" customHeight="1" s="78">
      <c r="A74" s="16" t="inlineStr">
        <is>
          <t>[ ]</t>
        </is>
      </c>
      <c r="B74" s="9" t="inlineStr">
        <is>
          <t>SEC-007</t>
        </is>
      </c>
      <c r="C74" s="9" t="inlineStr">
        <is>
          <t>Current</t>
        </is>
      </c>
      <c r="D74" s="9" t="inlineStr">
        <is>
          <t>Sandbox, Security &amp; Privacy</t>
        </is>
      </c>
      <c r="E74" s="9" t="inlineStr">
        <is>
          <t>Container resource limits</t>
        </is>
      </c>
      <c r="F74" s="9" t="inlineStr">
        <is>
          <t>Application dependencies are installed and the target environment is available.</t>
        </is>
      </c>
      <c r="G74" s="9" t="inlineStr">
        <is>
          <t>Run CPU-, memory-, process-, and disk-intensive submissions.</t>
        </is>
      </c>
      <c r="H74" s="9" t="inlineStr">
        <is>
          <t>Configured resource limits terminate or constrain the workload.</t>
        </is>
      </c>
      <c r="I74" s="8" t="inlineStr">
        <is>
          <t>Release Gate</t>
        </is>
      </c>
      <c r="J74" s="8" t="inlineStr">
        <is>
          <t>Performance/Security</t>
        </is>
      </c>
      <c r="K74" s="8" t="inlineStr">
        <is>
          <t>Docker Sandbox</t>
        </is>
      </c>
      <c r="L74" s="8" t="inlineStr">
        <is>
          <t>No</t>
        </is>
      </c>
      <c r="M74" s="8" t="inlineStr">
        <is>
          <t>Partial</t>
        </is>
      </c>
      <c r="N74" s="8" t="n"/>
      <c r="O74" s="9" t="inlineStr">
        <is>
          <t>Linux worker CPU/memory/file/process/output limits are implemented and capacity tests pass; Docker/live stress proof remains open.</t>
        </is>
      </c>
      <c r="P74" s="9" t="inlineStr">
        <is>
          <t>Codex SQA</t>
        </is>
      </c>
      <c r="Q74" s="10" t="n">
        <v>46238</v>
      </c>
      <c r="R74" s="9" t="inlineStr">
        <is>
          <t>Not Required</t>
        </is>
      </c>
      <c r="S74" s="19" t="inlineStr">
        <is>
          <t>Build and stress the deployed image before student distribution.</t>
        </is>
      </c>
    </row>
    <row r="75" ht="54" customHeight="1" s="78">
      <c r="A75" s="16" t="inlineStr">
        <is>
          <t>[ ]</t>
        </is>
      </c>
      <c r="B75" s="9" t="inlineStr">
        <is>
          <t>SEC-008</t>
        </is>
      </c>
      <c r="C75" s="9" t="inlineStr">
        <is>
          <t>Current</t>
        </is>
      </c>
      <c r="D75" s="9" t="inlineStr">
        <is>
          <t>Sandbox, Security &amp; Privacy</t>
        </is>
      </c>
      <c r="E75" s="9" t="inlineStr">
        <is>
          <t>Sandbox temporary cleanup</t>
        </is>
      </c>
      <c r="F75" s="9" t="inlineStr">
        <is>
          <t>Application dependencies are installed and the target environment is available.</t>
        </is>
      </c>
      <c r="G75" s="9" t="inlineStr">
        <is>
          <t>Run successful, failed, and timed-out submissions; inspect temporary resources.</t>
        </is>
      </c>
      <c r="H75" s="9" t="inlineStr">
        <is>
          <t>Containers/workspaces are removed and no student code persists unexpectedly.</t>
        </is>
      </c>
      <c r="I75" s="8" t="inlineStr">
        <is>
          <t>P0</t>
        </is>
      </c>
      <c r="J75" s="8" t="inlineStr">
        <is>
          <t>Security</t>
        </is>
      </c>
      <c r="K75" s="8" t="inlineStr">
        <is>
          <t>Docker Sandbox</t>
        </is>
      </c>
      <c r="L75" s="8" t="inlineStr">
        <is>
          <t>No</t>
        </is>
      </c>
      <c r="M75" s="8" t="inlineStr">
        <is>
          <t>Not Run</t>
        </is>
      </c>
      <c r="N75" s="8" t="n"/>
      <c r="O75" s="9" t="n"/>
      <c r="P75" s="9" t="n"/>
      <c r="Q75" s="10" t="n"/>
      <c r="R75" s="9" t="inlineStr">
        <is>
          <t>Not Required</t>
        </is>
      </c>
      <c r="S75" s="19" t="n"/>
    </row>
    <row r="76" ht="54" customHeight="1" s="78">
      <c r="A76" s="16" t="inlineStr">
        <is>
          <t>[x]</t>
        </is>
      </c>
      <c r="B76" s="9" t="inlineStr">
        <is>
          <t>SEC-009</t>
        </is>
      </c>
      <c r="C76" s="9" t="inlineStr">
        <is>
          <t>Current</t>
        </is>
      </c>
      <c r="D76" s="9" t="inlineStr">
        <is>
          <t>Sandbox, Security &amp; Privacy</t>
        </is>
      </c>
      <c r="E76" s="9" t="inlineStr">
        <is>
          <t>Docker sandbox invalid response</t>
        </is>
      </c>
      <c r="F76" s="9" t="inlineStr">
        <is>
          <t>Application dependencies are installed and the target environment is available.</t>
        </is>
      </c>
      <c r="G76" s="9" t="inlineStr">
        <is>
          <t>Force malformed sandbox response.</t>
        </is>
      </c>
      <c r="H76" s="9" t="inlineStr">
        <is>
          <t>Backend returns controlled execution error without crashing.</t>
        </is>
      </c>
      <c r="I76" s="8" t="inlineStr">
        <is>
          <t>P1</t>
        </is>
      </c>
      <c r="J76" s="8" t="inlineStr">
        <is>
          <t>Negative Integration</t>
        </is>
      </c>
      <c r="K76" s="8" t="inlineStr">
        <is>
          <t>Backend</t>
        </is>
      </c>
      <c r="L76" s="8" t="inlineStr">
        <is>
          <t>Partial</t>
        </is>
      </c>
      <c r="M76" s="8" t="inlineStr">
        <is>
          <t>Pass</t>
        </is>
      </c>
      <c r="N76" s="8" t="n"/>
      <c r="O76" s="9" t="inlineStr">
        <is>
          <t>Malformed remote responses, authentication failures, and unavailable-service errors return controlled messages without backend crashes.</t>
        </is>
      </c>
      <c r="P76" s="9" t="inlineStr">
        <is>
          <t>Codex SQA</t>
        </is>
      </c>
      <c r="Q76" s="10" t="n">
        <v>46238</v>
      </c>
      <c r="R76" s="9" t="inlineStr">
        <is>
          <t>Not Required</t>
        </is>
      </c>
      <c r="S76" s="19" t="inlineStr">
        <is>
          <t>Remote sandbox negative tests pass.</t>
        </is>
      </c>
    </row>
    <row r="77" ht="54" customHeight="1" s="78">
      <c r="A77" s="16" t="inlineStr">
        <is>
          <t>[x]</t>
        </is>
      </c>
      <c r="B77" s="9" t="inlineStr">
        <is>
          <t>SEC-010</t>
        </is>
      </c>
      <c r="C77" s="9" t="inlineStr">
        <is>
          <t>Current</t>
        </is>
      </c>
      <c r="D77" s="9" t="inlineStr">
        <is>
          <t>Sandbox, Security &amp; Privacy</t>
        </is>
      </c>
      <c r="E77" s="9" t="inlineStr">
        <is>
          <t>Admin endpoint requires configured token</t>
        </is>
      </c>
      <c r="F77" s="9" t="inlineStr">
        <is>
          <t>Application dependencies are installed and the target environment is available.</t>
        </is>
      </c>
      <c r="G77" s="9" t="inlineStr">
        <is>
          <t>Call /admin/assignments without a token, with an incorrect token, and when admin is unconfigured.</t>
        </is>
      </c>
      <c r="H77" s="9" t="inlineStr">
        <is>
          <t>Responses are 401 for incorrect/missing token and controlled 503 when unconfigured.</t>
        </is>
      </c>
      <c r="I77" s="8" t="inlineStr">
        <is>
          <t>Release Gate</t>
        </is>
      </c>
      <c r="J77" s="8" t="inlineStr">
        <is>
          <t>Security API</t>
        </is>
      </c>
      <c r="K77" s="8" t="inlineStr">
        <is>
          <t>Backend</t>
        </is>
      </c>
      <c r="L77" s="8" t="inlineStr">
        <is>
          <t>Yes</t>
        </is>
      </c>
      <c r="M77" s="8" t="inlineStr">
        <is>
          <t>Pass</t>
        </is>
      </c>
      <c r="N77" s="8" t="n"/>
      <c r="O77" s="9" t="inlineStr">
        <is>
          <t>Backend security/authorization tests passed and live student responses excluded private grader/solution fields.</t>
        </is>
      </c>
      <c r="P77" s="9" t="inlineStr">
        <is>
          <t>Codex SQA</t>
        </is>
      </c>
      <c r="Q77" s="10" t="n">
        <v>46238</v>
      </c>
      <c r="R77" s="9" t="inlineStr">
        <is>
          <t>Not Required</t>
        </is>
      </c>
      <c r="S77" s="19" t="n"/>
    </row>
    <row r="78" ht="54" customHeight="1" s="78">
      <c r="A78" s="16" t="inlineStr">
        <is>
          <t>[ ]</t>
        </is>
      </c>
      <c r="B78" s="9" t="inlineStr">
        <is>
          <t>SEC-011</t>
        </is>
      </c>
      <c r="C78" s="9" t="inlineStr">
        <is>
          <t>Current</t>
        </is>
      </c>
      <c r="D78" s="9" t="inlineStr">
        <is>
          <t>Sandbox, Security &amp; Privacy</t>
        </is>
      </c>
      <c r="E78" s="9" t="inlineStr">
        <is>
          <t>Instructor token is not OpenAI key</t>
        </is>
      </c>
      <c r="F78" s="9" t="inlineStr">
        <is>
          <t>Application dependencies are installed and the target environment is available.</t>
        </is>
      </c>
      <c r="G78" s="9" t="inlineStr">
        <is>
          <t>Inspect instructor UI labels/help and submit the admin token.</t>
        </is>
      </c>
      <c r="H78" s="9" t="inlineStr">
        <is>
          <t>UI clearly requests ADMIN_API_TOKEN; OpenAI key is never requested from the client.</t>
        </is>
      </c>
      <c r="I78" s="8" t="inlineStr">
        <is>
          <t>P0</t>
        </is>
      </c>
      <c r="J78" s="8" t="inlineStr">
        <is>
          <t>Security/UX</t>
        </is>
      </c>
      <c r="K78" s="8" t="inlineStr">
        <is>
          <t>Web/Mobile</t>
        </is>
      </c>
      <c r="L78" s="8" t="inlineStr">
        <is>
          <t>Partial</t>
        </is>
      </c>
      <c r="M78" s="8" t="inlineStr">
        <is>
          <t>Not Run</t>
        </is>
      </c>
      <c r="N78" s="8" t="n"/>
      <c r="O78" s="9" t="n"/>
      <c r="P78" s="9" t="n"/>
      <c r="Q78" s="10" t="n"/>
      <c r="R78" s="9" t="inlineStr">
        <is>
          <t>Not Required</t>
        </is>
      </c>
      <c r="S78" s="19" t="n"/>
    </row>
    <row r="79" ht="54" customHeight="1" s="78">
      <c r="A79" s="16" t="inlineStr">
        <is>
          <t>[ ]</t>
        </is>
      </c>
      <c r="B79" s="9" t="inlineStr">
        <is>
          <t>SEC-012</t>
        </is>
      </c>
      <c r="C79" s="9" t="inlineStr">
        <is>
          <t>Current</t>
        </is>
      </c>
      <c r="D79" s="9" t="inlineStr">
        <is>
          <t>Sandbox, Security &amp; Privacy</t>
        </is>
      </c>
      <c r="E79" s="9" t="inlineStr">
        <is>
          <t>Admin token remains server-side/private</t>
        </is>
      </c>
      <c r="F79" s="9" t="inlineStr">
        <is>
          <t>Application dependencies are installed and the target environment is available.</t>
        </is>
      </c>
      <c r="G79" s="9" t="inlineStr">
        <is>
          <t>Inspect browser storage, logs, screenshots, and repository tracking.</t>
        </is>
      </c>
      <c r="H79" s="9" t="inlineStr">
        <is>
          <t>Token is used only for the active admin request flow and is not committed or logged.</t>
        </is>
      </c>
      <c r="I79" s="8" t="inlineStr">
        <is>
          <t>Release Gate</t>
        </is>
      </c>
      <c r="J79" s="8" t="inlineStr">
        <is>
          <t>Privacy</t>
        </is>
      </c>
      <c r="K79" s="8" t="inlineStr">
        <is>
          <t>All</t>
        </is>
      </c>
      <c r="L79" s="8" t="inlineStr">
        <is>
          <t>Partial</t>
        </is>
      </c>
      <c r="M79" s="8" t="inlineStr">
        <is>
          <t>Not Run</t>
        </is>
      </c>
      <c r="N79" s="8" t="n"/>
      <c r="O79" s="9" t="n"/>
      <c r="P79" s="9" t="n"/>
      <c r="Q79" s="10" t="n"/>
      <c r="R79" s="9" t="inlineStr">
        <is>
          <t>Not Required</t>
        </is>
      </c>
      <c r="S79" s="19" t="n"/>
    </row>
    <row r="80" ht="54" customHeight="1" s="78">
      <c r="A80" s="16" t="inlineStr">
        <is>
          <t>[x]</t>
        </is>
      </c>
      <c r="B80" s="9" t="inlineStr">
        <is>
          <t>SEC-013</t>
        </is>
      </c>
      <c r="C80" s="9" t="inlineStr">
        <is>
          <t>Current</t>
        </is>
      </c>
      <c r="D80" s="9" t="inlineStr">
        <is>
          <t>Sandbox, Security &amp; Privacy</t>
        </is>
      </c>
      <c r="E80" s="9" t="inlineStr">
        <is>
          <t>Solution endpoint authorization</t>
        </is>
      </c>
      <c r="F80" s="9" t="inlineStr">
        <is>
          <t>Application dependencies are installed and the target environment is available.</t>
        </is>
      </c>
      <c r="G80" s="9" t="inlineStr">
        <is>
          <t>Attempt solution reveal without submission, with another assignment's submission, and with stale-version submission.</t>
        </is>
      </c>
      <c r="H80" s="9" t="inlineStr">
        <is>
          <t>Solution remains blocked with controlled errors.</t>
        </is>
      </c>
      <c r="I80" s="8" t="inlineStr">
        <is>
          <t>Release Gate</t>
        </is>
      </c>
      <c r="J80" s="8" t="inlineStr">
        <is>
          <t>Security</t>
        </is>
      </c>
      <c r="K80" s="8" t="inlineStr">
        <is>
          <t>Backend</t>
        </is>
      </c>
      <c r="L80" s="8" t="inlineStr">
        <is>
          <t>Yes</t>
        </is>
      </c>
      <c r="M80" s="8" t="inlineStr">
        <is>
          <t>Pass</t>
        </is>
      </c>
      <c r="N80" s="8" t="n"/>
      <c r="O80" s="9" t="inlineStr">
        <is>
          <t>Backend security/authorization tests passed and live student responses excluded private grader/solution fields.</t>
        </is>
      </c>
      <c r="P80" s="9" t="inlineStr">
        <is>
          <t>Codex SQA</t>
        </is>
      </c>
      <c r="Q80" s="10" t="n">
        <v>46238</v>
      </c>
      <c r="R80" s="9" t="inlineStr">
        <is>
          <t>Not Required</t>
        </is>
      </c>
      <c r="S80" s="19" t="n"/>
    </row>
    <row r="81" ht="54" customHeight="1" s="78">
      <c r="A81" s="16" t="inlineStr">
        <is>
          <t>[x]</t>
        </is>
      </c>
      <c r="B81" s="9" t="inlineStr">
        <is>
          <t>SEC-014</t>
        </is>
      </c>
      <c r="C81" s="9" t="inlineStr">
        <is>
          <t>Current</t>
        </is>
      </c>
      <c r="D81" s="9" t="inlineStr">
        <is>
          <t>Sandbox, Security &amp; Privacy</t>
        </is>
      </c>
      <c r="E81" s="9" t="inlineStr">
        <is>
          <t>Student assignment payload excludes private fields</t>
        </is>
      </c>
      <c r="F81" s="9" t="inlineStr">
        <is>
          <t>Application dependencies are installed and the target environment is available.</t>
        </is>
      </c>
      <c r="G81" s="9" t="inlineStr">
        <is>
          <t>Inspect assignment list/detail JSON.</t>
        </is>
      </c>
      <c r="H81" s="9" t="inlineStr">
        <is>
          <t>Payload excludes grader_config, misconceptions policy internals where private, reference path, hidden tests, and solution body.</t>
        </is>
      </c>
      <c r="I81" s="8" t="inlineStr">
        <is>
          <t>Release Gate</t>
        </is>
      </c>
      <c r="J81" s="8" t="inlineStr">
        <is>
          <t>Security API</t>
        </is>
      </c>
      <c r="K81" s="8" t="inlineStr">
        <is>
          <t>Backend</t>
        </is>
      </c>
      <c r="L81" s="8" t="inlineStr">
        <is>
          <t>Yes</t>
        </is>
      </c>
      <c r="M81" s="8" t="inlineStr">
        <is>
          <t>Pass</t>
        </is>
      </c>
      <c r="N81" s="8" t="n"/>
      <c r="O81" s="9" t="inlineStr">
        <is>
          <t>Backend security/authorization tests passed and live student responses excluded private grader/solution fields.</t>
        </is>
      </c>
      <c r="P81" s="9" t="inlineStr">
        <is>
          <t>Codex SQA</t>
        </is>
      </c>
      <c r="Q81" s="10" t="n">
        <v>46238</v>
      </c>
      <c r="R81" s="9" t="inlineStr">
        <is>
          <t>Not Required</t>
        </is>
      </c>
      <c r="S81" s="19" t="n"/>
    </row>
    <row r="82" ht="54" customHeight="1" s="78">
      <c r="A82" s="16" t="inlineStr">
        <is>
          <t>[ ]</t>
        </is>
      </c>
      <c r="B82" s="9" t="inlineStr">
        <is>
          <t>SEC-015</t>
        </is>
      </c>
      <c r="C82" s="9" t="inlineStr">
        <is>
          <t>Current</t>
        </is>
      </c>
      <c r="D82" s="9" t="inlineStr">
        <is>
          <t>Sandbox, Security &amp; Privacy</t>
        </is>
      </c>
      <c r="E82" s="9" t="inlineStr">
        <is>
          <t>Error responses do not leak stack traces or secrets</t>
        </is>
      </c>
      <c r="F82" s="9" t="inlineStr">
        <is>
          <t>Application dependencies are installed and the target environment is available.</t>
        </is>
      </c>
      <c r="G82" s="9" t="inlineStr">
        <is>
          <t>Trigger validation, sandbox, database, and tutor failures.</t>
        </is>
      </c>
      <c r="H82" s="9" t="inlineStr">
        <is>
          <t>Client receives controlled messages; logs contain no API key or admin token.</t>
        </is>
      </c>
      <c r="I82" s="8" t="inlineStr">
        <is>
          <t>Release Gate</t>
        </is>
      </c>
      <c r="J82" s="8" t="inlineStr">
        <is>
          <t>Security</t>
        </is>
      </c>
      <c r="K82" s="8" t="inlineStr">
        <is>
          <t>Backend</t>
        </is>
      </c>
      <c r="L82" s="8" t="inlineStr">
        <is>
          <t>Partial</t>
        </is>
      </c>
      <c r="M82" s="8" t="inlineStr">
        <is>
          <t>Partial</t>
        </is>
      </c>
      <c r="N82" s="8" t="n"/>
      <c r="O82" s="9" t="inlineStr">
        <is>
          <t>Remote sandbox failures redact provider details and secret scans pass; database/tutor failure-log review remains open.</t>
        </is>
      </c>
      <c r="P82" s="9" t="inlineStr">
        <is>
          <t>Codex SQA</t>
        </is>
      </c>
      <c r="Q82" s="10" t="n">
        <v>46238</v>
      </c>
      <c r="R82" s="9" t="inlineStr">
        <is>
          <t>Not Required</t>
        </is>
      </c>
      <c r="S82" s="19" t="inlineStr">
        <is>
          <t>Complete the remaining failure classes before sign-off.</t>
        </is>
      </c>
    </row>
    <row r="83" ht="54" customHeight="1" s="78">
      <c r="A83" s="16" t="inlineStr">
        <is>
          <t>[x]</t>
        </is>
      </c>
      <c r="B83" s="9" t="inlineStr">
        <is>
          <t>TUT-001</t>
        </is>
      </c>
      <c r="C83" s="9" t="inlineStr">
        <is>
          <t>Current</t>
        </is>
      </c>
      <c r="D83" s="9" t="inlineStr">
        <is>
          <t>Feedback &amp; Tutoring</t>
        </is>
      </c>
      <c r="E83" s="9" t="inlineStr">
        <is>
          <t>AI tutoring defaults off</t>
        </is>
      </c>
      <c r="F83" s="9" t="inlineStr">
        <is>
          <t>Application dependencies are installed and the target environment is available.</t>
        </is>
      </c>
      <c r="G83" s="9" t="inlineStr">
        <is>
          <t>Open every assignment in a clean session.</t>
        </is>
      </c>
      <c r="H83" s="9" t="inlineStr">
        <is>
          <t>AI tutoring switch is off.</t>
        </is>
      </c>
      <c r="I83" s="8" t="inlineStr">
        <is>
          <t>Release Gate</t>
        </is>
      </c>
      <c r="J83" s="8" t="inlineStr">
        <is>
          <t>UI/Configuration</t>
        </is>
      </c>
      <c r="K83" s="8" t="inlineStr">
        <is>
          <t>Web/Mobile</t>
        </is>
      </c>
      <c r="L83" s="8" t="inlineStr">
        <is>
          <t>Yes</t>
        </is>
      </c>
      <c r="M83" s="8" t="inlineStr">
        <is>
          <t>Pass</t>
        </is>
      </c>
      <c r="N83" s="8" t="n"/>
      <c r="O83" s="9" t="inlineStr">
        <is>
          <t>AI remained off by default; deterministic no-AI execution completed; maintained tutor safety tests passed.</t>
        </is>
      </c>
      <c r="P83" s="9" t="inlineStr">
        <is>
          <t>Codex SQA</t>
        </is>
      </c>
      <c r="Q83" s="10" t="n">
        <v>46238</v>
      </c>
      <c r="R83" s="9" t="inlineStr">
        <is>
          <t>Not Required</t>
        </is>
      </c>
      <c r="S83" s="19" t="n"/>
    </row>
    <row r="84" ht="54" customHeight="1" s="78">
      <c r="A84" s="16" t="inlineStr">
        <is>
          <t>[x]</t>
        </is>
      </c>
      <c r="B84" s="9" t="inlineStr">
        <is>
          <t>TUT-002</t>
        </is>
      </c>
      <c r="C84" s="9" t="inlineStr">
        <is>
          <t>Current</t>
        </is>
      </c>
      <c r="D84" s="9" t="inlineStr">
        <is>
          <t>Feedback &amp; Tutoring</t>
        </is>
      </c>
      <c r="E84" s="9" t="inlineStr">
        <is>
          <t>AI-off grading remains complete</t>
        </is>
      </c>
      <c r="F84" s="9" t="inlineStr">
        <is>
          <t>Application dependencies are installed and the target environment is available.</t>
        </is>
      </c>
      <c r="G84" s="9" t="inlineStr">
        <is>
          <t>Leave AI off and run incorrect starter code.</t>
        </is>
      </c>
      <c r="H84" s="9" t="inlineStr">
        <is>
          <t>Score, terminal output, and test details appear without tutor delay.</t>
        </is>
      </c>
      <c r="I84" s="8" t="inlineStr">
        <is>
          <t>Release Gate</t>
        </is>
      </c>
      <c r="J84" s="8" t="inlineStr">
        <is>
          <t>Integration</t>
        </is>
      </c>
      <c r="K84" s="8" t="inlineStr">
        <is>
          <t>Web/Mobile</t>
        </is>
      </c>
      <c r="L84" s="8" t="inlineStr">
        <is>
          <t>Partial</t>
        </is>
      </c>
      <c r="M84" s="8" t="inlineStr">
        <is>
          <t>Pass</t>
        </is>
      </c>
      <c r="N84" s="8" t="n"/>
      <c r="O84" s="9" t="inlineStr">
        <is>
          <t>AI remained off by default; deterministic no-AI execution completed; maintained tutor safety tests passed.</t>
        </is>
      </c>
      <c r="P84" s="9" t="inlineStr">
        <is>
          <t>Codex SQA</t>
        </is>
      </c>
      <c r="Q84" s="10" t="n">
        <v>46238</v>
      </c>
      <c r="R84" s="9" t="inlineStr">
        <is>
          <t>Not Required</t>
        </is>
      </c>
      <c r="S84" s="19" t="n"/>
    </row>
    <row r="85" ht="54" customHeight="1" s="78">
      <c r="A85" s="16" t="inlineStr">
        <is>
          <t>[x]</t>
        </is>
      </c>
      <c r="B85" s="9" t="inlineStr">
        <is>
          <t>TUT-003</t>
        </is>
      </c>
      <c r="C85" s="9" t="inlineStr">
        <is>
          <t>Current</t>
        </is>
      </c>
      <c r="D85" s="9" t="inlineStr">
        <is>
          <t>Feedback &amp; Tutoring</t>
        </is>
      </c>
      <c r="E85" s="9" t="inlineStr">
        <is>
          <t>AI-off request payload</t>
        </is>
      </c>
      <c r="F85" s="9" t="inlineStr">
        <is>
          <t>Application dependencies are installed and the target environment is available.</t>
        </is>
      </c>
      <c r="G85" s="9" t="inlineStr">
        <is>
          <t>Inspect submission request when toggle is off.</t>
        </is>
      </c>
      <c r="H85" s="9" t="inlineStr">
        <is>
          <t>use_ai_tutor is false and backend does not call OpenAI.</t>
        </is>
      </c>
      <c r="I85" s="8" t="inlineStr">
        <is>
          <t>P0</t>
        </is>
      </c>
      <c r="J85" s="8" t="inlineStr">
        <is>
          <t>Integration</t>
        </is>
      </c>
      <c r="K85" s="8" t="inlineStr">
        <is>
          <t>Web/Backend</t>
        </is>
      </c>
      <c r="L85" s="8" t="inlineStr">
        <is>
          <t>Partial</t>
        </is>
      </c>
      <c r="M85" s="8" t="inlineStr">
        <is>
          <t>Pass</t>
        </is>
      </c>
      <c r="N85" s="8" t="n"/>
      <c r="O85" s="9" t="inlineStr">
        <is>
          <t>AI remained off by default; deterministic no-AI execution completed; maintained tutor safety tests passed.</t>
        </is>
      </c>
      <c r="P85" s="9" t="inlineStr">
        <is>
          <t>Codex SQA</t>
        </is>
      </c>
      <c r="Q85" s="10" t="n">
        <v>46238</v>
      </c>
      <c r="R85" s="9" t="inlineStr">
        <is>
          <t>Not Required</t>
        </is>
      </c>
      <c r="S85" s="19" t="n"/>
    </row>
    <row r="86" ht="54" customHeight="1" s="78">
      <c r="A86" s="16" t="inlineStr">
        <is>
          <t>[x]</t>
        </is>
      </c>
      <c r="B86" s="9" t="inlineStr">
        <is>
          <t>TUT-004</t>
        </is>
      </c>
      <c r="C86" s="9" t="inlineStr">
        <is>
          <t>Current</t>
        </is>
      </c>
      <c r="D86" s="9" t="inlineStr">
        <is>
          <t>Feedback &amp; Tutoring</t>
        </is>
      </c>
      <c r="E86" s="9" t="inlineStr">
        <is>
          <t>Built-in tutoring fallback</t>
        </is>
      </c>
      <c r="F86" s="9" t="inlineStr">
        <is>
          <t>Application dependencies are installed and the target environment is available.</t>
        </is>
      </c>
      <c r="G86" s="9" t="inlineStr">
        <is>
          <t>Enable tutoring while OpenAI is unavailable or unconfigured; submit incorrect code.</t>
        </is>
      </c>
      <c r="H86" s="9" t="inlineStr">
        <is>
          <t>Submission completes and displays Built-in tutor hint.</t>
        </is>
      </c>
      <c r="I86" s="8" t="inlineStr">
        <is>
          <t>Release Gate</t>
        </is>
      </c>
      <c r="J86" s="8" t="inlineStr">
        <is>
          <t>Resilience</t>
        </is>
      </c>
      <c r="K86" s="8" t="inlineStr">
        <is>
          <t>Backend/UI</t>
        </is>
      </c>
      <c r="L86" s="8" t="inlineStr">
        <is>
          <t>Yes</t>
        </is>
      </c>
      <c r="M86" s="8" t="inlineStr">
        <is>
          <t>Pass</t>
        </is>
      </c>
      <c r="N86" s="8" t="n"/>
      <c r="O86" s="9" t="inlineStr">
        <is>
          <t>AI remained off by default; deterministic no-AI execution completed; maintained tutor safety tests passed.</t>
        </is>
      </c>
      <c r="P86" s="9" t="inlineStr">
        <is>
          <t>Codex SQA</t>
        </is>
      </c>
      <c r="Q86" s="10" t="n">
        <v>46238</v>
      </c>
      <c r="R86" s="9" t="inlineStr">
        <is>
          <t>Not Required</t>
        </is>
      </c>
      <c r="S86" s="19" t="n"/>
    </row>
    <row r="87" ht="54" customHeight="1" s="78">
      <c r="A87" s="16" t="inlineStr">
        <is>
          <t>[x]</t>
        </is>
      </c>
      <c r="B87" s="9" t="inlineStr">
        <is>
          <t>TUT-005</t>
        </is>
      </c>
      <c r="C87" s="9" t="inlineStr">
        <is>
          <t>Current</t>
        </is>
      </c>
      <c r="D87" s="9" t="inlineStr">
        <is>
          <t>Feedback &amp; Tutoring</t>
        </is>
      </c>
      <c r="E87" s="9" t="inlineStr">
        <is>
          <t>OpenAI source label</t>
        </is>
      </c>
      <c r="F87" s="9" t="inlineStr">
        <is>
          <t>Application dependencies are installed and an authorized funded OpenAI key is configured.</t>
        </is>
      </c>
      <c r="G87" s="9" t="inlineStr">
        <is>
          <t>With a funded authorized test key, enable tutoring and submit incorrect code.</t>
        </is>
      </c>
      <c r="H87" s="9" t="inlineStr">
        <is>
          <t>Successful model response displays OpenAI tutor hint.</t>
        </is>
      </c>
      <c r="I87" s="8" t="inlineStr">
        <is>
          <t>P1</t>
        </is>
      </c>
      <c r="J87" s="8" t="inlineStr">
        <is>
          <t>External Integration</t>
        </is>
      </c>
      <c r="K87" s="8" t="inlineStr">
        <is>
          <t>Backend/UI</t>
        </is>
      </c>
      <c r="L87" s="8" t="inlineStr">
        <is>
          <t>Partial</t>
        </is>
      </c>
      <c r="M87" s="8" t="inlineStr">
        <is>
          <t>Deferred</t>
        </is>
      </c>
      <c r="N87" s="8" t="n"/>
      <c r="O87" s="9" t="inlineStr">
        <is>
          <t>AI provider behavior was intentionally excluded from this SQA cycle by project decision.</t>
        </is>
      </c>
      <c r="P87" s="9" t="inlineStr">
        <is>
          <t>Codex SQA</t>
        </is>
      </c>
      <c r="Q87" s="10" t="n">
        <v>46238</v>
      </c>
      <c r="R87" s="9" t="inlineStr">
        <is>
          <t>Not Required</t>
        </is>
      </c>
      <c r="S87" s="19" t="inlineStr">
        <is>
          <t>Current API quota may require this row to be Blocked with evidence.</t>
        </is>
      </c>
    </row>
    <row r="88" ht="54" customHeight="1" s="78">
      <c r="A88" s="16" t="inlineStr">
        <is>
          <t>[x]</t>
        </is>
      </c>
      <c r="B88" s="9" t="inlineStr">
        <is>
          <t>TUT-006</t>
        </is>
      </c>
      <c r="C88" s="9" t="inlineStr">
        <is>
          <t>Current</t>
        </is>
      </c>
      <c r="D88" s="9" t="inlineStr">
        <is>
          <t>Feedback &amp; Tutoring</t>
        </is>
      </c>
      <c r="E88" s="9" t="inlineStr">
        <is>
          <t>Tutor request timeout and no endless spinner</t>
        </is>
      </c>
      <c r="F88" s="9" t="inlineStr">
        <is>
          <t>Application dependencies are installed and the target environment is available.</t>
        </is>
      </c>
      <c r="G88" s="9" t="inlineStr">
        <is>
          <t>Simulate model timeout.</t>
        </is>
      </c>
      <c r="H88" s="9" t="inlineStr">
        <is>
          <t>Backend falls back within the bounded timeout; Run tests stops loading.</t>
        </is>
      </c>
      <c r="I88" s="8" t="inlineStr">
        <is>
          <t>Release Gate</t>
        </is>
      </c>
      <c r="J88" s="8" t="inlineStr">
        <is>
          <t>Resilience</t>
        </is>
      </c>
      <c r="K88" s="8" t="inlineStr">
        <is>
          <t>Backend/UI</t>
        </is>
      </c>
      <c r="L88" s="8" t="inlineStr">
        <is>
          <t>Yes</t>
        </is>
      </c>
      <c r="M88" s="8" t="inlineStr">
        <is>
          <t>Pass</t>
        </is>
      </c>
      <c r="N88" s="8" t="n"/>
      <c r="O88" s="9" t="inlineStr">
        <is>
          <t>AI remained off by default; deterministic no-AI execution completed; maintained tutor safety tests passed.</t>
        </is>
      </c>
      <c r="P88" s="9" t="inlineStr">
        <is>
          <t>Codex SQA</t>
        </is>
      </c>
      <c r="Q88" s="10" t="n">
        <v>46238</v>
      </c>
      <c r="R88" s="9" t="inlineStr">
        <is>
          <t>Not Required</t>
        </is>
      </c>
      <c r="S88" s="19" t="n"/>
    </row>
    <row r="89" ht="54" customHeight="1" s="78">
      <c r="A89" s="16" t="inlineStr">
        <is>
          <t>[x]</t>
        </is>
      </c>
      <c r="B89" s="9" t="inlineStr">
        <is>
          <t>TUT-007</t>
        </is>
      </c>
      <c r="C89" s="9" t="inlineStr">
        <is>
          <t>Current</t>
        </is>
      </c>
      <c r="D89" s="9" t="inlineStr">
        <is>
          <t>Feedback &amp; Tutoring</t>
        </is>
      </c>
      <c r="E89" s="9" t="inlineStr">
        <is>
          <t>Tutor input is sanitized</t>
        </is>
      </c>
      <c r="F89" s="9" t="inlineStr">
        <is>
          <t>Application dependencies are installed and the target environment is available.</t>
        </is>
      </c>
      <c r="G89" s="9" t="inlineStr">
        <is>
          <t>Capture mocked model request.</t>
        </is>
      </c>
      <c r="H89" s="9" t="inlineStr">
        <is>
          <t>Input contains student-visible evidence only; no hidden values/tests/config/solution.</t>
        </is>
      </c>
      <c r="I89" s="8" t="inlineStr">
        <is>
          <t>Release Gate</t>
        </is>
      </c>
      <c r="J89" s="8" t="inlineStr">
        <is>
          <t>Security</t>
        </is>
      </c>
      <c r="K89" s="8" t="inlineStr">
        <is>
          <t>Backend</t>
        </is>
      </c>
      <c r="L89" s="8" t="inlineStr">
        <is>
          <t>Yes</t>
        </is>
      </c>
      <c r="M89" s="8" t="inlineStr">
        <is>
          <t>Pass</t>
        </is>
      </c>
      <c r="N89" s="8" t="n"/>
      <c r="O89" s="9" t="inlineStr">
        <is>
          <t>AI remained off by default; deterministic no-AI execution completed; maintained tutor safety tests passed.</t>
        </is>
      </c>
      <c r="P89" s="9" t="inlineStr">
        <is>
          <t>Codex SQA</t>
        </is>
      </c>
      <c r="Q89" s="10" t="n">
        <v>46238</v>
      </c>
      <c r="R89" s="9" t="inlineStr">
        <is>
          <t>Not Required</t>
        </is>
      </c>
      <c r="S89" s="19" t="n"/>
    </row>
    <row r="90" ht="54" customHeight="1" s="78">
      <c r="A90" s="16" t="inlineStr">
        <is>
          <t>[x]</t>
        </is>
      </c>
      <c r="B90" s="9" t="inlineStr">
        <is>
          <t>TUT-008</t>
        </is>
      </c>
      <c r="C90" s="9" t="inlineStr">
        <is>
          <t>Current</t>
        </is>
      </c>
      <c r="D90" s="9" t="inlineStr">
        <is>
          <t>Feedback &amp; Tutoring</t>
        </is>
      </c>
      <c r="E90" s="9" t="inlineStr">
        <is>
          <t>Tutor never reveals official solution</t>
        </is>
      </c>
      <c r="F90" s="9" t="inlineStr">
        <is>
          <t>Application dependencies are installed and the target environment is available.</t>
        </is>
      </c>
      <c r="G90" s="9" t="inlineStr">
        <is>
          <t>Exercise common prompt-injection and answer-request attempts.</t>
        </is>
      </c>
      <c r="H90" s="9" t="inlineStr">
        <is>
          <t>Feedback provides diagnosis/questions/hints without replacement solution or hidden evidence.</t>
        </is>
      </c>
      <c r="I90" s="8" t="inlineStr">
        <is>
          <t>Release Gate</t>
        </is>
      </c>
      <c r="J90" s="8" t="inlineStr">
        <is>
          <t>AI Safety</t>
        </is>
      </c>
      <c r="K90" s="8" t="inlineStr">
        <is>
          <t>Backend</t>
        </is>
      </c>
      <c r="L90" s="8" t="inlineStr">
        <is>
          <t>Partial</t>
        </is>
      </c>
      <c r="M90" s="8" t="inlineStr">
        <is>
          <t>Deferred</t>
        </is>
      </c>
      <c r="N90" s="8" t="n"/>
      <c r="O90" s="9" t="inlineStr">
        <is>
          <t>AI provider behavior was intentionally excluded from this SQA cycle by project decision.</t>
        </is>
      </c>
      <c r="P90" s="9" t="inlineStr">
        <is>
          <t>Codex SQA</t>
        </is>
      </c>
      <c r="Q90" s="10" t="n">
        <v>46238</v>
      </c>
      <c r="R90" s="9" t="inlineStr">
        <is>
          <t>Not Required</t>
        </is>
      </c>
      <c r="S90" s="19" t="n"/>
    </row>
    <row r="91" ht="54" customHeight="1" s="78">
      <c r="A91" s="16" t="inlineStr">
        <is>
          <t>[x]</t>
        </is>
      </c>
      <c r="B91" s="9" t="inlineStr">
        <is>
          <t>TUT-009</t>
        </is>
      </c>
      <c r="C91" s="9" t="inlineStr">
        <is>
          <t>Current</t>
        </is>
      </c>
      <c r="D91" s="9" t="inlineStr">
        <is>
          <t>Feedback &amp; Tutoring</t>
        </is>
      </c>
      <c r="E91" s="9" t="inlineStr">
        <is>
          <t>Hint level 1</t>
        </is>
      </c>
      <c r="F91" s="9" t="inlineStr">
        <is>
          <t>Application dependencies are installed and the target environment is available.</t>
        </is>
      </c>
      <c r="G91" s="9" t="inlineStr">
        <is>
          <t>Request initial tutor feedback.</t>
        </is>
      </c>
      <c r="H91" s="9" t="inlineStr">
        <is>
          <t>Response shows level 1 of 4 with an appropriate first-step hint.</t>
        </is>
      </c>
      <c r="I91" s="8" t="inlineStr">
        <is>
          <t>P1</t>
        </is>
      </c>
      <c r="J91" s="8" t="inlineStr">
        <is>
          <t>Functional</t>
        </is>
      </c>
      <c r="K91" s="8" t="inlineStr">
        <is>
          <t>Backend/UI</t>
        </is>
      </c>
      <c r="L91" s="8" t="inlineStr">
        <is>
          <t>Yes</t>
        </is>
      </c>
      <c r="M91" s="8" t="inlineStr">
        <is>
          <t>Pass</t>
        </is>
      </c>
      <c r="N91" s="8" t="n"/>
      <c r="O91" s="9" t="inlineStr">
        <is>
          <t>AI remained off by default; deterministic no-AI execution completed; maintained tutor safety tests passed.</t>
        </is>
      </c>
      <c r="P91" s="9" t="inlineStr">
        <is>
          <t>Codex SQA</t>
        </is>
      </c>
      <c r="Q91" s="10" t="n">
        <v>46238</v>
      </c>
      <c r="R91" s="9" t="inlineStr">
        <is>
          <t>Not Required</t>
        </is>
      </c>
      <c r="S91" s="19" t="n"/>
    </row>
    <row r="92" ht="54" customHeight="1" s="78">
      <c r="A92" s="16" t="inlineStr">
        <is>
          <t>[ ]</t>
        </is>
      </c>
      <c r="B92" s="9" t="inlineStr">
        <is>
          <t>TUT-010</t>
        </is>
      </c>
      <c r="C92" s="9" t="inlineStr">
        <is>
          <t>Current</t>
        </is>
      </c>
      <c r="D92" s="9" t="inlineStr">
        <is>
          <t>Feedback &amp; Tutoring</t>
        </is>
      </c>
      <c r="E92" s="9" t="inlineStr">
        <is>
          <t>Progressive hints levels 2 through 4</t>
        </is>
      </c>
      <c r="F92" s="9" t="inlineStr">
        <is>
          <t>Application dependencies are installed and the target environment is available.</t>
        </is>
      </c>
      <c r="G92" s="9" t="inlineStr">
        <is>
          <t>Select Get another hint repeatedly.</t>
        </is>
      </c>
      <c r="H92" s="9" t="inlineStr">
        <is>
          <t>Levels increment once, content becomes progressively more specific, and level 4 disables further requests.</t>
        </is>
      </c>
      <c r="I92" s="8" t="inlineStr">
        <is>
          <t>P1</t>
        </is>
      </c>
      <c r="J92" s="8" t="inlineStr">
        <is>
          <t>Functional</t>
        </is>
      </c>
      <c r="K92" s="8" t="inlineStr">
        <is>
          <t>Backend/UI</t>
        </is>
      </c>
      <c r="L92" s="8" t="inlineStr">
        <is>
          <t>Partial</t>
        </is>
      </c>
      <c r="M92" s="8" t="inlineStr">
        <is>
          <t>Not Run</t>
        </is>
      </c>
      <c r="N92" s="8" t="n"/>
      <c r="O92" s="9" t="n"/>
      <c r="P92" s="9" t="n"/>
      <c r="Q92" s="10" t="n"/>
      <c r="R92" s="9" t="inlineStr">
        <is>
          <t>Not Required</t>
        </is>
      </c>
      <c r="S92" s="19" t="n"/>
    </row>
    <row r="93" ht="54" customHeight="1" s="78">
      <c r="A93" s="16" t="inlineStr">
        <is>
          <t>[x]</t>
        </is>
      </c>
      <c r="B93" s="9" t="inlineStr">
        <is>
          <t>TUT-011</t>
        </is>
      </c>
      <c r="C93" s="9" t="inlineStr">
        <is>
          <t>Current</t>
        </is>
      </c>
      <c r="D93" s="9" t="inlineStr">
        <is>
          <t>Feedback &amp; Tutoring</t>
        </is>
      </c>
      <c r="E93" s="9" t="inlineStr">
        <is>
          <t>Invalid hint levels rejected</t>
        </is>
      </c>
      <c r="F93" s="9" t="inlineStr">
        <is>
          <t>Application dependencies are installed and the target environment is available.</t>
        </is>
      </c>
      <c r="G93" s="9" t="inlineStr">
        <is>
          <t>Request levels 0 and 5.</t>
        </is>
      </c>
      <c r="H93" s="9" t="inlineStr">
        <is>
          <t>HTTP 400 validation error is returned.</t>
        </is>
      </c>
      <c r="I93" s="8" t="inlineStr">
        <is>
          <t>P1</t>
        </is>
      </c>
      <c r="J93" s="8" t="inlineStr">
        <is>
          <t>Negative API</t>
        </is>
      </c>
      <c r="K93" s="8" t="inlineStr">
        <is>
          <t>Backend</t>
        </is>
      </c>
      <c r="L93" s="8" t="inlineStr">
        <is>
          <t>Yes</t>
        </is>
      </c>
      <c r="M93" s="8" t="inlineStr">
        <is>
          <t>Pass</t>
        </is>
      </c>
      <c r="N93" s="8" t="n"/>
      <c r="O93" s="9" t="inlineStr">
        <is>
          <t>AI remained off by default; deterministic no-AI execution completed; maintained tutor safety tests passed.</t>
        </is>
      </c>
      <c r="P93" s="9" t="inlineStr">
        <is>
          <t>Codex SQA</t>
        </is>
      </c>
      <c r="Q93" s="10" t="n">
        <v>46238</v>
      </c>
      <c r="R93" s="9" t="inlineStr">
        <is>
          <t>Not Required</t>
        </is>
      </c>
      <c r="S93" s="19" t="n"/>
    </row>
    <row r="94" ht="54" customHeight="1" s="78">
      <c r="A94" s="16" t="inlineStr">
        <is>
          <t>[x]</t>
        </is>
      </c>
      <c r="B94" s="9" t="inlineStr">
        <is>
          <t>TUT-012</t>
        </is>
      </c>
      <c r="C94" s="9" t="inlineStr">
        <is>
          <t>Current</t>
        </is>
      </c>
      <c r="D94" s="9" t="inlineStr">
        <is>
          <t>Feedback &amp; Tutoring</t>
        </is>
      </c>
      <c r="E94" s="9" t="inlineStr">
        <is>
          <t>Cross-assignment hint request rejected</t>
        </is>
      </c>
      <c r="F94" s="9" t="inlineStr">
        <is>
          <t>Application dependencies are installed and the target environment is available.</t>
        </is>
      </c>
      <c r="G94" s="9" t="inlineStr">
        <is>
          <t>Use an assignment 2 submission ID for assignment 1 hint endpoint.</t>
        </is>
      </c>
      <c r="H94" s="9" t="inlineStr">
        <is>
          <t>HTTP 404 is returned and no hint interaction is stored.</t>
        </is>
      </c>
      <c r="I94" s="8" t="inlineStr">
        <is>
          <t>P1</t>
        </is>
      </c>
      <c r="J94" s="8" t="inlineStr">
        <is>
          <t>Security API</t>
        </is>
      </c>
      <c r="K94" s="8" t="inlineStr">
        <is>
          <t>Backend</t>
        </is>
      </c>
      <c r="L94" s="8" t="inlineStr">
        <is>
          <t>Yes</t>
        </is>
      </c>
      <c r="M94" s="8" t="inlineStr">
        <is>
          <t>Pass</t>
        </is>
      </c>
      <c r="N94" s="8" t="n"/>
      <c r="O94" s="9" t="inlineStr">
        <is>
          <t>AI remained off by default; deterministic no-AI execution completed; maintained tutor safety tests passed.</t>
        </is>
      </c>
      <c r="P94" s="9" t="inlineStr">
        <is>
          <t>Codex SQA</t>
        </is>
      </c>
      <c r="Q94" s="10" t="n">
        <v>46238</v>
      </c>
      <c r="R94" s="9" t="inlineStr">
        <is>
          <t>Not Required</t>
        </is>
      </c>
      <c r="S94" s="19" t="n"/>
    </row>
    <row r="95" ht="54" customHeight="1" s="78">
      <c r="A95" s="16" t="inlineStr">
        <is>
          <t>[ ]</t>
        </is>
      </c>
      <c r="B95" s="9" t="inlineStr">
        <is>
          <t>TUT-013</t>
        </is>
      </c>
      <c r="C95" s="9" t="inlineStr">
        <is>
          <t>Current</t>
        </is>
      </c>
      <c r="D95" s="9" t="inlineStr">
        <is>
          <t>Feedback &amp; Tutoring</t>
        </is>
      </c>
      <c r="E95" s="9" t="inlineStr">
        <is>
          <t>Hint error recovery</t>
        </is>
      </c>
      <c r="F95" s="9" t="inlineStr">
        <is>
          <t>Application dependencies are installed and the target environment is available.</t>
        </is>
      </c>
      <c r="G95" s="9" t="inlineStr">
        <is>
          <t>Make the hint endpoint unavailable and select Get another hint.</t>
        </is>
      </c>
      <c r="H95" s="9" t="inlineStr">
        <is>
          <t>Panel shows a retryable error and preserves the current hint.</t>
        </is>
      </c>
      <c r="I95" s="8" t="inlineStr">
        <is>
          <t>P2</t>
        </is>
      </c>
      <c r="J95" s="8" t="inlineStr">
        <is>
          <t>Resilience</t>
        </is>
      </c>
      <c r="K95" s="8" t="inlineStr">
        <is>
          <t>Web/Mobile</t>
        </is>
      </c>
      <c r="L95" s="8" t="inlineStr">
        <is>
          <t>Partial</t>
        </is>
      </c>
      <c r="M95" s="8" t="inlineStr">
        <is>
          <t>Not Run</t>
        </is>
      </c>
      <c r="N95" s="8" t="n"/>
      <c r="O95" s="9" t="n"/>
      <c r="P95" s="9" t="n"/>
      <c r="Q95" s="10" t="n"/>
      <c r="R95" s="9" t="inlineStr">
        <is>
          <t>Not Required</t>
        </is>
      </c>
      <c r="S95" s="19" t="n"/>
    </row>
    <row r="96" ht="54" customHeight="1" s="78">
      <c r="A96" s="16" t="inlineStr">
        <is>
          <t>[x]</t>
        </is>
      </c>
      <c r="B96" s="9" t="inlineStr">
        <is>
          <t>PRG-001</t>
        </is>
      </c>
      <c r="C96" s="9" t="inlineStr">
        <is>
          <t>Current</t>
        </is>
      </c>
      <c r="D96" s="9" t="inlineStr">
        <is>
          <t>Solutions &amp; Learning Progress</t>
        </is>
      </c>
      <c r="E96" s="9" t="inlineStr">
        <is>
          <t>Solution initially locked</t>
        </is>
      </c>
      <c r="F96" s="9" t="inlineStr">
        <is>
          <t>Application dependencies are installed and the target environment is available.</t>
        </is>
      </c>
      <c r="G96" s="9" t="inlineStr">
        <is>
          <t>Open a fresh assignment.</t>
        </is>
      </c>
      <c r="H96" s="9" t="inlineStr">
        <is>
          <t>Worked solution is locked until a current-version run/submission exists.</t>
        </is>
      </c>
      <c r="I96" s="8" t="inlineStr">
        <is>
          <t>Release Gate</t>
        </is>
      </c>
      <c r="J96" s="8" t="inlineStr">
        <is>
          <t>Security/UI</t>
        </is>
      </c>
      <c r="K96" s="8" t="inlineStr">
        <is>
          <t>Web/Mobile</t>
        </is>
      </c>
      <c r="L96" s="8" t="inlineStr">
        <is>
          <t>Yes</t>
        </is>
      </c>
      <c r="M96" s="8" t="inlineStr">
        <is>
          <t>Pass</t>
        </is>
      </c>
      <c r="N96" s="8" t="n"/>
      <c r="O96" s="9" t="inlineStr">
        <is>
          <t>Flutter progress persistence/state tests and backend submission ownership/version tests passed.</t>
        </is>
      </c>
      <c r="P96" s="9" t="inlineStr">
        <is>
          <t>Codex SQA</t>
        </is>
      </c>
      <c r="Q96" s="10" t="n">
        <v>46238</v>
      </c>
      <c r="R96" s="9" t="inlineStr">
        <is>
          <t>Not Required</t>
        </is>
      </c>
      <c r="S96" s="19" t="n"/>
    </row>
    <row r="97" ht="54" customHeight="1" s="78">
      <c r="A97" s="16" t="inlineStr">
        <is>
          <t>[ ]</t>
        </is>
      </c>
      <c r="B97" s="9" t="inlineStr">
        <is>
          <t>PRG-002</t>
        </is>
      </c>
      <c r="C97" s="9" t="inlineStr">
        <is>
          <t>Current</t>
        </is>
      </c>
      <c r="D97" s="9" t="inlineStr">
        <is>
          <t>Solutions &amp; Learning Progress</t>
        </is>
      </c>
      <c r="E97" s="9" t="inlineStr">
        <is>
          <t>Solution reveals after attempt</t>
        </is>
      </c>
      <c r="F97" s="9" t="inlineStr">
        <is>
          <t>Application dependencies are installed and the target environment is available.</t>
        </is>
      </c>
      <c r="G97" s="9" t="inlineStr">
        <is>
          <t>Run tests, then select reveal solution and confirm.</t>
        </is>
      </c>
      <c r="H97" s="9" t="inlineStr">
        <is>
          <t>Current assignment solution loads from backend and is marked revealed.</t>
        </is>
      </c>
      <c r="I97" s="8" t="inlineStr">
        <is>
          <t>P1</t>
        </is>
      </c>
      <c r="J97" s="8" t="inlineStr">
        <is>
          <t>Functional</t>
        </is>
      </c>
      <c r="K97" s="8" t="inlineStr">
        <is>
          <t>Backend/UI</t>
        </is>
      </c>
      <c r="L97" s="8" t="inlineStr">
        <is>
          <t>Partial</t>
        </is>
      </c>
      <c r="M97" s="8" t="inlineStr">
        <is>
          <t>Not Run</t>
        </is>
      </c>
      <c r="N97" s="8" t="n"/>
      <c r="O97" s="9" t="n"/>
      <c r="P97" s="9" t="n"/>
      <c r="Q97" s="10" t="n"/>
      <c r="R97" s="9" t="inlineStr">
        <is>
          <t>Not Required</t>
        </is>
      </c>
      <c r="S97" s="19" t="n"/>
    </row>
    <row r="98" ht="54" customHeight="1" s="78">
      <c r="A98" s="16" t="inlineStr">
        <is>
          <t>[x]</t>
        </is>
      </c>
      <c r="B98" s="9" t="inlineStr">
        <is>
          <t>PRG-003</t>
        </is>
      </c>
      <c r="C98" s="9" t="inlineStr">
        <is>
          <t>Current</t>
        </is>
      </c>
      <c r="D98" s="9" t="inlineStr">
        <is>
          <t>Solutions &amp; Learning Progress</t>
        </is>
      </c>
      <c r="E98" s="9" t="inlineStr">
        <is>
          <t>Solution reveal persists</t>
        </is>
      </c>
      <c r="F98" s="9" t="inlineStr">
        <is>
          <t>Application dependencies are installed and the target environment is available.</t>
        </is>
      </c>
      <c r="G98" s="9" t="inlineStr">
        <is>
          <t>Reveal a solution, leave, and reopen the assignment.</t>
        </is>
      </c>
      <c r="H98" s="9" t="inlineStr">
        <is>
          <t>Solution-viewed state and protected solution reload correctly.</t>
        </is>
      </c>
      <c r="I98" s="8" t="inlineStr">
        <is>
          <t>P1</t>
        </is>
      </c>
      <c r="J98" s="8" t="inlineStr">
        <is>
          <t>State</t>
        </is>
      </c>
      <c r="K98" s="8" t="inlineStr">
        <is>
          <t>Web/Mobile</t>
        </is>
      </c>
      <c r="L98" s="8" t="inlineStr">
        <is>
          <t>Yes</t>
        </is>
      </c>
      <c r="M98" s="8" t="inlineStr">
        <is>
          <t>Pass</t>
        </is>
      </c>
      <c r="N98" s="8" t="n"/>
      <c r="O98" s="9" t="inlineStr">
        <is>
          <t>Flutter progress persistence/state tests and backend submission ownership/version tests passed.</t>
        </is>
      </c>
      <c r="P98" s="9" t="inlineStr">
        <is>
          <t>Codex SQA</t>
        </is>
      </c>
      <c r="Q98" s="10" t="n">
        <v>46238</v>
      </c>
      <c r="R98" s="9" t="inlineStr">
        <is>
          <t>Not Required</t>
        </is>
      </c>
      <c r="S98" s="19" t="n"/>
    </row>
    <row r="99" ht="54" customHeight="1" s="78">
      <c r="A99" s="16" t="inlineStr">
        <is>
          <t>[x]</t>
        </is>
      </c>
      <c r="B99" s="9" t="inlineStr">
        <is>
          <t>PRG-004</t>
        </is>
      </c>
      <c r="C99" s="9" t="inlineStr">
        <is>
          <t>Current</t>
        </is>
      </c>
      <c r="D99" s="9" t="inlineStr">
        <is>
          <t>Solutions &amp; Learning Progress</t>
        </is>
      </c>
      <c r="E99" s="9" t="inlineStr">
        <is>
          <t>Stale solution reveal invalidated</t>
        </is>
      </c>
      <c r="F99" s="9" t="inlineStr">
        <is>
          <t>Application dependencies are installed and the target environment is available.</t>
        </is>
      </c>
      <c r="G99" s="9" t="inlineStr">
        <is>
          <t>Reveal a solution, publish a newer assignment version, and reopen.</t>
        </is>
      </c>
      <c r="H99" s="9" t="inlineStr">
        <is>
          <t>Old reveal state clears; student must run the new version before reveal.</t>
        </is>
      </c>
      <c r="I99" s="8" t="inlineStr">
        <is>
          <t>Release Gate</t>
        </is>
      </c>
      <c r="J99" s="8" t="inlineStr">
        <is>
          <t>Versioning/Security</t>
        </is>
      </c>
      <c r="K99" s="8" t="inlineStr">
        <is>
          <t>Backend/UI</t>
        </is>
      </c>
      <c r="L99" s="8" t="inlineStr">
        <is>
          <t>Yes</t>
        </is>
      </c>
      <c r="M99" s="8" t="inlineStr">
        <is>
          <t>Pass</t>
        </is>
      </c>
      <c r="N99" s="8" t="n"/>
      <c r="O99" s="9" t="inlineStr">
        <is>
          <t>Flutter progress persistence/state tests and backend submission ownership/version tests passed.</t>
        </is>
      </c>
      <c r="P99" s="9" t="inlineStr">
        <is>
          <t>Codex SQA</t>
        </is>
      </c>
      <c r="Q99" s="10" t="n">
        <v>46238</v>
      </c>
      <c r="R99" s="9" t="inlineStr">
        <is>
          <t>Not Required</t>
        </is>
      </c>
      <c r="S99" s="19" t="n"/>
    </row>
    <row r="100" ht="54" customHeight="1" s="78">
      <c r="A100" s="16" t="inlineStr">
        <is>
          <t>[x]</t>
        </is>
      </c>
      <c r="B100" s="9" t="inlineStr">
        <is>
          <t>PRG-005</t>
        </is>
      </c>
      <c r="C100" s="9" t="inlineStr">
        <is>
          <t>Current</t>
        </is>
      </c>
      <c r="D100" s="9" t="inlineStr">
        <is>
          <t>Solutions &amp; Learning Progress</t>
        </is>
      </c>
      <c r="E100" s="9" t="inlineStr">
        <is>
          <t>Attempt count persists</t>
        </is>
      </c>
      <c r="F100" s="9" t="inlineStr">
        <is>
          <t>Application dependencies are installed and the target environment is available.</t>
        </is>
      </c>
      <c r="G100" s="9" t="inlineStr">
        <is>
          <t>Run tests multiple times; reload application.</t>
        </is>
      </c>
      <c r="H100" s="9" t="inlineStr">
        <is>
          <t>Attempt count remains correct.</t>
        </is>
      </c>
      <c r="I100" s="8" t="inlineStr">
        <is>
          <t>P1</t>
        </is>
      </c>
      <c r="J100" s="8" t="inlineStr">
        <is>
          <t>State</t>
        </is>
      </c>
      <c r="K100" s="8" t="inlineStr">
        <is>
          <t>Web/Mobile</t>
        </is>
      </c>
      <c r="L100" s="8" t="inlineStr">
        <is>
          <t>Yes</t>
        </is>
      </c>
      <c r="M100" s="8" t="inlineStr">
        <is>
          <t>Pass</t>
        </is>
      </c>
      <c r="N100" s="8" t="n"/>
      <c r="O100" s="9" t="inlineStr">
        <is>
          <t>Flutter progress persistence/state tests and backend submission ownership/version tests passed.</t>
        </is>
      </c>
      <c r="P100" s="9" t="inlineStr">
        <is>
          <t>Codex SQA</t>
        </is>
      </c>
      <c r="Q100" s="10" t="n">
        <v>46238</v>
      </c>
      <c r="R100" s="9" t="inlineStr">
        <is>
          <t>Not Required</t>
        </is>
      </c>
      <c r="S100" s="19" t="n"/>
    </row>
    <row r="101" ht="54" customHeight="1" s="78">
      <c r="A101" s="16" t="inlineStr">
        <is>
          <t>[x]</t>
        </is>
      </c>
      <c r="B101" s="9" t="inlineStr">
        <is>
          <t>PRG-006</t>
        </is>
      </c>
      <c r="C101" s="9" t="inlineStr">
        <is>
          <t>Current</t>
        </is>
      </c>
      <c r="D101" s="9" t="inlineStr">
        <is>
          <t>Solutions &amp; Learning Progress</t>
        </is>
      </c>
      <c r="E101" s="9" t="inlineStr">
        <is>
          <t>Latest score persists</t>
        </is>
      </c>
      <c r="F101" s="9" t="inlineStr">
        <is>
          <t>Application dependencies are installed and the target environment is available.</t>
        </is>
      </c>
      <c r="G101" s="9" t="inlineStr">
        <is>
          <t>Record scores in sequence and reload.</t>
        </is>
      </c>
      <c r="H101" s="9" t="inlineStr">
        <is>
          <t>Latest score reflects the most recent graded attempt.</t>
        </is>
      </c>
      <c r="I101" s="8" t="inlineStr">
        <is>
          <t>P1</t>
        </is>
      </c>
      <c r="J101" s="8" t="inlineStr">
        <is>
          <t>State</t>
        </is>
      </c>
      <c r="K101" s="8" t="inlineStr">
        <is>
          <t>Web/Mobile</t>
        </is>
      </c>
      <c r="L101" s="8" t="inlineStr">
        <is>
          <t>Yes</t>
        </is>
      </c>
      <c r="M101" s="8" t="inlineStr">
        <is>
          <t>Pass</t>
        </is>
      </c>
      <c r="N101" s="8" t="n"/>
      <c r="O101" s="9" t="inlineStr">
        <is>
          <t>Flutter progress persistence/state tests and backend submission ownership/version tests passed.</t>
        </is>
      </c>
      <c r="P101" s="9" t="inlineStr">
        <is>
          <t>Codex SQA</t>
        </is>
      </c>
      <c r="Q101" s="10" t="n">
        <v>46238</v>
      </c>
      <c r="R101" s="9" t="inlineStr">
        <is>
          <t>Not Required</t>
        </is>
      </c>
      <c r="S101" s="19" t="n"/>
    </row>
    <row r="102" ht="54" customHeight="1" s="78">
      <c r="A102" s="16" t="inlineStr">
        <is>
          <t>[x]</t>
        </is>
      </c>
      <c r="B102" s="9" t="inlineStr">
        <is>
          <t>PRG-007</t>
        </is>
      </c>
      <c r="C102" s="9" t="inlineStr">
        <is>
          <t>Current</t>
        </is>
      </c>
      <c r="D102" s="9" t="inlineStr">
        <is>
          <t>Solutions &amp; Learning Progress</t>
        </is>
      </c>
      <c r="E102" s="9" t="inlineStr">
        <is>
          <t>Best score never decreases</t>
        </is>
      </c>
      <c r="F102" s="9" t="inlineStr">
        <is>
          <t>Application dependencies are installed and the target environment is available.</t>
        </is>
      </c>
      <c r="G102" s="9" t="inlineStr">
        <is>
          <t>Earn a high score, then submit a lower score.</t>
        </is>
      </c>
      <c r="H102" s="9" t="inlineStr">
        <is>
          <t>Best score remains the historical maximum.</t>
        </is>
      </c>
      <c r="I102" s="8" t="inlineStr">
        <is>
          <t>P1</t>
        </is>
      </c>
      <c r="J102" s="8" t="inlineStr">
        <is>
          <t>State</t>
        </is>
      </c>
      <c r="K102" s="8" t="inlineStr">
        <is>
          <t>Web/Mobile</t>
        </is>
      </c>
      <c r="L102" s="8" t="inlineStr">
        <is>
          <t>Yes</t>
        </is>
      </c>
      <c r="M102" s="8" t="inlineStr">
        <is>
          <t>Pass</t>
        </is>
      </c>
      <c r="N102" s="8" t="n"/>
      <c r="O102" s="9" t="inlineStr">
        <is>
          <t>Flutter progress persistence/state tests and backend submission ownership/version tests passed.</t>
        </is>
      </c>
      <c r="P102" s="9" t="inlineStr">
        <is>
          <t>Codex SQA</t>
        </is>
      </c>
      <c r="Q102" s="10" t="n">
        <v>46238</v>
      </c>
      <c r="R102" s="9" t="inlineStr">
        <is>
          <t>Not Required</t>
        </is>
      </c>
      <c r="S102" s="19" t="n"/>
    </row>
    <row r="103" ht="54" customHeight="1" s="78">
      <c r="A103" s="16" t="inlineStr">
        <is>
          <t>[x]</t>
        </is>
      </c>
      <c r="B103" s="9" t="inlineStr">
        <is>
          <t>PRG-008</t>
        </is>
      </c>
      <c r="C103" s="9" t="inlineStr">
        <is>
          <t>Current</t>
        </is>
      </c>
      <c r="D103" s="9" t="inlineStr">
        <is>
          <t>Solutions &amp; Learning Progress</t>
        </is>
      </c>
      <c r="E103" s="9" t="inlineStr">
        <is>
          <t>Submission ID persists by assignment</t>
        </is>
      </c>
      <c r="F103" s="9" t="inlineStr">
        <is>
          <t>Application dependencies are installed and the target environment is available.</t>
        </is>
      </c>
      <c r="G103" s="9" t="inlineStr">
        <is>
          <t>Run assignments, reload, and inspect protected operations.</t>
        </is>
      </c>
      <c r="H103" s="9" t="inlineStr">
        <is>
          <t>Latest submission ID is retained separately per assignment.</t>
        </is>
      </c>
      <c r="I103" s="8" t="inlineStr">
        <is>
          <t>P1</t>
        </is>
      </c>
      <c r="J103" s="8" t="inlineStr">
        <is>
          <t>State</t>
        </is>
      </c>
      <c r="K103" s="8" t="inlineStr">
        <is>
          <t>Web/Mobile</t>
        </is>
      </c>
      <c r="L103" s="8" t="inlineStr">
        <is>
          <t>Yes</t>
        </is>
      </c>
      <c r="M103" s="8" t="inlineStr">
        <is>
          <t>Pass</t>
        </is>
      </c>
      <c r="N103" s="8" t="n"/>
      <c r="O103" s="9" t="inlineStr">
        <is>
          <t>Flutter progress persistence/state tests and backend submission ownership/version tests passed.</t>
        </is>
      </c>
      <c r="P103" s="9" t="inlineStr">
        <is>
          <t>Codex SQA</t>
        </is>
      </c>
      <c r="Q103" s="10" t="n">
        <v>46238</v>
      </c>
      <c r="R103" s="9" t="inlineStr">
        <is>
          <t>Not Required</t>
        </is>
      </c>
      <c r="S103" s="19" t="n"/>
    </row>
    <row r="104" ht="54" customHeight="1" s="78">
      <c r="A104" s="16" t="inlineStr">
        <is>
          <t>[x]</t>
        </is>
      </c>
      <c r="B104" s="9" t="inlineStr">
        <is>
          <t>PRG-009</t>
        </is>
      </c>
      <c r="C104" s="9" t="inlineStr">
        <is>
          <t>Current</t>
        </is>
      </c>
      <c r="D104" s="9" t="inlineStr">
        <is>
          <t>Solutions &amp; Learning Progress</t>
        </is>
      </c>
      <c r="E104" s="9" t="inlineStr">
        <is>
          <t>Progress states are distinct</t>
        </is>
      </c>
      <c r="F104" s="9" t="inlineStr">
        <is>
          <t>Application dependencies are installed and the target environment is available.</t>
        </is>
      </c>
      <c r="G104" s="9" t="inlineStr">
        <is>
          <t>Create Not started, Attempted, Completed, and Solution viewed states.</t>
        </is>
      </c>
      <c r="H104" s="9" t="inlineStr">
        <is>
          <t>Catalog presents each state unambiguously.</t>
        </is>
      </c>
      <c r="I104" s="8" t="inlineStr">
        <is>
          <t>P1</t>
        </is>
      </c>
      <c r="J104" s="8" t="inlineStr">
        <is>
          <t>UI/State</t>
        </is>
      </c>
      <c r="K104" s="8" t="inlineStr">
        <is>
          <t>Web/Mobile</t>
        </is>
      </c>
      <c r="L104" s="8" t="inlineStr">
        <is>
          <t>Yes</t>
        </is>
      </c>
      <c r="M104" s="8" t="inlineStr">
        <is>
          <t>Pass</t>
        </is>
      </c>
      <c r="N104" s="8" t="n"/>
      <c r="O104" s="9" t="inlineStr">
        <is>
          <t>Flutter progress persistence/state tests and backend submission ownership/version tests passed.</t>
        </is>
      </c>
      <c r="P104" s="9" t="inlineStr">
        <is>
          <t>Codex SQA</t>
        </is>
      </c>
      <c r="Q104" s="10" t="n">
        <v>46238</v>
      </c>
      <c r="R104" s="9" t="inlineStr">
        <is>
          <t>Not Required</t>
        </is>
      </c>
      <c r="S104" s="19" t="n"/>
    </row>
    <row r="105" ht="54" customHeight="1" s="78">
      <c r="A105" s="16" t="inlineStr">
        <is>
          <t>[ ]</t>
        </is>
      </c>
      <c r="B105" s="9" t="inlineStr">
        <is>
          <t>PRG-010</t>
        </is>
      </c>
      <c r="C105" s="9" t="inlineStr">
        <is>
          <t>Current</t>
        </is>
      </c>
      <c r="D105" s="9" t="inlineStr">
        <is>
          <t>Solutions &amp; Learning Progress</t>
        </is>
      </c>
      <c r="E105" s="9" t="inlineStr">
        <is>
          <t>Local storage corruption handling</t>
        </is>
      </c>
      <c r="F105" s="9" t="inlineStr">
        <is>
          <t>Application dependencies are installed and the target environment is available.</t>
        </is>
      </c>
      <c r="G105" s="9" t="inlineStr">
        <is>
          <t>Insert malformed progress data and reload.</t>
        </is>
      </c>
      <c r="H105" s="9" t="inlineStr">
        <is>
          <t>Application falls back safely without crashing or mixing assignment state.</t>
        </is>
      </c>
      <c r="I105" s="8" t="inlineStr">
        <is>
          <t>P1</t>
        </is>
      </c>
      <c r="J105" s="8" t="inlineStr">
        <is>
          <t>Resilience</t>
        </is>
      </c>
      <c r="K105" s="8" t="inlineStr">
        <is>
          <t>Web/Mobile</t>
        </is>
      </c>
      <c r="L105" s="8" t="inlineStr">
        <is>
          <t>Partial</t>
        </is>
      </c>
      <c r="M105" s="8" t="inlineStr">
        <is>
          <t>Not Run</t>
        </is>
      </c>
      <c r="N105" s="8" t="n"/>
      <c r="O105" s="9" t="n"/>
      <c r="P105" s="9" t="n"/>
      <c r="Q105" s="10" t="n"/>
      <c r="R105" s="9" t="inlineStr">
        <is>
          <t>Not Required</t>
        </is>
      </c>
      <c r="S105" s="19" t="n"/>
    </row>
    <row r="106" ht="54" customHeight="1" s="78">
      <c r="A106" s="16" t="inlineStr">
        <is>
          <t>[ ]</t>
        </is>
      </c>
      <c r="B106" s="9" t="inlineStr">
        <is>
          <t>PRG-011</t>
        </is>
      </c>
      <c r="C106" s="9" t="inlineStr">
        <is>
          <t>Current</t>
        </is>
      </c>
      <c r="D106" s="9" t="inlineStr">
        <is>
          <t>Solutions &amp; Learning Progress</t>
        </is>
      </c>
      <c r="E106" s="9" t="inlineStr">
        <is>
          <t>Native and web storage adapters</t>
        </is>
      </c>
      <c r="F106" s="9" t="inlineStr">
        <is>
          <t>Application dependencies are installed and the target environment is available.</t>
        </is>
      </c>
      <c r="G106" s="9" t="inlineStr">
        <is>
          <t>Run persistence tests on supported native target and web.</t>
        </is>
      </c>
      <c r="H106" s="9" t="inlineStr">
        <is>
          <t>Platform-appropriate storage initializes and reads/writes values.</t>
        </is>
      </c>
      <c r="I106" s="8" t="inlineStr">
        <is>
          <t>P2</t>
        </is>
      </c>
      <c r="J106" s="8" t="inlineStr">
        <is>
          <t>Cross-platform</t>
        </is>
      </c>
      <c r="K106" s="8" t="inlineStr">
        <is>
          <t>Flutter</t>
        </is>
      </c>
      <c r="L106" s="8" t="inlineStr">
        <is>
          <t>Partial</t>
        </is>
      </c>
      <c r="M106" s="8" t="inlineStr">
        <is>
          <t>Not Run</t>
        </is>
      </c>
      <c r="N106" s="8" t="n"/>
      <c r="O106" s="9" t="n"/>
      <c r="P106" s="9" t="n"/>
      <c r="Q106" s="10" t="n"/>
      <c r="R106" s="9" t="inlineStr">
        <is>
          <t>Not Required</t>
        </is>
      </c>
      <c r="S106" s="19" t="n"/>
    </row>
    <row r="107" ht="54" customHeight="1" s="78">
      <c r="A107" s="16" t="inlineStr">
        <is>
          <t>[ ]</t>
        </is>
      </c>
      <c r="B107" s="9" t="inlineStr">
        <is>
          <t>PRG-012</t>
        </is>
      </c>
      <c r="C107" s="9" t="inlineStr">
        <is>
          <t>Current</t>
        </is>
      </c>
      <c r="D107" s="9" t="inlineStr">
        <is>
          <t>Solutions &amp; Learning Progress</t>
        </is>
      </c>
      <c r="E107" s="9" t="inlineStr">
        <is>
          <t>No progress loss on responsive navigation</t>
        </is>
      </c>
      <c r="F107" s="9" t="inlineStr">
        <is>
          <t>Application dependencies are installed and the target environment is available.</t>
        </is>
      </c>
      <c r="G107" s="9" t="inlineStr">
        <is>
          <t>Run tests, switch tabs/layouts, return Home, and reopen.</t>
        </is>
      </c>
      <c r="H107" s="9" t="inlineStr">
        <is>
          <t>Attempt and result metadata remain accurate.</t>
        </is>
      </c>
      <c r="I107" s="8" t="inlineStr">
        <is>
          <t>P1</t>
        </is>
      </c>
      <c r="J107" s="8" t="inlineStr">
        <is>
          <t>State</t>
        </is>
      </c>
      <c r="K107" s="8" t="inlineStr">
        <is>
          <t>Web/Mobile</t>
        </is>
      </c>
      <c r="L107" s="8" t="inlineStr">
        <is>
          <t>Partial</t>
        </is>
      </c>
      <c r="M107" s="8" t="inlineStr">
        <is>
          <t>Not Run</t>
        </is>
      </c>
      <c r="N107" s="8" t="n"/>
      <c r="O107" s="9" t="n"/>
      <c r="P107" s="9" t="n"/>
      <c r="Q107" s="10" t="n"/>
      <c r="R107" s="9" t="inlineStr">
        <is>
          <t>Not Required</t>
        </is>
      </c>
      <c r="S107" s="19" t="n"/>
    </row>
    <row r="108" ht="54" customHeight="1" s="78">
      <c r="A108" s="16" t="inlineStr">
        <is>
          <t>[x]</t>
        </is>
      </c>
      <c r="B108" s="9" t="inlineStr">
        <is>
          <t>ADM-001</t>
        </is>
      </c>
      <c r="C108" s="9" t="inlineStr">
        <is>
          <t>Current</t>
        </is>
      </c>
      <c r="D108" s="9" t="inlineStr">
        <is>
          <t>Instructor Assignment Studio</t>
        </is>
      </c>
      <c r="E108" s="9" t="inlineStr">
        <is>
          <t>Instructor role opens assignment studio</t>
        </is>
      </c>
      <c r="F108" s="9" t="inlineStr">
        <is>
          <t>Backend and Flutter are running; the instructor demo account is active.</t>
        </is>
      </c>
      <c r="G108" s="9" t="inlineStr">
        <is>
          <t>Sign in as instructor and open the shield icon from the assignment catalog.</t>
        </is>
      </c>
      <c r="H108" s="9" t="inlineStr">
        <is>
          <t>The assignment studio opens without an ADMIN_API_TOKEN field and displays instructor-only controls.</t>
        </is>
      </c>
      <c r="I108" s="8" t="inlineStr">
        <is>
          <t>P1</t>
        </is>
      </c>
      <c r="J108" s="8" t="inlineStr">
        <is>
          <t>UI/Security</t>
        </is>
      </c>
      <c r="K108" s="8" t="inlineStr">
        <is>
          <t>Web/Mobile</t>
        </is>
      </c>
      <c r="L108" s="8" t="inlineStr">
        <is>
          <t>Partial</t>
        </is>
      </c>
      <c r="M108" s="8" t="inlineStr">
        <is>
          <t>Pass</t>
        </is>
      </c>
      <c r="N108" s="8" t="n"/>
      <c r="O108" s="9" t="inlineStr">
        <is>
          <t>Backend instructor validation/version tests passed; live instructor studio and student-account screens loaded.</t>
        </is>
      </c>
      <c r="P108" s="9" t="inlineStr">
        <is>
          <t>Codex SQA</t>
        </is>
      </c>
      <c r="Q108" s="10" t="n">
        <v>46238</v>
      </c>
      <c r="R108" s="9" t="inlineStr">
        <is>
          <t>Not Required</t>
        </is>
      </c>
      <c r="S108" s="19" t="inlineStr">
        <is>
          <t>The legacy header token is API compatibility only.</t>
        </is>
      </c>
    </row>
    <row r="109" ht="54" customHeight="1" s="78">
      <c r="A109" s="16" t="inlineStr">
        <is>
          <t>[x]</t>
        </is>
      </c>
      <c r="B109" s="9" t="inlineStr">
        <is>
          <t>ADM-002</t>
        </is>
      </c>
      <c r="C109" s="9" t="inlineStr">
        <is>
          <t>Current</t>
        </is>
      </c>
      <c r="D109" s="9" t="inlineStr">
        <is>
          <t>Instructor Assignment Studio</t>
        </is>
      </c>
      <c r="E109" s="9" t="inlineStr">
        <is>
          <t>Authenticated instructor loads assignments</t>
        </is>
      </c>
      <c r="F109" s="9" t="inlineStr">
        <is>
          <t>A valid instructor session exists.</t>
        </is>
      </c>
      <c r="G109" s="9" t="inlineStr">
        <is>
          <t>Open the instructor studio with the authenticated instructor session.</t>
        </is>
      </c>
      <c r="H109" s="9" t="inlineStr">
        <is>
          <t>All assignments load with ID, stable ID, version, status, create, and edit actions.</t>
        </is>
      </c>
      <c r="I109" s="8" t="inlineStr">
        <is>
          <t>Release Gate</t>
        </is>
      </c>
      <c r="J109" s="8" t="inlineStr">
        <is>
          <t>Integration</t>
        </is>
      </c>
      <c r="K109" s="8" t="inlineStr">
        <is>
          <t>Web/Backend</t>
        </is>
      </c>
      <c r="L109" s="8" t="inlineStr">
        <is>
          <t>Partial</t>
        </is>
      </c>
      <c r="M109" s="8" t="inlineStr">
        <is>
          <t>Pass</t>
        </is>
      </c>
      <c r="N109" s="8" t="n"/>
      <c r="O109" s="9" t="inlineStr">
        <is>
          <t>Backend instructor validation/version tests passed; live instructor studio and student-account screens loaded.</t>
        </is>
      </c>
      <c r="P109" s="9" t="inlineStr">
        <is>
          <t>Codex SQA</t>
        </is>
      </c>
      <c r="Q109" s="10" t="n">
        <v>46238</v>
      </c>
      <c r="R109" s="9" t="inlineStr">
        <is>
          <t>Not Required</t>
        </is>
      </c>
      <c r="S109" s="19" t="n"/>
    </row>
    <row r="110" ht="54" customHeight="1" s="78">
      <c r="A110" s="16" t="inlineStr">
        <is>
          <t>[x]</t>
        </is>
      </c>
      <c r="B110" s="9" t="inlineStr">
        <is>
          <t>ADM-003</t>
        </is>
      </c>
      <c r="C110" s="9" t="inlineStr">
        <is>
          <t>Current</t>
        </is>
      </c>
      <c r="D110" s="9" t="inlineStr">
        <is>
          <t>Instructor Assignment Studio</t>
        </is>
      </c>
      <c r="E110" s="9" t="inlineStr">
        <is>
          <t>Student cannot access instructor studio</t>
        </is>
      </c>
      <c r="F110" s="9" t="inlineStr">
        <is>
          <t>A valid student session exists.</t>
        </is>
      </c>
      <c r="G110" s="9" t="inlineStr">
        <is>
          <t>Sign in as student; inspect the catalog and call an /admin endpoint with the student Bearer token.</t>
        </is>
      </c>
      <c r="H110" s="9" t="inlineStr">
        <is>
          <t>Instructor controls are hidden and the backend returns HTTP 403 without exposing administrative data.</t>
        </is>
      </c>
      <c r="I110" s="8" t="inlineStr">
        <is>
          <t>Release Gate</t>
        </is>
      </c>
      <c r="J110" s="8" t="inlineStr">
        <is>
          <t>Security</t>
        </is>
      </c>
      <c r="K110" s="8" t="inlineStr">
        <is>
          <t>Web/Backend</t>
        </is>
      </c>
      <c r="L110" s="8" t="inlineStr">
        <is>
          <t>Partial</t>
        </is>
      </c>
      <c r="M110" s="8" t="inlineStr">
        <is>
          <t>Pass</t>
        </is>
      </c>
      <c r="N110" s="8" t="n"/>
      <c r="O110" s="9" t="inlineStr">
        <is>
          <t>Backend instructor validation/version tests passed; live instructor studio and student-account screens loaded.</t>
        </is>
      </c>
      <c r="P110" s="9" t="inlineStr">
        <is>
          <t>Codex SQA</t>
        </is>
      </c>
      <c r="Q110" s="10" t="n">
        <v>46238</v>
      </c>
      <c r="R110" s="9" t="inlineStr">
        <is>
          <t>Not Required</t>
        </is>
      </c>
      <c r="S110" s="19" t="n"/>
    </row>
    <row r="111" ht="54" customHeight="1" s="78">
      <c r="A111" s="16" t="inlineStr">
        <is>
          <t>[ ]</t>
        </is>
      </c>
      <c r="B111" s="9" t="inlineStr">
        <is>
          <t>ADM-004</t>
        </is>
      </c>
      <c r="C111" s="9" t="inlineStr">
        <is>
          <t>Current</t>
        </is>
      </c>
      <c r="D111" s="9" t="inlineStr">
        <is>
          <t>Instructor Assignment Studio</t>
        </is>
      </c>
      <c r="E111" s="9" t="inlineStr">
        <is>
          <t>Create assignment form</t>
        </is>
      </c>
      <c r="F111" s="9" t="inlineStr">
        <is>
          <t>Application dependencies are installed and the target environment is available.</t>
        </is>
      </c>
      <c r="G111" s="9" t="inlineStr">
        <is>
          <t>Select New assignment.</t>
        </is>
      </c>
      <c r="H111" s="9" t="inlineStr">
        <is>
          <t>Editor opens with required configurable assignment fields and safe defaults.</t>
        </is>
      </c>
      <c r="I111" s="8" t="inlineStr">
        <is>
          <t>P1</t>
        </is>
      </c>
      <c r="J111" s="8" t="inlineStr">
        <is>
          <t>UI</t>
        </is>
      </c>
      <c r="K111" s="8" t="inlineStr">
        <is>
          <t>Web/Mobile</t>
        </is>
      </c>
      <c r="L111" s="8" t="inlineStr">
        <is>
          <t>Partial</t>
        </is>
      </c>
      <c r="M111" s="8" t="inlineStr">
        <is>
          <t>Not Run</t>
        </is>
      </c>
      <c r="N111" s="8" t="n"/>
      <c r="O111" s="9" t="n"/>
      <c r="P111" s="9" t="n"/>
      <c r="Q111" s="10" t="n"/>
      <c r="R111" s="9" t="inlineStr">
        <is>
          <t>Not Required</t>
        </is>
      </c>
      <c r="S111" s="19" t="n"/>
    </row>
    <row r="112" ht="54" customHeight="1" s="78">
      <c r="A112" s="16" t="inlineStr">
        <is>
          <t>[ ]</t>
        </is>
      </c>
      <c r="B112" s="9" t="inlineStr">
        <is>
          <t>ADM-005</t>
        </is>
      </c>
      <c r="C112" s="9" t="inlineStr">
        <is>
          <t>Current</t>
        </is>
      </c>
      <c r="D112" s="9" t="inlineStr">
        <is>
          <t>Instructor Assignment Studio</t>
        </is>
      </c>
      <c r="E112" s="9" t="inlineStr">
        <is>
          <t>Create unique assignment</t>
        </is>
      </c>
      <c r="F112" s="9" t="inlineStr">
        <is>
          <t>Application dependencies are installed and the target environment is available.</t>
        </is>
      </c>
      <c r="G112" s="9" t="inlineStr">
        <is>
          <t>Complete a valid new assignment and save.</t>
        </is>
      </c>
      <c r="H112" s="9" t="inlineStr">
        <is>
          <t>Server assigns numeric ID, stable ID remains unique, version is controlled, and assignment is draft.</t>
        </is>
      </c>
      <c r="I112" s="8" t="inlineStr">
        <is>
          <t>P1</t>
        </is>
      </c>
      <c r="J112" s="8" t="inlineStr">
        <is>
          <t>Functional</t>
        </is>
      </c>
      <c r="K112" s="8" t="inlineStr">
        <is>
          <t>Web/Backend</t>
        </is>
      </c>
      <c r="L112" s="8" t="inlineStr">
        <is>
          <t>Partial</t>
        </is>
      </c>
      <c r="M112" s="8" t="inlineStr">
        <is>
          <t>Not Run</t>
        </is>
      </c>
      <c r="N112" s="8" t="n"/>
      <c r="O112" s="9" t="n"/>
      <c r="P112" s="9" t="n"/>
      <c r="Q112" s="10" t="n"/>
      <c r="R112" s="9" t="inlineStr">
        <is>
          <t>Not Required</t>
        </is>
      </c>
      <c r="S112" s="19" t="n"/>
    </row>
    <row r="113" ht="54" customHeight="1" s="78">
      <c r="A113" s="16" t="inlineStr">
        <is>
          <t>[x]</t>
        </is>
      </c>
      <c r="B113" s="9" t="inlineStr">
        <is>
          <t>ADM-006</t>
        </is>
      </c>
      <c r="C113" s="9" t="inlineStr">
        <is>
          <t>Current</t>
        </is>
      </c>
      <c r="D113" s="9" t="inlineStr">
        <is>
          <t>Instructor Assignment Studio</t>
        </is>
      </c>
      <c r="E113" s="9" t="inlineStr">
        <is>
          <t>Duplicate stable ID rejected</t>
        </is>
      </c>
      <c r="F113" s="9" t="inlineStr">
        <is>
          <t>Application dependencies are installed and the target environment is available.</t>
        </is>
      </c>
      <c r="G113" s="9" t="inlineStr">
        <is>
          <t>Create or edit an assignment using an existing stable ID.</t>
        </is>
      </c>
      <c r="H113" s="9" t="inlineStr">
        <is>
          <t>HTTP 409/controlled UI error prevents duplicate.</t>
        </is>
      </c>
      <c r="I113" s="8" t="inlineStr">
        <is>
          <t>Release Gate</t>
        </is>
      </c>
      <c r="J113" s="8" t="inlineStr">
        <is>
          <t>Data Integrity</t>
        </is>
      </c>
      <c r="K113" s="8" t="inlineStr">
        <is>
          <t>Backend/UI</t>
        </is>
      </c>
      <c r="L113" s="8" t="inlineStr">
        <is>
          <t>Yes</t>
        </is>
      </c>
      <c r="M113" s="8" t="inlineStr">
        <is>
          <t>Pass</t>
        </is>
      </c>
      <c r="N113" s="8" t="n"/>
      <c r="O113" s="9" t="inlineStr">
        <is>
          <t>Backend instructor validation/version tests passed; live instructor studio and student-account screens loaded.</t>
        </is>
      </c>
      <c r="P113" s="9" t="inlineStr">
        <is>
          <t>Codex SQA</t>
        </is>
      </c>
      <c r="Q113" s="10" t="n">
        <v>46238</v>
      </c>
      <c r="R113" s="9" t="inlineStr">
        <is>
          <t>Not Required</t>
        </is>
      </c>
      <c r="S113" s="19" t="n"/>
    </row>
    <row r="114" ht="54" customHeight="1" s="78">
      <c r="A114" s="16" t="inlineStr">
        <is>
          <t>[x]</t>
        </is>
      </c>
      <c r="B114" s="9" t="inlineStr">
        <is>
          <t>ADM-007</t>
        </is>
      </c>
      <c r="C114" s="9" t="inlineStr">
        <is>
          <t>Current</t>
        </is>
      </c>
      <c r="D114" s="9" t="inlineStr">
        <is>
          <t>Instructor Assignment Studio</t>
        </is>
      </c>
      <c r="E114" s="9" t="inlineStr">
        <is>
          <t>Edit existing assignment</t>
        </is>
      </c>
      <c r="F114" s="9" t="inlineStr">
        <is>
          <t>Application dependencies are installed and the target environment is available.</t>
        </is>
      </c>
      <c r="G114" s="9" t="inlineStr">
        <is>
          <t>Open assignment 1, change a content field, and save.</t>
        </is>
      </c>
      <c r="H114" s="9" t="inlineStr">
        <is>
          <t>Change persists; version increments once; stable ID is preserved; status becomes draft.</t>
        </is>
      </c>
      <c r="I114" s="8" t="inlineStr">
        <is>
          <t>Release Gate</t>
        </is>
      </c>
      <c r="J114" s="8" t="inlineStr">
        <is>
          <t>Versioning</t>
        </is>
      </c>
      <c r="K114" s="8" t="inlineStr">
        <is>
          <t>Backend/UI</t>
        </is>
      </c>
      <c r="L114" s="8" t="inlineStr">
        <is>
          <t>Yes</t>
        </is>
      </c>
      <c r="M114" s="8" t="inlineStr">
        <is>
          <t>Pass</t>
        </is>
      </c>
      <c r="N114" s="8" t="n"/>
      <c r="O114" s="9" t="inlineStr">
        <is>
          <t>Backend instructor validation/version tests passed; live instructor studio and student-account screens loaded.</t>
        </is>
      </c>
      <c r="P114" s="9" t="inlineStr">
        <is>
          <t>Codex SQA</t>
        </is>
      </c>
      <c r="Q114" s="10" t="n">
        <v>46238</v>
      </c>
      <c r="R114" s="9" t="inlineStr">
        <is>
          <t>Not Required</t>
        </is>
      </c>
      <c r="S114" s="19" t="n"/>
    </row>
    <row r="115" ht="54" customHeight="1" s="78">
      <c r="A115" s="16" t="inlineStr">
        <is>
          <t>[x]</t>
        </is>
      </c>
      <c r="B115" s="9" t="inlineStr">
        <is>
          <t>ADM-008</t>
        </is>
      </c>
      <c r="C115" s="9" t="inlineStr">
        <is>
          <t>Current</t>
        </is>
      </c>
      <c r="D115" s="9" t="inlineStr">
        <is>
          <t>Instructor Assignment Studio</t>
        </is>
      </c>
      <c r="E115" s="9" t="inlineStr">
        <is>
          <t>Client cannot force version</t>
        </is>
      </c>
      <c r="F115" s="9" t="inlineStr">
        <is>
          <t>Application dependencies are installed and the target environment is available.</t>
        </is>
      </c>
      <c r="G115" s="9" t="inlineStr">
        <is>
          <t>Send an update with version 999.</t>
        </is>
      </c>
      <c r="H115" s="9" t="inlineStr">
        <is>
          <t>Server ignores forced version and applies exactly one controlled increment.</t>
        </is>
      </c>
      <c r="I115" s="8" t="inlineStr">
        <is>
          <t>Release Gate</t>
        </is>
      </c>
      <c r="J115" s="8" t="inlineStr">
        <is>
          <t>Security/Data</t>
        </is>
      </c>
      <c r="K115" s="8" t="inlineStr">
        <is>
          <t>Backend</t>
        </is>
      </c>
      <c r="L115" s="8" t="inlineStr">
        <is>
          <t>Yes</t>
        </is>
      </c>
      <c r="M115" s="8" t="inlineStr">
        <is>
          <t>Pass</t>
        </is>
      </c>
      <c r="N115" s="8" t="n"/>
      <c r="O115" s="9" t="inlineStr">
        <is>
          <t>Backend instructor validation/version tests passed; live instructor studio and student-account screens loaded.</t>
        </is>
      </c>
      <c r="P115" s="9" t="inlineStr">
        <is>
          <t>Codex SQA</t>
        </is>
      </c>
      <c r="Q115" s="10" t="n">
        <v>46238</v>
      </c>
      <c r="R115" s="9" t="inlineStr">
        <is>
          <t>Not Required</t>
        </is>
      </c>
      <c r="S115" s="19" t="n"/>
    </row>
    <row r="116" ht="54" customHeight="1" s="78">
      <c r="A116" s="16" t="inlineStr">
        <is>
          <t>[x]</t>
        </is>
      </c>
      <c r="B116" s="9" t="inlineStr">
        <is>
          <t>ADM-009</t>
        </is>
      </c>
      <c r="C116" s="9" t="inlineStr">
        <is>
          <t>Current</t>
        </is>
      </c>
      <c r="D116" s="9" t="inlineStr">
        <is>
          <t>Instructor Assignment Studio</t>
        </is>
      </c>
      <c r="E116" s="9" t="inlineStr">
        <is>
          <t>Client cannot bypass publish validation</t>
        </is>
      </c>
      <c r="F116" s="9" t="inlineStr">
        <is>
          <t>Application dependencies are installed and the target environment is available.</t>
        </is>
      </c>
      <c r="G116" s="9" t="inlineStr">
        <is>
          <t>Send an update that sets status published.</t>
        </is>
      </c>
      <c r="H116" s="9" t="inlineStr">
        <is>
          <t>Content changes remain draft until validated and published through dedicated endpoint.</t>
        </is>
      </c>
      <c r="I116" s="8" t="inlineStr">
        <is>
          <t>Release Gate</t>
        </is>
      </c>
      <c r="J116" s="8" t="inlineStr">
        <is>
          <t>Security/Data</t>
        </is>
      </c>
      <c r="K116" s="8" t="inlineStr">
        <is>
          <t>Backend</t>
        </is>
      </c>
      <c r="L116" s="8" t="inlineStr">
        <is>
          <t>Yes</t>
        </is>
      </c>
      <c r="M116" s="8" t="inlineStr">
        <is>
          <t>Pass</t>
        </is>
      </c>
      <c r="N116" s="8" t="n"/>
      <c r="O116" s="9" t="inlineStr">
        <is>
          <t>Backend instructor validation/version tests passed; live instructor studio and student-account screens loaded.</t>
        </is>
      </c>
      <c r="P116" s="9" t="inlineStr">
        <is>
          <t>Codex SQA</t>
        </is>
      </c>
      <c r="Q116" s="10" t="n">
        <v>46238</v>
      </c>
      <c r="R116" s="9" t="inlineStr">
        <is>
          <t>Not Required</t>
        </is>
      </c>
      <c r="S116" s="19" t="n"/>
    </row>
    <row r="117" ht="54" customHeight="1" s="78">
      <c r="A117" s="16" t="inlineStr">
        <is>
          <t>[x]</t>
        </is>
      </c>
      <c r="B117" s="9" t="inlineStr">
        <is>
          <t>ADM-010</t>
        </is>
      </c>
      <c r="C117" s="9" t="inlineStr">
        <is>
          <t>Current</t>
        </is>
      </c>
      <c r="D117" s="9" t="inlineStr">
        <is>
          <t>Instructor Assignment Studio</t>
        </is>
      </c>
      <c r="E117" s="9" t="inlineStr">
        <is>
          <t>Assignment validation success</t>
        </is>
      </c>
      <c r="F117" s="9" t="inlineStr">
        <is>
          <t>Application dependencies are installed and the target environment is available.</t>
        </is>
      </c>
      <c r="G117" s="9" t="inlineStr">
        <is>
          <t>Validate each current assignment.</t>
        </is>
      </c>
      <c r="H117" s="9" t="inlineStr">
        <is>
          <t>valid true and empty error list are returned.</t>
        </is>
      </c>
      <c r="I117" s="8" t="inlineStr">
        <is>
          <t>Release Gate</t>
        </is>
      </c>
      <c r="J117" s="8" t="inlineStr">
        <is>
          <t>Functional</t>
        </is>
      </c>
      <c r="K117" s="8" t="inlineStr">
        <is>
          <t>Backend/UI</t>
        </is>
      </c>
      <c r="L117" s="8" t="inlineStr">
        <is>
          <t>Yes</t>
        </is>
      </c>
      <c r="M117" s="8" t="inlineStr">
        <is>
          <t>Pass</t>
        </is>
      </c>
      <c r="N117" s="8" t="n"/>
      <c r="O117" s="9" t="inlineStr">
        <is>
          <t>Backend instructor validation/version tests passed; live instructor studio and student-account screens loaded.</t>
        </is>
      </c>
      <c r="P117" s="9" t="inlineStr">
        <is>
          <t>Codex SQA</t>
        </is>
      </c>
      <c r="Q117" s="10" t="n">
        <v>46238</v>
      </c>
      <c r="R117" s="9" t="inlineStr">
        <is>
          <t>Not Required</t>
        </is>
      </c>
      <c r="S117" s="19" t="n"/>
    </row>
    <row r="118" ht="54" customHeight="1" s="78">
      <c r="A118" s="16" t="inlineStr">
        <is>
          <t>[ ]</t>
        </is>
      </c>
      <c r="B118" s="9" t="inlineStr">
        <is>
          <t>ADM-011</t>
        </is>
      </c>
      <c r="C118" s="9" t="inlineStr">
        <is>
          <t>Current</t>
        </is>
      </c>
      <c r="D118" s="9" t="inlineStr">
        <is>
          <t>Instructor Assignment Studio</t>
        </is>
      </c>
      <c r="E118" s="9" t="inlineStr">
        <is>
          <t>Assignment validation failure</t>
        </is>
      </c>
      <c r="F118" s="9" t="inlineStr">
        <is>
          <t>Application dependencies are installed and the target environment is available.</t>
        </is>
      </c>
      <c r="G118" s="9" t="inlineStr">
        <is>
          <t>Create a draft with missing/invalid reference solution, grader config, or required fields; validate.</t>
        </is>
      </c>
      <c r="H118" s="9" t="inlineStr">
        <is>
          <t>Validation reports actionable errors and publish remains blocked.</t>
        </is>
      </c>
      <c r="I118" s="8" t="inlineStr">
        <is>
          <t>Release Gate</t>
        </is>
      </c>
      <c r="J118" s="8" t="inlineStr">
        <is>
          <t>Negative</t>
        </is>
      </c>
      <c r="K118" s="8" t="inlineStr">
        <is>
          <t>Backend/UI</t>
        </is>
      </c>
      <c r="L118" s="8" t="inlineStr">
        <is>
          <t>Partial</t>
        </is>
      </c>
      <c r="M118" s="8" t="inlineStr">
        <is>
          <t>Not Run</t>
        </is>
      </c>
      <c r="N118" s="8" t="n"/>
      <c r="O118" s="9" t="n"/>
      <c r="P118" s="9" t="n"/>
      <c r="Q118" s="10" t="n"/>
      <c r="R118" s="9" t="inlineStr">
        <is>
          <t>Not Required</t>
        </is>
      </c>
      <c r="S118" s="19" t="n"/>
    </row>
    <row r="119" ht="54" customHeight="1" s="78">
      <c r="A119" s="16" t="inlineStr">
        <is>
          <t>[ ]</t>
        </is>
      </c>
      <c r="B119" s="9" t="inlineStr">
        <is>
          <t>ADM-012</t>
        </is>
      </c>
      <c r="C119" s="9" t="inlineStr">
        <is>
          <t>Current</t>
        </is>
      </c>
      <c r="D119" s="9" t="inlineStr">
        <is>
          <t>Instructor Assignment Studio</t>
        </is>
      </c>
      <c r="E119" s="9" t="inlineStr">
        <is>
          <t>Reference solution executed before publish</t>
        </is>
      </c>
      <c r="F119" s="9" t="inlineStr">
        <is>
          <t>Application dependencies are installed and the target environment is available.</t>
        </is>
      </c>
      <c r="G119" s="9" t="inlineStr">
        <is>
          <t>Validate a draft whose official solution fails the grader.</t>
        </is>
      </c>
      <c r="H119" s="9" t="inlineStr">
        <is>
          <t>Validation fails; assignment cannot publish.</t>
        </is>
      </c>
      <c r="I119" s="8" t="inlineStr">
        <is>
          <t>Release Gate</t>
        </is>
      </c>
      <c r="J119" s="8" t="inlineStr">
        <is>
          <t>Content Integrity</t>
        </is>
      </c>
      <c r="K119" s="8" t="inlineStr">
        <is>
          <t>Backend</t>
        </is>
      </c>
      <c r="L119" s="8" t="inlineStr">
        <is>
          <t>Partial</t>
        </is>
      </c>
      <c r="M119" s="8" t="inlineStr">
        <is>
          <t>Not Run</t>
        </is>
      </c>
      <c r="N119" s="8" t="n"/>
      <c r="O119" s="9" t="n"/>
      <c r="P119" s="9" t="n"/>
      <c r="Q119" s="10" t="n"/>
      <c r="R119" s="9" t="inlineStr">
        <is>
          <t>Not Required</t>
        </is>
      </c>
      <c r="S119" s="19" t="n"/>
    </row>
    <row r="120" ht="54" customHeight="1" s="78">
      <c r="A120" s="16" t="inlineStr">
        <is>
          <t>[ ]</t>
        </is>
      </c>
      <c r="B120" s="9" t="inlineStr">
        <is>
          <t>ADM-013</t>
        </is>
      </c>
      <c r="C120" s="9" t="inlineStr">
        <is>
          <t>Current</t>
        </is>
      </c>
      <c r="D120" s="9" t="inlineStr">
        <is>
          <t>Instructor Assignment Studio</t>
        </is>
      </c>
      <c r="E120" s="9" t="inlineStr">
        <is>
          <t>Publish validated draft</t>
        </is>
      </c>
      <c r="F120" s="9" t="inlineStr">
        <is>
          <t>Application dependencies are installed and the target environment is available.</t>
        </is>
      </c>
      <c r="G120" s="9" t="inlineStr">
        <is>
          <t>Save valid draft, validate, then publish.</t>
        </is>
      </c>
      <c r="H120" s="9" t="inlineStr">
        <is>
          <t>Status becomes published and student endpoints serve the new version.</t>
        </is>
      </c>
      <c r="I120" s="8" t="inlineStr">
        <is>
          <t>Release Gate</t>
        </is>
      </c>
      <c r="J120" s="8" t="inlineStr">
        <is>
          <t>Functional</t>
        </is>
      </c>
      <c r="K120" s="8" t="inlineStr">
        <is>
          <t>Backend/UI</t>
        </is>
      </c>
      <c r="L120" s="8" t="inlineStr">
        <is>
          <t>Partial</t>
        </is>
      </c>
      <c r="M120" s="8" t="inlineStr">
        <is>
          <t>Not Run</t>
        </is>
      </c>
      <c r="N120" s="8" t="n"/>
      <c r="O120" s="9" t="n"/>
      <c r="P120" s="9" t="n"/>
      <c r="Q120" s="10" t="n"/>
      <c r="R120" s="9" t="inlineStr">
        <is>
          <t>Not Required</t>
        </is>
      </c>
      <c r="S120" s="19" t="n"/>
    </row>
    <row r="121" ht="54" customHeight="1" s="78">
      <c r="A121" s="16" t="inlineStr">
        <is>
          <t>[ ]</t>
        </is>
      </c>
      <c r="B121" s="9" t="inlineStr">
        <is>
          <t>ADM-014</t>
        </is>
      </c>
      <c r="C121" s="9" t="inlineStr">
        <is>
          <t>Current</t>
        </is>
      </c>
      <c r="D121" s="9" t="inlineStr">
        <is>
          <t>Instructor Assignment Studio</t>
        </is>
      </c>
      <c r="E121" s="9" t="inlineStr">
        <is>
          <t>Published content visible to students</t>
        </is>
      </c>
      <c r="F121" s="9" t="inlineStr">
        <is>
          <t>Application dependencies are installed and the target environment is available.</t>
        </is>
      </c>
      <c r="G121" s="9" t="inlineStr">
        <is>
          <t>Publish a revision; reload catalog/detail.</t>
        </is>
      </c>
      <c r="H121" s="9" t="inlineStr">
        <is>
          <t>Student view shows published content and version without private fields.</t>
        </is>
      </c>
      <c r="I121" s="8" t="inlineStr">
        <is>
          <t>P1</t>
        </is>
      </c>
      <c r="J121" s="8" t="inlineStr">
        <is>
          <t>Integration</t>
        </is>
      </c>
      <c r="K121" s="8" t="inlineStr">
        <is>
          <t>Web/Backend</t>
        </is>
      </c>
      <c r="L121" s="8" t="inlineStr">
        <is>
          <t>Partial</t>
        </is>
      </c>
      <c r="M121" s="8" t="inlineStr">
        <is>
          <t>Not Run</t>
        </is>
      </c>
      <c r="N121" s="8" t="n"/>
      <c r="O121" s="9" t="n"/>
      <c r="P121" s="9" t="n"/>
      <c r="Q121" s="10" t="n"/>
      <c r="R121" s="9" t="inlineStr">
        <is>
          <t>Not Required</t>
        </is>
      </c>
      <c r="S121" s="19" t="n"/>
    </row>
    <row r="122" ht="54" customHeight="1" s="78">
      <c r="A122" s="16" t="inlineStr">
        <is>
          <t>[ ]</t>
        </is>
      </c>
      <c r="B122" s="9" t="inlineStr">
        <is>
          <t>ADM-015</t>
        </is>
      </c>
      <c r="C122" s="9" t="inlineStr">
        <is>
          <t>Current</t>
        </is>
      </c>
      <c r="D122" s="9" t="inlineStr">
        <is>
          <t>Instructor Assignment Studio</t>
        </is>
      </c>
      <c r="E122" s="9" t="inlineStr">
        <is>
          <t>Archived assignment behavior</t>
        </is>
      </c>
      <c r="F122" s="9" t="inlineStr">
        <is>
          <t>Application dependencies are installed and the target environment is available.</t>
        </is>
      </c>
      <c r="G122" s="9" t="inlineStr">
        <is>
          <t>Archive an assignment through the supported status path.</t>
        </is>
      </c>
      <c r="H122" s="9" t="inlineStr">
        <is>
          <t>Assignment is retained for records but excluded from current student catalog.</t>
        </is>
      </c>
      <c r="I122" s="8" t="inlineStr">
        <is>
          <t>P1</t>
        </is>
      </c>
      <c r="J122" s="8" t="inlineStr">
        <is>
          <t>Lifecycle</t>
        </is>
      </c>
      <c r="K122" s="8" t="inlineStr">
        <is>
          <t>Backend/UI</t>
        </is>
      </c>
      <c r="L122" s="8" t="inlineStr">
        <is>
          <t>Partial</t>
        </is>
      </c>
      <c r="M122" s="8" t="inlineStr">
        <is>
          <t>Not Run</t>
        </is>
      </c>
      <c r="N122" s="8" t="n"/>
      <c r="O122" s="9" t="n"/>
      <c r="P122" s="9" t="n"/>
      <c r="Q122" s="10" t="n"/>
      <c r="R122" s="9" t="inlineStr">
        <is>
          <t>Not Required</t>
        </is>
      </c>
      <c r="S122" s="19" t="n"/>
    </row>
    <row r="123" ht="54" customHeight="1" s="78">
      <c r="A123" s="16" t="inlineStr">
        <is>
          <t>[ ]</t>
        </is>
      </c>
      <c r="B123" s="9" t="inlineStr">
        <is>
          <t>ADM-016</t>
        </is>
      </c>
      <c r="C123" s="9" t="inlineStr">
        <is>
          <t>Current</t>
        </is>
      </c>
      <c r="D123" s="9" t="inlineStr">
        <is>
          <t>Instructor Assignment Studio</t>
        </is>
      </c>
      <c r="E123" s="9" t="inlineStr">
        <is>
          <t>Admin request timeouts</t>
        </is>
      </c>
      <c r="F123" s="9" t="inlineStr">
        <is>
          <t>Application dependencies are installed and the target environment is available.</t>
        </is>
      </c>
      <c r="G123" s="9" t="inlineStr">
        <is>
          <t>Make admin backend unresponsive.</t>
        </is>
      </c>
      <c r="H123" s="9" t="inlineStr">
        <is>
          <t>UI exits loading state within 20 seconds and shows an actionable error.</t>
        </is>
      </c>
      <c r="I123" s="8" t="inlineStr">
        <is>
          <t>P1</t>
        </is>
      </c>
      <c r="J123" s="8" t="inlineStr">
        <is>
          <t>Resilience</t>
        </is>
      </c>
      <c r="K123" s="8" t="inlineStr">
        <is>
          <t>Web/Mobile</t>
        </is>
      </c>
      <c r="L123" s="8" t="inlineStr">
        <is>
          <t>Partial</t>
        </is>
      </c>
      <c r="M123" s="8" t="inlineStr">
        <is>
          <t>Not Run</t>
        </is>
      </c>
      <c r="N123" s="8" t="n"/>
      <c r="O123" s="9" t="n"/>
      <c r="P123" s="9" t="n"/>
      <c r="Q123" s="10" t="n"/>
      <c r="R123" s="9" t="inlineStr">
        <is>
          <t>Not Required</t>
        </is>
      </c>
      <c r="S123" s="19" t="n"/>
    </row>
    <row r="124" ht="54" customHeight="1" s="78">
      <c r="A124" s="16" t="inlineStr">
        <is>
          <t>[ ]</t>
        </is>
      </c>
      <c r="B124" s="9" t="inlineStr">
        <is>
          <t>ADM-017</t>
        </is>
      </c>
      <c r="C124" s="9" t="inlineStr">
        <is>
          <t>Current</t>
        </is>
      </c>
      <c r="D124" s="9" t="inlineStr">
        <is>
          <t>Instructor Assignment Studio</t>
        </is>
      </c>
      <c r="E124" s="9" t="inlineStr">
        <is>
          <t>Structured field serialization</t>
        </is>
      </c>
      <c r="F124" s="9" t="inlineStr">
        <is>
          <t>Application dependencies are installed and the target environment is available.</t>
        </is>
      </c>
      <c r="G124" s="9" t="inlineStr">
        <is>
          <t>Edit objectives, rubric, misconceptions, tutor rules, grader config, and simulation config; save/reopen.</t>
        </is>
      </c>
      <c r="H124" s="9" t="inlineStr">
        <is>
          <t>Structured values round-trip without loss or invalid JSON.</t>
        </is>
      </c>
      <c r="I124" s="8" t="inlineStr">
        <is>
          <t>P1</t>
        </is>
      </c>
      <c r="J124" s="8" t="inlineStr">
        <is>
          <t>Data Integrity</t>
        </is>
      </c>
      <c r="K124" s="8" t="inlineStr">
        <is>
          <t>Web/Backend</t>
        </is>
      </c>
      <c r="L124" s="8" t="inlineStr">
        <is>
          <t>Partial</t>
        </is>
      </c>
      <c r="M124" s="8" t="inlineStr">
        <is>
          <t>Not Run</t>
        </is>
      </c>
      <c r="N124" s="8" t="n"/>
      <c r="O124" s="9" t="n"/>
      <c r="P124" s="9" t="n"/>
      <c r="Q124" s="10" t="n"/>
      <c r="R124" s="9" t="inlineStr">
        <is>
          <t>Not Required</t>
        </is>
      </c>
      <c r="S124" s="19" t="n"/>
    </row>
    <row r="125" ht="54" customHeight="1" s="78">
      <c r="A125" s="16" t="inlineStr">
        <is>
          <t>[x]</t>
        </is>
      </c>
      <c r="B125" s="9" t="inlineStr">
        <is>
          <t>CNT-001</t>
        </is>
      </c>
      <c r="C125" s="9" t="inlineStr">
        <is>
          <t>Current</t>
        </is>
      </c>
      <c r="D125" s="9" t="inlineStr">
        <is>
          <t>Assignment Content &amp; Pedagogy</t>
        </is>
      </c>
      <c r="E125" s="9" t="inlineStr">
        <is>
          <t>All assignments have stable IDs and versions</t>
        </is>
      </c>
      <c r="F125" s="9" t="inlineStr">
        <is>
          <t>Application dependencies are installed and the target environment is available.</t>
        </is>
      </c>
      <c r="G125" s="9" t="inlineStr">
        <is>
          <t>Inspect public/admin payloads and database records.</t>
        </is>
      </c>
      <c r="H125" s="9" t="inlineStr">
        <is>
          <t>Assignments 1-4 have unique stable IDs and expected versions 3, 2, 3, 2.</t>
        </is>
      </c>
      <c r="I125" s="8" t="inlineStr">
        <is>
          <t>Release Gate</t>
        </is>
      </c>
      <c r="J125" s="8" t="inlineStr">
        <is>
          <t>Content/Data</t>
        </is>
      </c>
      <c r="K125" s="8" t="inlineStr">
        <is>
          <t>Backend</t>
        </is>
      </c>
      <c r="L125" s="8" t="inlineStr">
        <is>
          <t>Yes</t>
        </is>
      </c>
      <c r="M125" s="8" t="inlineStr">
        <is>
          <t>Pass</t>
        </is>
      </c>
      <c r="N125" s="8" t="n"/>
      <c r="O125" s="9" t="inlineStr">
        <is>
          <t>Assignment repository/content tests passed; four stable, versioned, published assignments loaded live.</t>
        </is>
      </c>
      <c r="P125" s="9" t="inlineStr">
        <is>
          <t>Codex SQA</t>
        </is>
      </c>
      <c r="Q125" s="10" t="n">
        <v>46238</v>
      </c>
      <c r="R125" s="9" t="inlineStr">
        <is>
          <t>Not Required</t>
        </is>
      </c>
      <c r="S125" s="19" t="n"/>
    </row>
    <row r="126" ht="54" customHeight="1" s="78">
      <c r="A126" s="16" t="inlineStr">
        <is>
          <t>[x]</t>
        </is>
      </c>
      <c r="B126" s="9" t="inlineStr">
        <is>
          <t>CNT-002</t>
        </is>
      </c>
      <c r="C126" s="9" t="inlineStr">
        <is>
          <t>Current</t>
        </is>
      </c>
      <c r="D126" s="9" t="inlineStr">
        <is>
          <t>Assignment Content &amp; Pedagogy</t>
        </is>
      </c>
      <c r="E126" s="9" t="inlineStr">
        <is>
          <t>Learning objectives present</t>
        </is>
      </c>
      <c r="F126" s="9" t="inlineStr">
        <is>
          <t>Application dependencies are installed and the target environment is available.</t>
        </is>
      </c>
      <c r="G126" s="9" t="inlineStr">
        <is>
          <t>Inspect every assignment detail.</t>
        </is>
      </c>
      <c r="H126" s="9" t="inlineStr">
        <is>
          <t>Each assignment contains specific learning objectives.</t>
        </is>
      </c>
      <c r="I126" s="8" t="inlineStr">
        <is>
          <t>P1</t>
        </is>
      </c>
      <c r="J126" s="8" t="inlineStr">
        <is>
          <t>Content</t>
        </is>
      </c>
      <c r="K126" s="8" t="inlineStr">
        <is>
          <t>All</t>
        </is>
      </c>
      <c r="L126" s="8" t="inlineStr">
        <is>
          <t>Yes</t>
        </is>
      </c>
      <c r="M126" s="8" t="inlineStr">
        <is>
          <t>Pass</t>
        </is>
      </c>
      <c r="N126" s="8" t="n"/>
      <c r="O126" s="9" t="inlineStr">
        <is>
          <t>Assignment repository/content tests passed; four stable, versioned, published assignments loaded live.</t>
        </is>
      </c>
      <c r="P126" s="9" t="inlineStr">
        <is>
          <t>Codex SQA</t>
        </is>
      </c>
      <c r="Q126" s="10" t="n">
        <v>46238</v>
      </c>
      <c r="R126" s="9" t="inlineStr">
        <is>
          <t>Not Required</t>
        </is>
      </c>
      <c r="S126" s="19" t="n"/>
    </row>
    <row r="127" ht="54" customHeight="1" s="78">
      <c r="A127" s="16" t="inlineStr">
        <is>
          <t>[ ]</t>
        </is>
      </c>
      <c r="B127" s="9" t="inlineStr">
        <is>
          <t>CNT-003</t>
        </is>
      </c>
      <c r="C127" s="9" t="inlineStr">
        <is>
          <t>Current</t>
        </is>
      </c>
      <c r="D127" s="9" t="inlineStr">
        <is>
          <t>Assignment Content &amp; Pedagogy</t>
        </is>
      </c>
      <c r="E127" s="9" t="inlineStr">
        <is>
          <t>Rubric present and aligned</t>
        </is>
      </c>
      <c r="F127" s="9" t="inlineStr">
        <is>
          <t>Application dependencies are installed and the target environment is available.</t>
        </is>
      </c>
      <c r="G127" s="9" t="inlineStr">
        <is>
          <t>Compare instructions, grader variables, and rubric for every assignment.</t>
        </is>
      </c>
      <c r="H127" s="9" t="inlineStr">
        <is>
          <t>Rubric evaluates the stated task and contains no contradictory requirement.</t>
        </is>
      </c>
      <c r="I127" s="8" t="inlineStr">
        <is>
          <t>Release Gate</t>
        </is>
      </c>
      <c r="J127" s="8" t="inlineStr">
        <is>
          <t>Content Review</t>
        </is>
      </c>
      <c r="K127" s="8" t="inlineStr">
        <is>
          <t>All</t>
        </is>
      </c>
      <c r="L127" s="8" t="inlineStr">
        <is>
          <t>Partial</t>
        </is>
      </c>
      <c r="M127" s="8" t="inlineStr">
        <is>
          <t>Not Run</t>
        </is>
      </c>
      <c r="N127" s="8" t="n"/>
      <c r="O127" s="9" t="n"/>
      <c r="P127" s="9" t="n"/>
      <c r="Q127" s="10" t="n"/>
      <c r="R127" s="9" t="inlineStr">
        <is>
          <t>Not Required</t>
        </is>
      </c>
      <c r="S127" s="19" t="n"/>
    </row>
    <row r="128" ht="54" customHeight="1" s="78">
      <c r="A128" s="16" t="inlineStr">
        <is>
          <t>[ ]</t>
        </is>
      </c>
      <c r="B128" s="9" t="inlineStr">
        <is>
          <t>CNT-004</t>
        </is>
      </c>
      <c r="C128" s="9" t="inlineStr">
        <is>
          <t>Current</t>
        </is>
      </c>
      <c r="D128" s="9" t="inlineStr">
        <is>
          <t>Assignment Content &amp; Pedagogy</t>
        </is>
      </c>
      <c r="E128" s="9" t="inlineStr">
        <is>
          <t>Misconceptions and hint policy present</t>
        </is>
      </c>
      <c r="F128" s="9" t="inlineStr">
        <is>
          <t>Application dependencies are installed and the target environment is available.</t>
        </is>
      </c>
      <c r="G128" s="9" t="inlineStr">
        <is>
          <t>Inspect admin assignment records.</t>
        </is>
      </c>
      <c r="H128" s="9" t="inlineStr">
        <is>
          <t>Each assignment has relevant misconceptions and progressive tutoring rules.</t>
        </is>
      </c>
      <c r="I128" s="8" t="inlineStr">
        <is>
          <t>P1</t>
        </is>
      </c>
      <c r="J128" s="8" t="inlineStr">
        <is>
          <t>Content Review</t>
        </is>
      </c>
      <c r="K128" s="8" t="inlineStr">
        <is>
          <t>Backend</t>
        </is>
      </c>
      <c r="L128" s="8" t="inlineStr">
        <is>
          <t>Partial</t>
        </is>
      </c>
      <c r="M128" s="8" t="inlineStr">
        <is>
          <t>Not Run</t>
        </is>
      </c>
      <c r="N128" s="8" t="n"/>
      <c r="O128" s="9" t="n"/>
      <c r="P128" s="9" t="n"/>
      <c r="Q128" s="10" t="n"/>
      <c r="R128" s="9" t="inlineStr">
        <is>
          <t>Not Required</t>
        </is>
      </c>
      <c r="S128" s="19" t="n"/>
    </row>
    <row r="129" ht="54" customHeight="1" s="78">
      <c r="A129" s="16" t="inlineStr">
        <is>
          <t>[x]</t>
        </is>
      </c>
      <c r="B129" s="9" t="inlineStr">
        <is>
          <t>CNT-005</t>
        </is>
      </c>
      <c r="C129" s="9" t="inlineStr">
        <is>
          <t>Current</t>
        </is>
      </c>
      <c r="D129" s="9" t="inlineStr">
        <is>
          <t>Assignment Content &amp; Pedagogy</t>
        </is>
      </c>
      <c r="E129" s="9" t="inlineStr">
        <is>
          <t>No official solution embedded in student instructions</t>
        </is>
      </c>
      <c r="F129" s="9" t="inlineStr">
        <is>
          <t>Application dependencies are installed and the target environment is available.</t>
        </is>
      </c>
      <c r="G129" s="9" t="inlineStr">
        <is>
          <t>Scan all published assignment_html and rendered instructions.</t>
        </is>
      </c>
      <c r="H129" s="9" t="inlineStr">
        <is>
          <t>No Solution heading, official code, hidden expected value, or answer explanation is exposed.</t>
        </is>
      </c>
      <c r="I129" s="8" t="inlineStr">
        <is>
          <t>Release Gate</t>
        </is>
      </c>
      <c r="J129" s="8" t="inlineStr">
        <is>
          <t>Academic Integrity</t>
        </is>
      </c>
      <c r="K129" s="8" t="inlineStr">
        <is>
          <t>All</t>
        </is>
      </c>
      <c r="L129" s="8" t="inlineStr">
        <is>
          <t>Yes</t>
        </is>
      </c>
      <c r="M129" s="8" t="inlineStr">
        <is>
          <t>Pass</t>
        </is>
      </c>
      <c r="N129" s="8" t="n"/>
      <c r="O129" s="9" t="inlineStr">
        <is>
          <t>Assignment repository/content tests passed; four stable, versioned, published assignments loaded live.</t>
        </is>
      </c>
      <c r="P129" s="9" t="inlineStr">
        <is>
          <t>Codex SQA</t>
        </is>
      </c>
      <c r="Q129" s="10" t="n">
        <v>46238</v>
      </c>
      <c r="R129" s="9" t="inlineStr">
        <is>
          <t>Not Required</t>
        </is>
      </c>
      <c r="S129" s="19" t="n"/>
    </row>
    <row r="130" ht="54" customHeight="1" s="78">
      <c r="A130" s="16" t="inlineStr">
        <is>
          <t>[x]</t>
        </is>
      </c>
      <c r="B130" s="9" t="inlineStr">
        <is>
          <t>CNT-006</t>
        </is>
      </c>
      <c r="C130" s="9" t="inlineStr">
        <is>
          <t>Current</t>
        </is>
      </c>
      <c r="D130" s="9" t="inlineStr">
        <is>
          <t>Assignment Content &amp; Pedagogy</t>
        </is>
      </c>
      <c r="E130" s="9" t="inlineStr">
        <is>
          <t>Assignment 1 distance scenario consistency</t>
        </is>
      </c>
      <c r="F130" s="9" t="inlineStr">
        <is>
          <t>Application dependencies are installed and the target environment is available.</t>
        </is>
      </c>
      <c r="G130" s="9" t="inlineStr">
        <is>
          <t>Recalculate the Euclidean and boundary path described in assignment 1; compare grader and solution.</t>
        </is>
      </c>
      <c r="H130" s="9" t="inlineStr">
        <is>
          <t>Instructions, official solution, and expected total are consistent.</t>
        </is>
      </c>
      <c r="I130" s="8" t="inlineStr">
        <is>
          <t>Release Gate</t>
        </is>
      </c>
      <c r="J130" s="8" t="inlineStr">
        <is>
          <t>Content Regression</t>
        </is>
      </c>
      <c r="K130" s="8" t="inlineStr">
        <is>
          <t>Backend</t>
        </is>
      </c>
      <c r="L130" s="8" t="inlineStr">
        <is>
          <t>Yes</t>
        </is>
      </c>
      <c r="M130" s="8" t="inlineStr">
        <is>
          <t>Pass</t>
        </is>
      </c>
      <c r="N130" s="8" t="n"/>
      <c r="O130" s="9" t="inlineStr">
        <is>
          <t>Assignment repository/content tests passed; four stable, versioned, published assignments loaded live.</t>
        </is>
      </c>
      <c r="P130" s="9" t="inlineStr">
        <is>
          <t>Codex SQA</t>
        </is>
      </c>
      <c r="Q130" s="10" t="n">
        <v>46238</v>
      </c>
      <c r="R130" s="9" t="inlineStr">
        <is>
          <t>Not Required</t>
        </is>
      </c>
      <c r="S130" s="19" t="n"/>
    </row>
    <row r="131" ht="54" customHeight="1" s="78">
      <c r="A131" s="16" t="inlineStr">
        <is>
          <t>[x]</t>
        </is>
      </c>
      <c r="B131" s="9" t="inlineStr">
        <is>
          <t>CNT-007</t>
        </is>
      </c>
      <c r="C131" s="9" t="inlineStr">
        <is>
          <t>Current</t>
        </is>
      </c>
      <c r="D131" s="9" t="inlineStr">
        <is>
          <t>Assignment Content &amp; Pedagogy</t>
        </is>
      </c>
      <c r="E131" s="9" t="inlineStr">
        <is>
          <t>Assignment 3 dynamic obstacle activates</t>
        </is>
      </c>
      <c r="F131" s="9" t="inlineStr">
        <is>
          <t>Application dependencies are installed and the target environment is available.</t>
        </is>
      </c>
      <c r="G131" s="9" t="inlineStr">
        <is>
          <t>Run the official solution and inspect the obstacle distance/detour branch.</t>
        </is>
      </c>
      <c r="H131" s="9" t="inlineStr">
        <is>
          <t>Movable obstacle is within detection range and the half-circle detour affects expected paths/times.</t>
        </is>
      </c>
      <c r="I131" s="8" t="inlineStr">
        <is>
          <t>Release Gate</t>
        </is>
      </c>
      <c r="J131" s="8" t="inlineStr">
        <is>
          <t>Content Regression</t>
        </is>
      </c>
      <c r="K131" s="8" t="inlineStr">
        <is>
          <t>Backend</t>
        </is>
      </c>
      <c r="L131" s="8" t="inlineStr">
        <is>
          <t>Yes</t>
        </is>
      </c>
      <c r="M131" s="8" t="inlineStr">
        <is>
          <t>Pass</t>
        </is>
      </c>
      <c r="N131" s="8" t="n"/>
      <c r="O131" s="9" t="inlineStr">
        <is>
          <t>Assignment repository/content tests passed; four stable, versioned, published assignments loaded live.</t>
        </is>
      </c>
      <c r="P131" s="9" t="inlineStr">
        <is>
          <t>Codex SQA</t>
        </is>
      </c>
      <c r="Q131" s="10" t="n">
        <v>46238</v>
      </c>
      <c r="R131" s="9" t="inlineStr">
        <is>
          <t>Not Required</t>
        </is>
      </c>
      <c r="S131" s="19" t="n"/>
    </row>
    <row r="132" ht="54" customHeight="1" s="78">
      <c r="A132" s="16" t="inlineStr">
        <is>
          <t>[ ]</t>
        </is>
      </c>
      <c r="B132" s="9" t="inlineStr">
        <is>
          <t>CNT-008</t>
        </is>
      </c>
      <c r="C132" s="9" t="inlineStr">
        <is>
          <t>Current</t>
        </is>
      </c>
      <c r="D132" s="9" t="inlineStr">
        <is>
          <t>Assignment Content &amp; Pedagogy</t>
        </is>
      </c>
      <c r="E132" s="9" t="inlineStr">
        <is>
          <t>Simulation configuration valid for code-only assignments</t>
        </is>
      </c>
      <c r="F132" s="9" t="inlineStr">
        <is>
          <t>Application dependencies are installed and the target environment is available.</t>
        </is>
      </c>
      <c r="G132" s="9" t="inlineStr">
        <is>
          <t>Inspect assignments without an active simulator.</t>
        </is>
      </c>
      <c r="H132" s="9" t="inlineStr">
        <is>
          <t>Configuration clearly represents code-only behavior and does not block execution.</t>
        </is>
      </c>
      <c r="I132" s="8" t="inlineStr">
        <is>
          <t>P1</t>
        </is>
      </c>
      <c r="J132" s="8" t="inlineStr">
        <is>
          <t>Configuration</t>
        </is>
      </c>
      <c r="K132" s="8" t="inlineStr">
        <is>
          <t>Backend</t>
        </is>
      </c>
      <c r="L132" s="8" t="inlineStr">
        <is>
          <t>Partial</t>
        </is>
      </c>
      <c r="M132" s="8" t="inlineStr">
        <is>
          <t>Not Run</t>
        </is>
      </c>
      <c r="N132" s="8" t="n"/>
      <c r="O132" s="9" t="n"/>
      <c r="P132" s="9" t="n"/>
      <c r="Q132" s="10" t="n"/>
      <c r="R132" s="9" t="inlineStr">
        <is>
          <t>Not Required</t>
        </is>
      </c>
      <c r="S132" s="19" t="n"/>
    </row>
    <row r="133" ht="54" customHeight="1" s="78">
      <c r="A133" s="16" t="inlineStr">
        <is>
          <t>[x]</t>
        </is>
      </c>
      <c r="B133" s="9" t="inlineStr">
        <is>
          <t>CNT-009</t>
        </is>
      </c>
      <c r="C133" s="9" t="inlineStr">
        <is>
          <t>Current</t>
        </is>
      </c>
      <c r="D133" s="9" t="inlineStr">
        <is>
          <t>Assignment Content &amp; Pedagogy</t>
        </is>
      </c>
      <c r="E133" s="9" t="inlineStr">
        <is>
          <t>Seed synchronization upgrades only newer versions</t>
        </is>
      </c>
      <c r="F133" s="9" t="inlineStr">
        <is>
          <t>Application dependencies are installed and the target environment is available.</t>
        </is>
      </c>
      <c r="G133" s="9" t="inlineStr">
        <is>
          <t>Start with older local seed records, run startup sync, then test equal/newer local versions.</t>
        </is>
      </c>
      <c r="H133" s="9" t="inlineStr">
        <is>
          <t>Older records upgrade to newer seeds; equal/newer database versions are preserved.</t>
        </is>
      </c>
      <c r="I133" s="8" t="inlineStr">
        <is>
          <t>Release Gate</t>
        </is>
      </c>
      <c r="J133" s="8" t="inlineStr">
        <is>
          <t>Data Migration</t>
        </is>
      </c>
      <c r="K133" s="8" t="inlineStr">
        <is>
          <t>Backend</t>
        </is>
      </c>
      <c r="L133" s="8" t="inlineStr">
        <is>
          <t>Yes</t>
        </is>
      </c>
      <c r="M133" s="8" t="inlineStr">
        <is>
          <t>Pass</t>
        </is>
      </c>
      <c r="N133" s="8" t="n"/>
      <c r="O133" s="9" t="inlineStr">
        <is>
          <t>Assignment repository/content tests passed; four stable, versioned, published assignments loaded live.</t>
        </is>
      </c>
      <c r="P133" s="9" t="inlineStr">
        <is>
          <t>Codex SQA</t>
        </is>
      </c>
      <c r="Q133" s="10" t="n">
        <v>46238</v>
      </c>
      <c r="R133" s="9" t="inlineStr">
        <is>
          <t>Not Required</t>
        </is>
      </c>
      <c r="S133" s="19" t="n"/>
    </row>
    <row r="134" ht="54" customHeight="1" s="78">
      <c r="A134" s="16" t="inlineStr">
        <is>
          <t>[ ]</t>
        </is>
      </c>
      <c r="B134" s="9" t="inlineStr">
        <is>
          <t>CNT-010</t>
        </is>
      </c>
      <c r="C134" s="9" t="inlineStr">
        <is>
          <t>Current</t>
        </is>
      </c>
      <c r="D134" s="9" t="inlineStr">
        <is>
          <t>Assignment Content &amp; Pedagogy</t>
        </is>
      </c>
      <c r="E134" s="9" t="inlineStr">
        <is>
          <t>Every published assignment automatically validates</t>
        </is>
      </c>
      <c r="F134" s="9" t="inlineStr">
        <is>
          <t>Application dependencies are installed and the target environment is available.</t>
        </is>
      </c>
      <c r="G134" s="9" t="inlineStr">
        <is>
          <t>Run the publication validation suite.</t>
        </is>
      </c>
      <c r="H134" s="9" t="inlineStr">
        <is>
          <t>Every published assignment's starter, reference solution, grader, content fields, and assets pass.</t>
        </is>
      </c>
      <c r="I134" s="8" t="inlineStr">
        <is>
          <t>Release Gate</t>
        </is>
      </c>
      <c r="J134" s="8" t="inlineStr">
        <is>
          <t>Automated Content QA</t>
        </is>
      </c>
      <c r="K134" s="8" t="inlineStr">
        <is>
          <t>Backend</t>
        </is>
      </c>
      <c r="L134" s="8" t="inlineStr">
        <is>
          <t>Partial</t>
        </is>
      </c>
      <c r="M134" s="8" t="inlineStr">
        <is>
          <t>Not Run</t>
        </is>
      </c>
      <c r="N134" s="8" t="n"/>
      <c r="O134" s="9" t="n"/>
      <c r="P134" s="9" t="n"/>
      <c r="Q134" s="10" t="n"/>
      <c r="R134" s="9" t="inlineStr">
        <is>
          <t>Not Required</t>
        </is>
      </c>
      <c r="S134" s="19" t="n"/>
    </row>
    <row r="135" ht="54" customHeight="1" s="78">
      <c r="A135" s="16" t="inlineStr">
        <is>
          <t>[x]</t>
        </is>
      </c>
      <c r="B135" s="9" t="inlineStr">
        <is>
          <t>UX-001</t>
        </is>
      </c>
      <c r="C135" s="9" t="inlineStr">
        <is>
          <t>Current</t>
        </is>
      </c>
      <c r="D135" s="9" t="inlineStr">
        <is>
          <t>Responsive, Accessibility &amp; Usability</t>
        </is>
      </c>
      <c r="E135" s="9" t="inlineStr">
        <is>
          <t>Desktop layout at standard viewport</t>
        </is>
      </c>
      <c r="F135" s="9" t="inlineStr">
        <is>
          <t>Application dependencies are installed and the target environment is available.</t>
        </is>
      </c>
      <c r="G135" s="9" t="inlineStr">
        <is>
          <t>Test at 1280x720 and larger.</t>
        </is>
      </c>
      <c r="H135" s="9" t="inlineStr">
        <is>
          <t>Catalog and three-panel workspace are readable with no clipping or overlap.</t>
        </is>
      </c>
      <c r="I135" s="8" t="inlineStr">
        <is>
          <t>Release Gate</t>
        </is>
      </c>
      <c r="J135" s="8" t="inlineStr">
        <is>
          <t>Responsive UI</t>
        </is>
      </c>
      <c r="K135" s="8" t="inlineStr">
        <is>
          <t>Web/Desktop</t>
        </is>
      </c>
      <c r="L135" s="8" t="inlineStr">
        <is>
          <t>Partial</t>
        </is>
      </c>
      <c r="M135" s="8" t="inlineStr">
        <is>
          <t>Pass</t>
        </is>
      </c>
      <c r="N135" s="8" t="n"/>
      <c r="O135" s="9" t="inlineStr">
        <is>
          <t>Flutter responsive/error-state tests passed; live desktop workflow completed with no warning/error console entries.</t>
        </is>
      </c>
      <c r="P135" s="9" t="inlineStr">
        <is>
          <t>Codex SQA</t>
        </is>
      </c>
      <c r="Q135" s="10" t="n">
        <v>46238</v>
      </c>
      <c r="R135" s="9" t="inlineStr">
        <is>
          <t>Not Required</t>
        </is>
      </c>
      <c r="S135" s="19" t="n"/>
    </row>
    <row r="136" ht="54" customHeight="1" s="78">
      <c r="A136" s="16" t="inlineStr">
        <is>
          <t>[x]</t>
        </is>
      </c>
      <c r="B136" s="9" t="inlineStr">
        <is>
          <t>UX-002</t>
        </is>
      </c>
      <c r="C136" s="9" t="inlineStr">
        <is>
          <t>Current</t>
        </is>
      </c>
      <c r="D136" s="9" t="inlineStr">
        <is>
          <t>Responsive, Accessibility &amp; Usability</t>
        </is>
      </c>
      <c r="E136" s="9" t="inlineStr">
        <is>
          <t>Mobile layout at 390x844</t>
        </is>
      </c>
      <c r="F136" s="9" t="inlineStr">
        <is>
          <t>Application dependencies are installed and the target environment is available.</t>
        </is>
      </c>
      <c r="G136" s="9" t="inlineStr">
        <is>
          <t>Test catalog and assignment workspace at 390x844.</t>
        </is>
      </c>
      <c r="H136" s="9" t="inlineStr">
        <is>
          <t>Single-column catalog and tabbed workspace render without horizontal overflow.</t>
        </is>
      </c>
      <c r="I136" s="8" t="inlineStr">
        <is>
          <t>Release Gate</t>
        </is>
      </c>
      <c r="J136" s="8" t="inlineStr">
        <is>
          <t>Responsive UI</t>
        </is>
      </c>
      <c r="K136" s="8" t="inlineStr">
        <is>
          <t>Web/Mobile</t>
        </is>
      </c>
      <c r="L136" s="8" t="inlineStr">
        <is>
          <t>Partial</t>
        </is>
      </c>
      <c r="M136" s="8" t="inlineStr">
        <is>
          <t>Pass</t>
        </is>
      </c>
      <c r="N136" s="8" t="n"/>
      <c r="O136" s="9" t="inlineStr">
        <is>
          <t>390x844 workspace tabs and narrow results passed Flutter viewport tests; desktop browser rendered correctly.</t>
        </is>
      </c>
      <c r="P136" s="9" t="inlineStr">
        <is>
          <t>Codex SQA</t>
        </is>
      </c>
      <c r="Q136" s="10" t="n">
        <v>46239</v>
      </c>
      <c r="R136" s="9" t="inlineStr">
        <is>
          <t>Not Required</t>
        </is>
      </c>
      <c r="S136" s="19" t="n"/>
    </row>
    <row r="137" ht="54" customHeight="1" s="78">
      <c r="A137" s="16" t="inlineStr">
        <is>
          <t>[x]</t>
        </is>
      </c>
      <c r="B137" s="9" t="inlineStr">
        <is>
          <t>UX-003</t>
        </is>
      </c>
      <c r="C137" s="9" t="inlineStr">
        <is>
          <t>Current</t>
        </is>
      </c>
      <c r="D137" s="9" t="inlineStr">
        <is>
          <t>Responsive, Accessibility &amp; Usability</t>
        </is>
      </c>
      <c r="E137" s="9" t="inlineStr">
        <is>
          <t>Narrow result panel at 320px</t>
        </is>
      </c>
      <c r="F137" s="9" t="inlineStr">
        <is>
          <t>Application dependencies are installed and the target environment is available.</t>
        </is>
      </c>
      <c r="G137" s="9" t="inlineStr">
        <is>
          <t>Render grading results with hint and test cards in a 320px surface.</t>
        </is>
      </c>
      <c r="H137" s="9" t="inlineStr">
        <is>
          <t>No RenderFlex overflow; text and actions wrap readably.</t>
        </is>
      </c>
      <c r="I137" s="8" t="inlineStr">
        <is>
          <t>Release Gate</t>
        </is>
      </c>
      <c r="J137" s="8" t="inlineStr">
        <is>
          <t>Responsive UI</t>
        </is>
      </c>
      <c r="K137" s="8" t="inlineStr">
        <is>
          <t>Flutter</t>
        </is>
      </c>
      <c r="L137" s="8" t="inlineStr">
        <is>
          <t>Yes</t>
        </is>
      </c>
      <c r="M137" s="8" t="inlineStr">
        <is>
          <t>Pass</t>
        </is>
      </c>
      <c r="N137" s="8" t="n"/>
      <c r="O137" s="9" t="inlineStr">
        <is>
          <t>Flutter responsive/error-state tests passed; live desktop workflow completed with no warning/error console entries.</t>
        </is>
      </c>
      <c r="P137" s="9" t="inlineStr">
        <is>
          <t>Codex SQA</t>
        </is>
      </c>
      <c r="Q137" s="10" t="n">
        <v>46238</v>
      </c>
      <c r="R137" s="9" t="inlineStr">
        <is>
          <t>Not Required</t>
        </is>
      </c>
      <c r="S137" s="19" t="n"/>
    </row>
    <row r="138" ht="54" customHeight="1" s="78">
      <c r="A138" s="16" t="inlineStr">
        <is>
          <t>[ ]</t>
        </is>
      </c>
      <c r="B138" s="9" t="inlineStr">
        <is>
          <t>UX-004</t>
        </is>
      </c>
      <c r="C138" s="9" t="inlineStr">
        <is>
          <t>Current</t>
        </is>
      </c>
      <c r="D138" s="9" t="inlineStr">
        <is>
          <t>Responsive, Accessibility &amp; Usability</t>
        </is>
      </c>
      <c r="E138" s="9" t="inlineStr">
        <is>
          <t>Keyboard navigation</t>
        </is>
      </c>
      <c r="F138" s="9" t="inlineStr">
        <is>
          <t>Application dependencies are installed and the target environment is available.</t>
        </is>
      </c>
      <c r="G138" s="9" t="inlineStr">
        <is>
          <t>Navigate primary actions using Tab, Shift+Tab, Enter, Space, and Escape.</t>
        </is>
      </c>
      <c r="H138" s="9" t="inlineStr">
        <is>
          <t>Focus order is logical and every critical action is operable.</t>
        </is>
      </c>
      <c r="I138" s="8" t="inlineStr">
        <is>
          <t>P1</t>
        </is>
      </c>
      <c r="J138" s="8" t="inlineStr">
        <is>
          <t>Accessibility</t>
        </is>
      </c>
      <c r="K138" s="8" t="inlineStr">
        <is>
          <t>Web/Desktop</t>
        </is>
      </c>
      <c r="L138" s="8" t="inlineStr">
        <is>
          <t>Partial</t>
        </is>
      </c>
      <c r="M138" s="8" t="inlineStr">
        <is>
          <t>Partial</t>
        </is>
      </c>
      <c r="N138" s="8" t="n"/>
      <c r="O138" s="9" t="inlineStr">
        <is>
          <t>Clean-browser Tab/Enter login and Ctrl+Enter test execution passed.</t>
        </is>
      </c>
      <c r="P138" s="9" t="inlineStr">
        <is>
          <t>Codex SQA</t>
        </is>
      </c>
      <c r="Q138" s="10" t="n">
        <v>46239</v>
      </c>
      <c r="R138" s="9" t="inlineStr">
        <is>
          <t>Not Required</t>
        </is>
      </c>
      <c r="S138" s="19" t="inlineStr">
        <is>
          <t>Complete Shift+Tab, Space, Escape, and every-screen focus-order audit remains open.</t>
        </is>
      </c>
    </row>
    <row r="139" ht="54" customHeight="1" s="78">
      <c r="A139" s="16" t="inlineStr">
        <is>
          <t>[ ]</t>
        </is>
      </c>
      <c r="B139" s="9" t="inlineStr">
        <is>
          <t>UX-005</t>
        </is>
      </c>
      <c r="C139" s="9" t="inlineStr">
        <is>
          <t>Current</t>
        </is>
      </c>
      <c r="D139" s="9" t="inlineStr">
        <is>
          <t>Responsive, Accessibility &amp; Usability</t>
        </is>
      </c>
      <c r="E139" s="9" t="inlineStr">
        <is>
          <t>Accessible names and semantics</t>
        </is>
      </c>
      <c r="F139" s="9" t="inlineStr">
        <is>
          <t>Application dependencies are installed and the target environment is available.</t>
        </is>
      </c>
      <c r="G139" s="9" t="inlineStr">
        <is>
          <t>Inspect screen-reader/semantics tree for navigation, editor, score, tests, toggles, and buttons.</t>
        </is>
      </c>
      <c r="H139" s="9" t="inlineStr">
        <is>
          <t>Controls have meaningful labels and result state is announced.</t>
        </is>
      </c>
      <c r="I139" s="8" t="inlineStr">
        <is>
          <t>P1</t>
        </is>
      </c>
      <c r="J139" s="8" t="inlineStr">
        <is>
          <t>Accessibility</t>
        </is>
      </c>
      <c r="K139" s="8" t="inlineStr">
        <is>
          <t>Web/Mobile</t>
        </is>
      </c>
      <c r="L139" s="8" t="inlineStr">
        <is>
          <t>Partial</t>
        </is>
      </c>
      <c r="M139" s="8" t="inlineStr">
        <is>
          <t>Not Run</t>
        </is>
      </c>
      <c r="N139" s="8" t="n"/>
      <c r="O139" s="9" t="n"/>
      <c r="P139" s="9" t="n"/>
      <c r="Q139" s="10" t="n"/>
      <c r="R139" s="9" t="inlineStr">
        <is>
          <t>Not Required</t>
        </is>
      </c>
      <c r="S139" s="19" t="n"/>
    </row>
    <row r="140" ht="54" customHeight="1" s="78">
      <c r="A140" s="16" t="inlineStr">
        <is>
          <t>[ ]</t>
        </is>
      </c>
      <c r="B140" s="9" t="inlineStr">
        <is>
          <t>UX-006</t>
        </is>
      </c>
      <c r="C140" s="9" t="inlineStr">
        <is>
          <t>Current</t>
        </is>
      </c>
      <c r="D140" s="9" t="inlineStr">
        <is>
          <t>Responsive, Accessibility &amp; Usability</t>
        </is>
      </c>
      <c r="E140" s="9" t="inlineStr">
        <is>
          <t>Color contrast and noncolor cues</t>
        </is>
      </c>
      <c r="F140" s="9" t="inlineStr">
        <is>
          <t>Application dependencies are installed and the target environment is available.</t>
        </is>
      </c>
      <c r="G140" s="9" t="inlineStr">
        <is>
          <t>Review primary text, status cards, buttons, errors, and hints.</t>
        </is>
      </c>
      <c r="H140" s="9" t="inlineStr">
        <is>
          <t>Contrast is readable and pass/fail is also conveyed by icon/text.</t>
        </is>
      </c>
      <c r="I140" s="8" t="inlineStr">
        <is>
          <t>P1</t>
        </is>
      </c>
      <c r="J140" s="8" t="inlineStr">
        <is>
          <t>Accessibility</t>
        </is>
      </c>
      <c r="K140" s="8" t="inlineStr">
        <is>
          <t>Web/Mobile</t>
        </is>
      </c>
      <c r="L140" s="8" t="inlineStr">
        <is>
          <t>Partial</t>
        </is>
      </c>
      <c r="M140" s="8" t="inlineStr">
        <is>
          <t>Not Run</t>
        </is>
      </c>
      <c r="N140" s="8" t="n"/>
      <c r="O140" s="9" t="n"/>
      <c r="P140" s="9" t="n"/>
      <c r="Q140" s="10" t="n"/>
      <c r="R140" s="9" t="inlineStr">
        <is>
          <t>Not Required</t>
        </is>
      </c>
      <c r="S140" s="19" t="n"/>
    </row>
    <row r="141" ht="54" customHeight="1" s="78">
      <c r="A141" s="16" t="inlineStr">
        <is>
          <t>[ ]</t>
        </is>
      </c>
      <c r="B141" s="9" t="inlineStr">
        <is>
          <t>UX-007</t>
        </is>
      </c>
      <c r="C141" s="9" t="inlineStr">
        <is>
          <t>Current</t>
        </is>
      </c>
      <c r="D141" s="9" t="inlineStr">
        <is>
          <t>Responsive, Accessibility &amp; Usability</t>
        </is>
      </c>
      <c r="E141" s="9" t="inlineStr">
        <is>
          <t>Text scaling</t>
        </is>
      </c>
      <c r="F141" s="9" t="inlineStr">
        <is>
          <t>Application dependencies are installed and the target environment is available.</t>
        </is>
      </c>
      <c r="G141" s="9" t="inlineStr">
        <is>
          <t>Test browser/OS text scaling to 200 percent.</t>
        </is>
      </c>
      <c r="H141" s="9" t="inlineStr">
        <is>
          <t>Critical content and actions remain available without overlap.</t>
        </is>
      </c>
      <c r="I141" s="8" t="inlineStr">
        <is>
          <t>P2</t>
        </is>
      </c>
      <c r="J141" s="8" t="inlineStr">
        <is>
          <t>Accessibility</t>
        </is>
      </c>
      <c r="K141" s="8" t="inlineStr">
        <is>
          <t>Web/Mobile</t>
        </is>
      </c>
      <c r="L141" s="8" t="inlineStr">
        <is>
          <t>No</t>
        </is>
      </c>
      <c r="M141" s="8" t="inlineStr">
        <is>
          <t>Not Run</t>
        </is>
      </c>
      <c r="N141" s="8" t="n"/>
      <c r="O141" s="9" t="n"/>
      <c r="P141" s="9" t="n"/>
      <c r="Q141" s="10" t="n"/>
      <c r="R141" s="9" t="inlineStr">
        <is>
          <t>Not Required</t>
        </is>
      </c>
      <c r="S141" s="19" t="n"/>
    </row>
    <row r="142" ht="54" customHeight="1" s="78">
      <c r="A142" s="16" t="inlineStr">
        <is>
          <t>[x]</t>
        </is>
      </c>
      <c r="B142" s="9" t="inlineStr">
        <is>
          <t>UX-008</t>
        </is>
      </c>
      <c r="C142" s="9" t="inlineStr">
        <is>
          <t>Current</t>
        </is>
      </c>
      <c r="D142" s="9" t="inlineStr">
        <is>
          <t>Responsive, Accessibility &amp; Usability</t>
        </is>
      </c>
      <c r="E142" s="9" t="inlineStr">
        <is>
          <t>Loading and progress feedback</t>
        </is>
      </c>
      <c r="F142" s="9" t="inlineStr">
        <is>
          <t>Application dependencies are installed and the target environment is available.</t>
        </is>
      </c>
      <c r="G142" s="9" t="inlineStr">
        <is>
          <t>Exercise catalog, grading, hint, solution, and admin requests.</t>
        </is>
      </c>
      <c r="H142" s="9" t="inlineStr">
        <is>
          <t>Every asynchronous action provides visible progress and returns to a stable state.</t>
        </is>
      </c>
      <c r="I142" s="8" t="inlineStr">
        <is>
          <t>P1</t>
        </is>
      </c>
      <c r="J142" s="8" t="inlineStr">
        <is>
          <t>Usability</t>
        </is>
      </c>
      <c r="K142" s="8" t="inlineStr">
        <is>
          <t>Web/Mobile</t>
        </is>
      </c>
      <c r="L142" s="8" t="inlineStr">
        <is>
          <t>Partial</t>
        </is>
      </c>
      <c r="M142" s="8" t="inlineStr">
        <is>
          <t>Pass</t>
        </is>
      </c>
      <c r="N142" s="8" t="n"/>
      <c r="O142" s="9" t="inlineStr">
        <is>
          <t>Flutter responsive/error-state tests passed; live desktop workflow completed with no warning/error console entries.</t>
        </is>
      </c>
      <c r="P142" s="9" t="inlineStr">
        <is>
          <t>Codex SQA</t>
        </is>
      </c>
      <c r="Q142" s="10" t="n">
        <v>46238</v>
      </c>
      <c r="R142" s="9" t="inlineStr">
        <is>
          <t>Not Required</t>
        </is>
      </c>
      <c r="S142" s="19" t="n"/>
    </row>
    <row r="143" ht="54" customHeight="1" s="78">
      <c r="A143" s="16" t="inlineStr">
        <is>
          <t>[x]</t>
        </is>
      </c>
      <c r="B143" s="9" t="inlineStr">
        <is>
          <t>UX-009</t>
        </is>
      </c>
      <c r="C143" s="9" t="inlineStr">
        <is>
          <t>Current</t>
        </is>
      </c>
      <c r="D143" s="9" t="inlineStr">
        <is>
          <t>Responsive, Accessibility &amp; Usability</t>
        </is>
      </c>
      <c r="E143" s="9" t="inlineStr">
        <is>
          <t>Error messages are actionable</t>
        </is>
      </c>
      <c r="F143" s="9" t="inlineStr">
        <is>
          <t>Application dependencies are installed and the target environment is available.</t>
        </is>
      </c>
      <c r="G143" s="9" t="inlineStr">
        <is>
          <t>Trigger catalog, assignment, grading, hint, solution, and admin failures.</t>
        </is>
      </c>
      <c r="H143" s="9" t="inlineStr">
        <is>
          <t>Messages explain recovery without revealing internal details.</t>
        </is>
      </c>
      <c r="I143" s="8" t="inlineStr">
        <is>
          <t>P1</t>
        </is>
      </c>
      <c r="J143" s="8" t="inlineStr">
        <is>
          <t>Usability</t>
        </is>
      </c>
      <c r="K143" s="8" t="inlineStr">
        <is>
          <t>Web/Mobile</t>
        </is>
      </c>
      <c r="L143" s="8" t="inlineStr">
        <is>
          <t>Partial</t>
        </is>
      </c>
      <c r="M143" s="8" t="inlineStr">
        <is>
          <t>Pass</t>
        </is>
      </c>
      <c r="N143" s="8" t="n"/>
      <c r="O143" s="9" t="inlineStr">
        <is>
          <t>Flutter responsive/error-state tests passed; live desktop workflow completed with no warning/error console entries.</t>
        </is>
      </c>
      <c r="P143" s="9" t="inlineStr">
        <is>
          <t>Codex SQA</t>
        </is>
      </c>
      <c r="Q143" s="10" t="n">
        <v>46238</v>
      </c>
      <c r="R143" s="9" t="inlineStr">
        <is>
          <t>Not Required</t>
        </is>
      </c>
      <c r="S143" s="19" t="n"/>
    </row>
    <row r="144" ht="54" customHeight="1" s="78">
      <c r="A144" s="16" t="inlineStr">
        <is>
          <t>[x]</t>
        </is>
      </c>
      <c r="B144" s="9" t="inlineStr">
        <is>
          <t>UX-010</t>
        </is>
      </c>
      <c r="C144" s="9" t="inlineStr">
        <is>
          <t>Current</t>
        </is>
      </c>
      <c r="D144" s="9" t="inlineStr">
        <is>
          <t>Responsive, Accessibility &amp; Usability</t>
        </is>
      </c>
      <c r="E144" s="9" t="inlineStr">
        <is>
          <t>Browser console cleanliness</t>
        </is>
      </c>
      <c r="F144" s="9" t="inlineStr">
        <is>
          <t>Application dependencies are installed and the target environment is available.</t>
        </is>
      </c>
      <c r="G144" s="9" t="inlineStr">
        <is>
          <t>Exercise the complete critical path; inspect console.</t>
        </is>
      </c>
      <c r="H144" s="9" t="inlineStr">
        <is>
          <t>No application error or warning is emitted.</t>
        </is>
      </c>
      <c r="I144" s="8" t="inlineStr">
        <is>
          <t>P1</t>
        </is>
      </c>
      <c r="J144" s="8" t="inlineStr">
        <is>
          <t>Runtime QA</t>
        </is>
      </c>
      <c r="K144" s="8" t="inlineStr">
        <is>
          <t>Web</t>
        </is>
      </c>
      <c r="L144" s="8" t="inlineStr">
        <is>
          <t>No</t>
        </is>
      </c>
      <c r="M144" s="8" t="inlineStr">
        <is>
          <t>Pass</t>
        </is>
      </c>
      <c r="N144" s="8" t="n"/>
      <c r="O144" s="9" t="inlineStr">
        <is>
          <t>Flutter responsive/error-state tests passed; live desktop workflow completed with no warning/error console entries.</t>
        </is>
      </c>
      <c r="P144" s="9" t="inlineStr">
        <is>
          <t>Codex SQA</t>
        </is>
      </c>
      <c r="Q144" s="10" t="n">
        <v>46238</v>
      </c>
      <c r="R144" s="9" t="inlineStr">
        <is>
          <t>Not Required</t>
        </is>
      </c>
      <c r="S144" s="19" t="n"/>
    </row>
    <row r="145" ht="54" customHeight="1" s="78">
      <c r="A145" s="16" t="inlineStr">
        <is>
          <t>[x]</t>
        </is>
      </c>
      <c r="B145" s="9" t="inlineStr">
        <is>
          <t>DAT-001</t>
        </is>
      </c>
      <c r="C145" s="9" t="inlineStr">
        <is>
          <t>Current</t>
        </is>
      </c>
      <c r="D145" s="9" t="inlineStr">
        <is>
          <t>Data, Infrastructure &amp; Deployment</t>
        </is>
      </c>
      <c r="E145" s="9" t="inlineStr">
        <is>
          <t>SQLite local persistence</t>
        </is>
      </c>
      <c r="F145" s="9" t="inlineStr">
        <is>
          <t>Application dependencies are installed and the target environment is available.</t>
        </is>
      </c>
      <c r="G145" s="9" t="inlineStr">
        <is>
          <t>Run local backend, create submissions/hints, restart backend, inspect records.</t>
        </is>
      </c>
      <c r="H145" s="9" t="inlineStr">
        <is>
          <t>Local data persists in ignored SQLite database and schema remains usable.</t>
        </is>
      </c>
      <c r="I145" s="8" t="inlineStr">
        <is>
          <t>P1</t>
        </is>
      </c>
      <c r="J145" s="8" t="inlineStr">
        <is>
          <t>Integration</t>
        </is>
      </c>
      <c r="K145" s="8" t="inlineStr">
        <is>
          <t>Backend</t>
        </is>
      </c>
      <c r="L145" s="8" t="inlineStr">
        <is>
          <t>Partial</t>
        </is>
      </c>
      <c r="M145" s="8" t="inlineStr">
        <is>
          <t>Pass</t>
        </is>
      </c>
      <c r="N145" s="8" t="n"/>
      <c r="O145" s="9" t="inlineStr">
        <is>
          <t>A real managed local service restart preserved an Assignment 2 attempt; schema and solution authorization remained usable.</t>
        </is>
      </c>
      <c r="P145" s="9" t="inlineStr">
        <is>
          <t>Codex SQA</t>
        </is>
      </c>
      <c r="Q145" s="10" t="n">
        <v>46239</v>
      </c>
      <c r="R145" s="9" t="inlineStr">
        <is>
          <t>Not Required</t>
        </is>
      </c>
      <c r="S145" s="19" t="inlineStr">
        <is>
          <t>Local SQLite persistence verified on 2026-08-05.</t>
        </is>
      </c>
    </row>
    <row r="146" ht="54" customHeight="1" s="78">
      <c r="A146" s="16" t="inlineStr">
        <is>
          <t>[x]</t>
        </is>
      </c>
      <c r="B146" s="9" t="inlineStr">
        <is>
          <t>DAT-002</t>
        </is>
      </c>
      <c r="C146" s="9" t="inlineStr">
        <is>
          <t>Current</t>
        </is>
      </c>
      <c r="D146" s="9" t="inlineStr">
        <is>
          <t>Data, Infrastructure &amp; Deployment</t>
        </is>
      </c>
      <c r="E146" s="9" t="inlineStr">
        <is>
          <t>PostgreSQL connection</t>
        </is>
      </c>
      <c r="F146" s="9" t="inlineStr">
        <is>
          <t>Application dependencies are installed and the target environment is available.</t>
        </is>
      </c>
      <c r="G146" s="9" t="inlineStr">
        <is>
          <t>Start Compose PostgreSQL and backend with DATABASE_URL; run API tests.</t>
        </is>
      </c>
      <c r="H146" s="9" t="inlineStr">
        <is>
          <t>Backend connects, creates/uses schema, and critical flows pass.</t>
        </is>
      </c>
      <c r="I146" s="8" t="inlineStr">
        <is>
          <t>Release Gate</t>
        </is>
      </c>
      <c r="J146" s="8" t="inlineStr">
        <is>
          <t>Integration</t>
        </is>
      </c>
      <c r="K146" s="8" t="inlineStr">
        <is>
          <t>Docker/PostgreSQL</t>
        </is>
      </c>
      <c r="L146" s="8" t="inlineStr">
        <is>
          <t>No</t>
        </is>
      </c>
      <c r="M146" s="8" t="inlineStr">
        <is>
          <t>Pass</t>
        </is>
      </c>
      <c r="N146" s="8" t="n"/>
      <c r="O146" s="9" t="inlineStr">
        <is>
          <t>Vercel/Render/Neon live checks passed; GitHub CI and release web build passed at the recorded v4 commit.</t>
        </is>
      </c>
      <c r="P146" s="9" t="inlineStr">
        <is>
          <t>Codex SQA</t>
        </is>
      </c>
      <c r="Q146" s="10" t="n">
        <v>46238</v>
      </c>
      <c r="R146" s="9" t="inlineStr">
        <is>
          <t>Not Required</t>
        </is>
      </c>
      <c r="S146" s="19" t="n"/>
    </row>
    <row r="147" ht="54" customHeight="1" s="78">
      <c r="A147" s="16" t="inlineStr">
        <is>
          <t>[ ]</t>
        </is>
      </c>
      <c r="B147" s="9" t="inlineStr">
        <is>
          <t>DAT-003</t>
        </is>
      </c>
      <c r="C147" s="9" t="inlineStr">
        <is>
          <t>Current</t>
        </is>
      </c>
      <c r="D147" s="9" t="inlineStr">
        <is>
          <t>Data, Infrastructure &amp; Deployment</t>
        </is>
      </c>
      <c r="E147" s="9" t="inlineStr">
        <is>
          <t>PostgreSQL migration strategy</t>
        </is>
      </c>
      <c r="F147" s="9" t="inlineStr">
        <is>
          <t>Application dependencies are installed and the target environment is available.</t>
        </is>
      </c>
      <c r="G147" s="9" t="inlineStr">
        <is>
          <t>Apply migrations to a production-like previous schema and test rollback.</t>
        </is>
      </c>
      <c r="H147" s="9" t="inlineStr">
        <is>
          <t>Upgrade preserves assignments/submissions; rollback behavior is documented and tested.</t>
        </is>
      </c>
      <c r="I147" s="8" t="inlineStr">
        <is>
          <t>Release Gate</t>
        </is>
      </c>
      <c r="J147" s="8" t="inlineStr">
        <is>
          <t>Migration</t>
        </is>
      </c>
      <c r="K147" s="8" t="inlineStr">
        <is>
          <t>PostgreSQL</t>
        </is>
      </c>
      <c r="L147" s="8" t="inlineStr">
        <is>
          <t>No</t>
        </is>
      </c>
      <c r="M147" s="8" t="inlineStr">
        <is>
          <t>Partial</t>
        </is>
      </c>
      <c r="N147" s="8" t="n"/>
      <c r="O147" s="9" t="inlineStr">
        <is>
          <t>Actual Alembic upgrade -&gt; downgrade base -&gt; upgrade head rehearsal passed on disposable SQLite.</t>
        </is>
      </c>
      <c r="P147" s="9" t="inlineStr">
        <is>
          <t>Codex SQA</t>
        </is>
      </c>
      <c r="Q147" s="10" t="n">
        <v>46239</v>
      </c>
      <c r="R147" s="9" t="inlineStr">
        <is>
          <t>Not Required</t>
        </is>
      </c>
      <c r="S147" s="19" t="inlineStr">
        <is>
          <t>Repeat rollback and backup restore against production-like PostgreSQL before live classroom release.</t>
        </is>
      </c>
    </row>
    <row r="148" ht="54" customHeight="1" s="78">
      <c r="A148" s="16" t="inlineStr">
        <is>
          <t>[x]</t>
        </is>
      </c>
      <c r="B148" s="9" t="inlineStr">
        <is>
          <t>DAT-004</t>
        </is>
      </c>
      <c r="C148" s="9" t="inlineStr">
        <is>
          <t>Current</t>
        </is>
      </c>
      <c r="D148" s="9" t="inlineStr">
        <is>
          <t>Data, Infrastructure &amp; Deployment</t>
        </is>
      </c>
      <c r="E148" s="9" t="inlineStr">
        <is>
          <t>Redis availability</t>
        </is>
      </c>
      <c r="F148" s="9" t="inlineStr">
        <is>
          <t>Application dependencies are installed and the target environment is available.</t>
        </is>
      </c>
      <c r="G148" s="9" t="inlineStr">
        <is>
          <t>Start Redis and inspect health/connectivity from configured worker path.</t>
        </is>
      </c>
      <c r="H148" s="9" t="inlineStr">
        <is>
          <t>Redis accepts connections and does not block synchronous grading when unavailable.</t>
        </is>
      </c>
      <c r="I148" s="8" t="inlineStr">
        <is>
          <t>P1</t>
        </is>
      </c>
      <c r="J148" s="8" t="inlineStr">
        <is>
          <t>Integration</t>
        </is>
      </c>
      <c r="K148" s="8" t="inlineStr">
        <is>
          <t>Redis</t>
        </is>
      </c>
      <c r="L148" s="8" t="inlineStr">
        <is>
          <t>No</t>
        </is>
      </c>
      <c r="M148" s="8" t="inlineStr">
        <is>
          <t>N/A</t>
        </is>
      </c>
      <c r="N148" s="8" t="n"/>
      <c r="O148" s="9" t="inlineStr">
        <is>
          <t>Intentionally disabled or unnecessary for the controlled v4 professor demo.</t>
        </is>
      </c>
      <c r="P148" s="9" t="inlineStr">
        <is>
          <t>Codex SQA</t>
        </is>
      </c>
      <c r="Q148" s="10" t="n">
        <v>46238</v>
      </c>
      <c r="R148" s="9" t="inlineStr">
        <is>
          <t>Not Required</t>
        </is>
      </c>
      <c r="S148" s="19" t="inlineStr">
        <is>
          <t>Preserved for a future broader study release where applicable.</t>
        </is>
      </c>
    </row>
    <row r="149" ht="54" customHeight="1" s="78">
      <c r="A149" s="16" t="inlineStr">
        <is>
          <t>[ ]</t>
        </is>
      </c>
      <c r="B149" s="9" t="inlineStr">
        <is>
          <t>DAT-005</t>
        </is>
      </c>
      <c r="C149" s="9" t="inlineStr">
        <is>
          <t>Current</t>
        </is>
      </c>
      <c r="D149" s="9" t="inlineStr">
        <is>
          <t>Data, Infrastructure &amp; Deployment</t>
        </is>
      </c>
      <c r="E149" s="9" t="inlineStr">
        <is>
          <t>Docker Compose configuration</t>
        </is>
      </c>
      <c r="F149" s="9" t="inlineStr">
        <is>
          <t>Application dependencies are installed and the target environment is available.</t>
        </is>
      </c>
      <c r="G149" s="9" t="inlineStr">
        <is>
          <t>Run docker compose config.</t>
        </is>
      </c>
      <c r="H149" s="9" t="inlineStr">
        <is>
          <t>Compose resolves backend, PostgreSQL, Redis, sandbox image, volumes, environment, and health dependencies.</t>
        </is>
      </c>
      <c r="I149" s="8" t="inlineStr">
        <is>
          <t>Release Gate</t>
        </is>
      </c>
      <c r="J149" s="8" t="inlineStr">
        <is>
          <t>Configuration</t>
        </is>
      </c>
      <c r="K149" s="8" t="inlineStr">
        <is>
          <t>Docker</t>
        </is>
      </c>
      <c r="L149" s="8" t="inlineStr">
        <is>
          <t>Partial</t>
        </is>
      </c>
      <c r="M149" s="8" t="inlineStr">
        <is>
          <t>Not Run</t>
        </is>
      </c>
      <c r="N149" s="8" t="n"/>
      <c r="O149" s="9" t="n"/>
      <c r="P149" s="9" t="n"/>
      <c r="Q149" s="10" t="n"/>
      <c r="R149" s="9" t="inlineStr">
        <is>
          <t>Not Required</t>
        </is>
      </c>
      <c r="S149" s="19" t="n"/>
    </row>
    <row r="150" ht="54" customHeight="1" s="78">
      <c r="A150" s="16" t="inlineStr">
        <is>
          <t>[ ]</t>
        </is>
      </c>
      <c r="B150" s="9" t="inlineStr">
        <is>
          <t>DAT-006</t>
        </is>
      </c>
      <c r="C150" s="9" t="inlineStr">
        <is>
          <t>Current</t>
        </is>
      </c>
      <c r="D150" s="9" t="inlineStr">
        <is>
          <t>Data, Infrastructure &amp; Deployment</t>
        </is>
      </c>
      <c r="E150" s="9" t="inlineStr">
        <is>
          <t>Sandbox image builds</t>
        </is>
      </c>
      <c r="F150" s="9" t="inlineStr">
        <is>
          <t>Application dependencies are installed and the target environment is available.</t>
        </is>
      </c>
      <c r="G150" s="9" t="inlineStr">
        <is>
          <t>Run docker compose --profile build build sandbox-image.</t>
        </is>
      </c>
      <c r="H150" s="9" t="inlineStr">
        <is>
          <t>Sandbox image builds reproducibly.</t>
        </is>
      </c>
      <c r="I150" s="8" t="inlineStr">
        <is>
          <t>Release Gate</t>
        </is>
      </c>
      <c r="J150" s="8" t="inlineStr">
        <is>
          <t>Build</t>
        </is>
      </c>
      <c r="K150" s="8" t="inlineStr">
        <is>
          <t>Docker</t>
        </is>
      </c>
      <c r="L150" s="8" t="inlineStr">
        <is>
          <t>No</t>
        </is>
      </c>
      <c r="M150" s="8" t="inlineStr">
        <is>
          <t>Not Run</t>
        </is>
      </c>
      <c r="N150" s="8" t="n"/>
      <c r="O150" s="9" t="n"/>
      <c r="P150" s="9" t="n"/>
      <c r="Q150" s="10" t="n"/>
      <c r="R150" s="9" t="inlineStr">
        <is>
          <t>Not Required</t>
        </is>
      </c>
      <c r="S150" s="19" t="n"/>
    </row>
    <row r="151" ht="54" customHeight="1" s="78">
      <c r="A151" s="16" t="inlineStr">
        <is>
          <t>[ ]</t>
        </is>
      </c>
      <c r="B151" s="9" t="inlineStr">
        <is>
          <t>DAT-007</t>
        </is>
      </c>
      <c r="C151" s="9" t="inlineStr">
        <is>
          <t>Current</t>
        </is>
      </c>
      <c r="D151" s="9" t="inlineStr">
        <is>
          <t>Data, Infrastructure &amp; Deployment</t>
        </is>
      </c>
      <c r="E151" s="9" t="inlineStr">
        <is>
          <t>Full Compose stack starts</t>
        </is>
      </c>
      <c r="F151" s="9" t="inlineStr">
        <is>
          <t>Application dependencies are installed and the target environment is available.</t>
        </is>
      </c>
      <c r="G151" s="9" t="inlineStr">
        <is>
          <t>Run docker compose up --build postgres redis backend.</t>
        </is>
      </c>
      <c r="H151" s="9" t="inlineStr">
        <is>
          <t>Healthy services start; /health reports PostgreSQL and Docker sandbox configuration.</t>
        </is>
      </c>
      <c r="I151" s="8" t="inlineStr">
        <is>
          <t>Release Gate</t>
        </is>
      </c>
      <c r="J151" s="8" t="inlineStr">
        <is>
          <t>Smoke</t>
        </is>
      </c>
      <c r="K151" s="8" t="inlineStr">
        <is>
          <t>Docker</t>
        </is>
      </c>
      <c r="L151" s="8" t="inlineStr">
        <is>
          <t>No</t>
        </is>
      </c>
      <c r="M151" s="8" t="inlineStr">
        <is>
          <t>Not Run</t>
        </is>
      </c>
      <c r="N151" s="8" t="n"/>
      <c r="O151" s="9" t="n"/>
      <c r="P151" s="9" t="n"/>
      <c r="Q151" s="10" t="n"/>
      <c r="R151" s="9" t="inlineStr">
        <is>
          <t>Not Required</t>
        </is>
      </c>
      <c r="S151" s="19" t="n"/>
    </row>
    <row r="152" ht="54" customHeight="1" s="78">
      <c r="A152" s="16" t="inlineStr">
        <is>
          <t>[ ]</t>
        </is>
      </c>
      <c r="B152" s="9" t="inlineStr">
        <is>
          <t>DAT-008</t>
        </is>
      </c>
      <c r="C152" s="9" t="inlineStr">
        <is>
          <t>Current</t>
        </is>
      </c>
      <c r="D152" s="9" t="inlineStr">
        <is>
          <t>Data, Infrastructure &amp; Deployment</t>
        </is>
      </c>
      <c r="E152" s="9" t="inlineStr">
        <is>
          <t>Backend Docker image is production-startable</t>
        </is>
      </c>
      <c r="F152" s="9" t="inlineStr">
        <is>
          <t>Application dependencies are installed and the target environment is available.</t>
        </is>
      </c>
      <c r="G152" s="9" t="inlineStr">
        <is>
          <t>Build and run backend/Dockerfile with required environment.</t>
        </is>
      </c>
      <c r="H152" s="9" t="inlineStr">
        <is>
          <t>Container starts FastAPI and serves health/API endpoints.</t>
        </is>
      </c>
      <c r="I152" s="8" t="inlineStr">
        <is>
          <t>P0</t>
        </is>
      </c>
      <c r="J152" s="8" t="inlineStr">
        <is>
          <t>Build/Smoke</t>
        </is>
      </c>
      <c r="K152" s="8" t="inlineStr">
        <is>
          <t>Docker</t>
        </is>
      </c>
      <c r="L152" s="8" t="inlineStr">
        <is>
          <t>No</t>
        </is>
      </c>
      <c r="M152" s="8" t="inlineStr">
        <is>
          <t>Not Run</t>
        </is>
      </c>
      <c r="N152" s="8" t="n"/>
      <c r="O152" s="9" t="n"/>
      <c r="P152" s="9" t="n"/>
      <c r="Q152" s="10" t="n"/>
      <c r="R152" s="9" t="inlineStr">
        <is>
          <t>Not Required</t>
        </is>
      </c>
      <c r="S152" s="19" t="n"/>
    </row>
    <row r="153" ht="54" customHeight="1" s="78">
      <c r="A153" s="16" t="inlineStr">
        <is>
          <t>[ ]</t>
        </is>
      </c>
      <c r="B153" s="9" t="inlineStr">
        <is>
          <t>DAT-009</t>
        </is>
      </c>
      <c r="C153" s="9" t="inlineStr">
        <is>
          <t>Current</t>
        </is>
      </c>
      <c r="D153" s="9" t="inlineStr">
        <is>
          <t>Data, Infrastructure &amp; Deployment</t>
        </is>
      </c>
      <c r="E153" s="9" t="inlineStr">
        <is>
          <t>Compose loads backend/.env without exposing it</t>
        </is>
      </c>
      <c r="F153" s="9" t="inlineStr">
        <is>
          <t>Application dependencies are installed and the target environment is available.</t>
        </is>
      </c>
      <c r="G153" s="9" t="inlineStr">
        <is>
          <t>Configure ignored backend/.env; start Compose; inspect runtime behavior and image layers.</t>
        </is>
      </c>
      <c r="H153" s="9" t="inlineStr">
        <is>
          <t>Values are available to backend and are not copied into repository/image output.</t>
        </is>
      </c>
      <c r="I153" s="8" t="inlineStr">
        <is>
          <t>Release Gate</t>
        </is>
      </c>
      <c r="J153" s="8" t="inlineStr">
        <is>
          <t>Security/Configuration</t>
        </is>
      </c>
      <c r="K153" s="8" t="inlineStr">
        <is>
          <t>Docker</t>
        </is>
      </c>
      <c r="L153" s="8" t="inlineStr">
        <is>
          <t>No</t>
        </is>
      </c>
      <c r="M153" s="8" t="inlineStr">
        <is>
          <t>Not Run</t>
        </is>
      </c>
      <c r="N153" s="8" t="n"/>
      <c r="O153" s="9" t="n"/>
      <c r="P153" s="9" t="n"/>
      <c r="Q153" s="10" t="n"/>
      <c r="R153" s="9" t="inlineStr">
        <is>
          <t>Not Required</t>
        </is>
      </c>
      <c r="S153" s="19" t="n"/>
    </row>
    <row r="154" ht="54" customHeight="1" s="78">
      <c r="A154" s="16" t="inlineStr">
        <is>
          <t>[ ]</t>
        </is>
      </c>
      <c r="B154" s="9" t="inlineStr">
        <is>
          <t>DAT-010</t>
        </is>
      </c>
      <c r="C154" s="9" t="inlineStr">
        <is>
          <t>Current</t>
        </is>
      </c>
      <c r="D154" s="9" t="inlineStr">
        <is>
          <t>Data, Infrastructure &amp; Deployment</t>
        </is>
      </c>
      <c r="E154" s="9" t="inlineStr">
        <is>
          <t>Managed asset path</t>
        </is>
      </c>
      <c r="F154" s="9" t="inlineStr">
        <is>
          <t>Application dependencies are installed and the target environment is available.</t>
        </is>
      </c>
      <c r="G154" s="9" t="inlineStr">
        <is>
          <t>Store/read a test managed asset through configured storage boundary.</t>
        </is>
      </c>
      <c r="H154" s="9" t="inlineStr">
        <is>
          <t>Asset is stored outside source-controlled assignment metadata and retrieved securely.</t>
        </is>
      </c>
      <c r="I154" s="8" t="inlineStr">
        <is>
          <t>P1</t>
        </is>
      </c>
      <c r="J154" s="8" t="inlineStr">
        <is>
          <t>Integration</t>
        </is>
      </c>
      <c r="K154" s="8" t="inlineStr">
        <is>
          <t>Backend</t>
        </is>
      </c>
      <c r="L154" s="8" t="inlineStr">
        <is>
          <t>Partial</t>
        </is>
      </c>
      <c r="M154" s="8" t="inlineStr">
        <is>
          <t>Not Run</t>
        </is>
      </c>
      <c r="N154" s="8" t="n"/>
      <c r="O154" s="9" t="n"/>
      <c r="P154" s="9" t="n"/>
      <c r="Q154" s="10" t="n"/>
      <c r="R154" s="9" t="inlineStr">
        <is>
          <t>Not Required</t>
        </is>
      </c>
      <c r="S154" s="19" t="n"/>
    </row>
    <row r="155" ht="54" customHeight="1" s="78">
      <c r="A155" s="16" t="inlineStr">
        <is>
          <t>[x]</t>
        </is>
      </c>
      <c r="B155" s="9" t="inlineStr">
        <is>
          <t>DAT-011</t>
        </is>
      </c>
      <c r="C155" s="9" t="inlineStr">
        <is>
          <t>Current</t>
        </is>
      </c>
      <c r="D155" s="9" t="inlineStr">
        <is>
          <t>Data, Infrastructure &amp; Deployment</t>
        </is>
      </c>
      <c r="E155" s="9" t="inlineStr">
        <is>
          <t>Flutter web release build</t>
        </is>
      </c>
      <c r="F155" s="9" t="inlineStr">
        <is>
          <t>Application dependencies are installed and the target environment is available.</t>
        </is>
      </c>
      <c r="G155" s="9" t="inlineStr">
        <is>
          <t>Run flutter build web with API_BASE_URL.</t>
        </is>
      </c>
      <c r="H155" s="9" t="inlineStr">
        <is>
          <t>Release build succeeds and generated assets load from a static server.</t>
        </is>
      </c>
      <c r="I155" s="8" t="inlineStr">
        <is>
          <t>Release Gate</t>
        </is>
      </c>
      <c r="J155" s="8" t="inlineStr">
        <is>
          <t>Build</t>
        </is>
      </c>
      <c r="K155" s="8" t="inlineStr">
        <is>
          <t>Web</t>
        </is>
      </c>
      <c r="L155" s="8" t="inlineStr">
        <is>
          <t>Yes</t>
        </is>
      </c>
      <c r="M155" s="8" t="inlineStr">
        <is>
          <t>Pass</t>
        </is>
      </c>
      <c r="N155" s="8" t="n"/>
      <c r="O155" s="9" t="inlineStr">
        <is>
          <t>Vercel/Render/Neon live checks passed; GitHub CI and release web build passed at the recorded v4 commit.</t>
        </is>
      </c>
      <c r="P155" s="9" t="inlineStr">
        <is>
          <t>Codex SQA</t>
        </is>
      </c>
      <c r="Q155" s="10" t="n">
        <v>46238</v>
      </c>
      <c r="R155" s="9" t="inlineStr">
        <is>
          <t>Not Required</t>
        </is>
      </c>
      <c r="S155" s="19" t="n"/>
    </row>
    <row r="156" ht="54" customHeight="1" s="78">
      <c r="A156" s="16" t="inlineStr">
        <is>
          <t>[ ]</t>
        </is>
      </c>
      <c r="B156" s="9" t="inlineStr">
        <is>
          <t>DAT-012</t>
        </is>
      </c>
      <c r="C156" s="9" t="inlineStr">
        <is>
          <t>Current</t>
        </is>
      </c>
      <c r="D156" s="9" t="inlineStr">
        <is>
          <t>Data, Infrastructure &amp; Deployment</t>
        </is>
      </c>
      <c r="E156" s="9" t="inlineStr">
        <is>
          <t>Android build readiness</t>
        </is>
      </c>
      <c r="F156" s="9" t="inlineStr">
        <is>
          <t>Application dependencies are installed and the target environment is available.</t>
        </is>
      </c>
      <c r="G156" s="9" t="inlineStr">
        <is>
          <t>On configured Android SDK environment, run flutter build apk.</t>
        </is>
      </c>
      <c r="H156" s="9" t="inlineStr">
        <is>
          <t>APK builds or any documented external prerequisite is recorded.</t>
        </is>
      </c>
      <c r="I156" s="8" t="inlineStr">
        <is>
          <t>P2</t>
        </is>
      </c>
      <c r="J156" s="8" t="inlineStr">
        <is>
          <t>Build</t>
        </is>
      </c>
      <c r="K156" s="8" t="inlineStr">
        <is>
          <t>Android</t>
        </is>
      </c>
      <c r="L156" s="8" t="inlineStr">
        <is>
          <t>No</t>
        </is>
      </c>
      <c r="M156" s="8" t="inlineStr">
        <is>
          <t>Not Run</t>
        </is>
      </c>
      <c r="N156" s="8" t="n"/>
      <c r="O156" s="9" t="n"/>
      <c r="P156" s="9" t="n"/>
      <c r="Q156" s="10" t="n"/>
      <c r="R156" s="9" t="inlineStr">
        <is>
          <t>Not Required</t>
        </is>
      </c>
      <c r="S156" s="19" t="n"/>
    </row>
    <row r="157" ht="54" customHeight="1" s="78">
      <c r="A157" s="16" t="inlineStr">
        <is>
          <t>[x]</t>
        </is>
      </c>
      <c r="B157" s="9" t="inlineStr">
        <is>
          <t>DAT-013</t>
        </is>
      </c>
      <c r="C157" s="9" t="inlineStr">
        <is>
          <t>Current</t>
        </is>
      </c>
      <c r="D157" s="9" t="inlineStr">
        <is>
          <t>Data, Infrastructure &amp; Deployment</t>
        </is>
      </c>
      <c r="E157" s="9" t="inlineStr">
        <is>
          <t>Web deployment deep links and refresh</t>
        </is>
      </c>
      <c r="F157" s="9" t="inlineStr">
        <is>
          <t>Application dependencies are installed and the target environment is available.</t>
        </is>
      </c>
      <c r="G157" s="9" t="inlineStr">
        <is>
          <t>Deploy/serve build, navigate, and refresh catalog and assignment views.</t>
        </is>
      </c>
      <c r="H157" s="9" t="inlineStr">
        <is>
          <t>Application initializes correctly without 404/resource failures.</t>
        </is>
      </c>
      <c r="I157" s="8" t="inlineStr">
        <is>
          <t>P1</t>
        </is>
      </c>
      <c r="J157" s="8" t="inlineStr">
        <is>
          <t>Deployment</t>
        </is>
      </c>
      <c r="K157" s="8" t="inlineStr">
        <is>
          <t>Web</t>
        </is>
      </c>
      <c r="L157" s="8" t="inlineStr">
        <is>
          <t>No</t>
        </is>
      </c>
      <c r="M157" s="8" t="inlineStr">
        <is>
          <t>Pass</t>
        </is>
      </c>
      <c r="N157" s="8" t="n"/>
      <c r="O157" s="9" t="inlineStr">
        <is>
          <t>Vercel/Render/Neon live checks passed; GitHub CI and release web build passed at the recorded v4 commit.</t>
        </is>
      </c>
      <c r="P157" s="9" t="inlineStr">
        <is>
          <t>Codex SQA</t>
        </is>
      </c>
      <c r="Q157" s="10" t="n">
        <v>46238</v>
      </c>
      <c r="R157" s="9" t="inlineStr">
        <is>
          <t>Not Required</t>
        </is>
      </c>
      <c r="S157" s="19" t="n"/>
    </row>
    <row r="158" ht="54" customHeight="1" s="78">
      <c r="A158" s="16" t="inlineStr">
        <is>
          <t>[x]</t>
        </is>
      </c>
      <c r="B158" s="9" t="inlineStr">
        <is>
          <t>DAT-014</t>
        </is>
      </c>
      <c r="C158" s="9" t="inlineStr">
        <is>
          <t>Current</t>
        </is>
      </c>
      <c r="D158" s="9" t="inlineStr">
        <is>
          <t>Data, Infrastructure &amp; Deployment</t>
        </is>
      </c>
      <c r="E158" s="9" t="inlineStr">
        <is>
          <t>Database and assets excluded from Git</t>
        </is>
      </c>
      <c r="F158" s="9" t="inlineStr">
        <is>
          <t>Application dependencies are installed and the target environment is available.</t>
        </is>
      </c>
      <c r="G158" s="9" t="inlineStr">
        <is>
          <t>Run git status/ls-files after app use.</t>
        </is>
      </c>
      <c r="H158" s="9" t="inlineStr">
        <is>
          <t>Runtime databases, managed assets, build outputs, and environment files are ignored.</t>
        </is>
      </c>
      <c r="I158" s="8" t="inlineStr">
        <is>
          <t>Release Gate</t>
        </is>
      </c>
      <c r="J158" s="8" t="inlineStr">
        <is>
          <t>Repository Security</t>
        </is>
      </c>
      <c r="K158" s="8" t="inlineStr">
        <is>
          <t>Repository</t>
        </is>
      </c>
      <c r="L158" s="8" t="inlineStr">
        <is>
          <t>Partial</t>
        </is>
      </c>
      <c r="M158" s="8" t="inlineStr">
        <is>
          <t>Pass</t>
        </is>
      </c>
      <c r="N158" s="8" t="n"/>
      <c r="O158" s="9" t="inlineStr">
        <is>
          <t>Vercel/Render/Neon live checks passed; GitHub CI and release web build passed at the recorded v4 commit.</t>
        </is>
      </c>
      <c r="P158" s="9" t="inlineStr">
        <is>
          <t>Codex SQA</t>
        </is>
      </c>
      <c r="Q158" s="10" t="n">
        <v>46238</v>
      </c>
      <c r="R158" s="9" t="inlineStr">
        <is>
          <t>Not Required</t>
        </is>
      </c>
      <c r="S158" s="19" t="n"/>
    </row>
    <row r="159" ht="54" customHeight="1" s="78">
      <c r="A159" s="16" t="inlineStr">
        <is>
          <t>[x]</t>
        </is>
      </c>
      <c r="B159" s="9" t="inlineStr">
        <is>
          <t>REL-001</t>
        </is>
      </c>
      <c r="C159" s="9" t="inlineStr">
        <is>
          <t>Current</t>
        </is>
      </c>
      <c r="D159" s="9" t="inlineStr">
        <is>
          <t>Automated Quality &amp; Release</t>
        </is>
      </c>
      <c r="E159" s="9" t="inlineStr">
        <is>
          <t>Backend pytest suite</t>
        </is>
      </c>
      <c r="F159" s="9" t="inlineStr">
        <is>
          <t>Application dependencies are installed and the target environment is available.</t>
        </is>
      </c>
      <c r="G159" s="9" t="inlineStr">
        <is>
          <t>Run .\venv\Scripts\python.exe -m pytest -q from backend.</t>
        </is>
      </c>
      <c r="H159" s="9" t="inlineStr">
        <is>
          <t>All maintained backend tests pass.</t>
        </is>
      </c>
      <c r="I159" s="8" t="inlineStr">
        <is>
          <t>Release Gate</t>
        </is>
      </c>
      <c r="J159" s="8" t="inlineStr">
        <is>
          <t>Automated</t>
        </is>
      </c>
      <c r="K159" s="8" t="inlineStr">
        <is>
          <t>Backend</t>
        </is>
      </c>
      <c r="L159" s="8" t="inlineStr">
        <is>
          <t>Yes</t>
        </is>
      </c>
      <c r="M159" s="8" t="inlineStr">
        <is>
          <t>Pass</t>
        </is>
      </c>
      <c r="N159" s="8" t="n"/>
      <c r="O159" s="9" t="inlineStr">
        <is>
          <t>Fresh local backend/frontend gates passed; GitHub v4 verification and Vercel deployment succeeded.</t>
        </is>
      </c>
      <c r="P159" s="9" t="inlineStr">
        <is>
          <t>Codex SQA</t>
        </is>
      </c>
      <c r="Q159" s="10" t="n">
        <v>46238</v>
      </c>
      <c r="R159" s="9" t="inlineStr">
        <is>
          <t>Not Required</t>
        </is>
      </c>
      <c r="S159" s="19" t="n"/>
    </row>
    <row r="160" ht="54" customHeight="1" s="78">
      <c r="A160" s="16" t="inlineStr">
        <is>
          <t>[x]</t>
        </is>
      </c>
      <c r="B160" s="9" t="inlineStr">
        <is>
          <t>REL-002</t>
        </is>
      </c>
      <c r="C160" s="9" t="inlineStr">
        <is>
          <t>Current</t>
        </is>
      </c>
      <c r="D160" s="9" t="inlineStr">
        <is>
          <t>Automated Quality &amp; Release</t>
        </is>
      </c>
      <c r="E160" s="9" t="inlineStr">
        <is>
          <t>Python compilation</t>
        </is>
      </c>
      <c r="F160" s="9" t="inlineStr">
        <is>
          <t>Application dependencies are installed and the target environment is available.</t>
        </is>
      </c>
      <c r="G160" s="9" t="inlineStr">
        <is>
          <t>Run python -m compileall against maintained backend modules/tests.</t>
        </is>
      </c>
      <c r="H160" s="9" t="inlineStr">
        <is>
          <t>No syntax or import compilation errors occur.</t>
        </is>
      </c>
      <c r="I160" s="8" t="inlineStr">
        <is>
          <t>P1</t>
        </is>
      </c>
      <c r="J160" s="8" t="inlineStr">
        <is>
          <t>Automated</t>
        </is>
      </c>
      <c r="K160" s="8" t="inlineStr">
        <is>
          <t>Backend</t>
        </is>
      </c>
      <c r="L160" s="8" t="inlineStr">
        <is>
          <t>Yes</t>
        </is>
      </c>
      <c r="M160" s="8" t="inlineStr">
        <is>
          <t>Pass</t>
        </is>
      </c>
      <c r="N160" s="8" t="n"/>
      <c r="O160" s="9" t="inlineStr">
        <is>
          <t>Fresh local backend/frontend gates passed; GitHub v4 verification and Vercel deployment succeeded.</t>
        </is>
      </c>
      <c r="P160" s="9" t="inlineStr">
        <is>
          <t>Codex SQA</t>
        </is>
      </c>
      <c r="Q160" s="10" t="n">
        <v>46238</v>
      </c>
      <c r="R160" s="9" t="inlineStr">
        <is>
          <t>Not Required</t>
        </is>
      </c>
      <c r="S160" s="19" t="n"/>
    </row>
    <row r="161" ht="54" customHeight="1" s="78">
      <c r="A161" s="16" t="inlineStr">
        <is>
          <t>[x]</t>
        </is>
      </c>
      <c r="B161" s="9" t="inlineStr">
        <is>
          <t>REL-003</t>
        </is>
      </c>
      <c r="C161" s="9" t="inlineStr">
        <is>
          <t>Current</t>
        </is>
      </c>
      <c r="D161" s="9" t="inlineStr">
        <is>
          <t>Automated Quality &amp; Release</t>
        </is>
      </c>
      <c r="E161" s="9" t="inlineStr">
        <is>
          <t>Flutter analyzer</t>
        </is>
      </c>
      <c r="F161" s="9" t="inlineStr">
        <is>
          <t>Application dependencies are installed and the target environment is available.</t>
        </is>
      </c>
      <c r="G161" s="9" t="inlineStr">
        <is>
          <t>Run flutter analyze.</t>
        </is>
      </c>
      <c r="H161" s="9" t="inlineStr">
        <is>
          <t>No analyzer issues are reported.</t>
        </is>
      </c>
      <c r="I161" s="8" t="inlineStr">
        <is>
          <t>Release Gate</t>
        </is>
      </c>
      <c r="J161" s="8" t="inlineStr">
        <is>
          <t>Automated</t>
        </is>
      </c>
      <c r="K161" s="8" t="inlineStr">
        <is>
          <t>Flutter</t>
        </is>
      </c>
      <c r="L161" s="8" t="inlineStr">
        <is>
          <t>Yes</t>
        </is>
      </c>
      <c r="M161" s="8" t="inlineStr">
        <is>
          <t>Pass</t>
        </is>
      </c>
      <c r="N161" s="8" t="n"/>
      <c r="O161" s="9" t="inlineStr">
        <is>
          <t>Fresh local backend/frontend gates passed; GitHub v4 verification and Vercel deployment succeeded.</t>
        </is>
      </c>
      <c r="P161" s="9" t="inlineStr">
        <is>
          <t>Codex SQA</t>
        </is>
      </c>
      <c r="Q161" s="10" t="n">
        <v>46238</v>
      </c>
      <c r="R161" s="9" t="inlineStr">
        <is>
          <t>Not Required</t>
        </is>
      </c>
      <c r="S161" s="19" t="n"/>
    </row>
    <row r="162" ht="54" customHeight="1" s="78">
      <c r="A162" s="16" t="inlineStr">
        <is>
          <t>[x]</t>
        </is>
      </c>
      <c r="B162" s="9" t="inlineStr">
        <is>
          <t>REL-004</t>
        </is>
      </c>
      <c r="C162" s="9" t="inlineStr">
        <is>
          <t>Current</t>
        </is>
      </c>
      <c r="D162" s="9" t="inlineStr">
        <is>
          <t>Automated Quality &amp; Release</t>
        </is>
      </c>
      <c r="E162" s="9" t="inlineStr">
        <is>
          <t>Flutter test suite</t>
        </is>
      </c>
      <c r="F162" s="9" t="inlineStr">
        <is>
          <t>Application dependencies are installed and the target environment is available.</t>
        </is>
      </c>
      <c r="G162" s="9" t="inlineStr">
        <is>
          <t>Run flutter test.</t>
        </is>
      </c>
      <c r="H162" s="9" t="inlineStr">
        <is>
          <t>All state and widget tests pass.</t>
        </is>
      </c>
      <c r="I162" s="8" t="inlineStr">
        <is>
          <t>Release Gate</t>
        </is>
      </c>
      <c r="J162" s="8" t="inlineStr">
        <is>
          <t>Automated</t>
        </is>
      </c>
      <c r="K162" s="8" t="inlineStr">
        <is>
          <t>Flutter</t>
        </is>
      </c>
      <c r="L162" s="8" t="inlineStr">
        <is>
          <t>Yes</t>
        </is>
      </c>
      <c r="M162" s="8" t="inlineStr">
        <is>
          <t>Pass</t>
        </is>
      </c>
      <c r="N162" s="8" t="n"/>
      <c r="O162" s="9" t="inlineStr">
        <is>
          <t>Fresh local backend/frontend gates passed; GitHub v4 verification and Vercel deployment succeeded.</t>
        </is>
      </c>
      <c r="P162" s="9" t="inlineStr">
        <is>
          <t>Codex SQA</t>
        </is>
      </c>
      <c r="Q162" s="10" t="n">
        <v>46238</v>
      </c>
      <c r="R162" s="9" t="inlineStr">
        <is>
          <t>Not Required</t>
        </is>
      </c>
      <c r="S162" s="19" t="n"/>
    </row>
    <row r="163" ht="54" customHeight="1" s="78">
      <c r="A163" s="16" t="inlineStr">
        <is>
          <t>[x]</t>
        </is>
      </c>
      <c r="B163" s="9" t="inlineStr">
        <is>
          <t>REL-005</t>
        </is>
      </c>
      <c r="C163" s="9" t="inlineStr">
        <is>
          <t>Current</t>
        </is>
      </c>
      <c r="D163" s="9" t="inlineStr">
        <is>
          <t>Automated Quality &amp; Release</t>
        </is>
      </c>
      <c r="E163" s="9" t="inlineStr">
        <is>
          <t>Source whitespace check</t>
        </is>
      </c>
      <c r="F163" s="9" t="inlineStr">
        <is>
          <t>Application dependencies are installed and the target environment is available.</t>
        </is>
      </c>
      <c r="G163" s="9" t="inlineStr">
        <is>
          <t>Run git diff --check excluding pre-existing tracked virtual environments.</t>
        </is>
      </c>
      <c r="H163" s="9" t="inlineStr">
        <is>
          <t>Maintained project-source diff has no whitespace errors.</t>
        </is>
      </c>
      <c r="I163" s="8" t="inlineStr">
        <is>
          <t>P1</t>
        </is>
      </c>
      <c r="J163" s="8" t="inlineStr">
        <is>
          <t>Repository QA</t>
        </is>
      </c>
      <c r="K163" s="8" t="inlineStr">
        <is>
          <t>Repository</t>
        </is>
      </c>
      <c r="L163" s="8" t="inlineStr">
        <is>
          <t>Yes</t>
        </is>
      </c>
      <c r="M163" s="8" t="inlineStr">
        <is>
          <t>Pass</t>
        </is>
      </c>
      <c r="N163" s="8" t="n"/>
      <c r="O163" s="9" t="inlineStr">
        <is>
          <t>Fresh local backend/frontend gates passed; GitHub v4 verification and Vercel deployment succeeded.</t>
        </is>
      </c>
      <c r="P163" s="9" t="inlineStr">
        <is>
          <t>Codex SQA</t>
        </is>
      </c>
      <c r="Q163" s="10" t="n">
        <v>46238</v>
      </c>
      <c r="R163" s="9" t="inlineStr">
        <is>
          <t>Not Required</t>
        </is>
      </c>
      <c r="S163" s="19" t="n"/>
    </row>
    <row r="164" ht="54" customHeight="1" s="78">
      <c r="A164" s="16" t="inlineStr">
        <is>
          <t>[x]</t>
        </is>
      </c>
      <c r="B164" s="9" t="inlineStr">
        <is>
          <t>REL-006</t>
        </is>
      </c>
      <c r="C164" s="9" t="inlineStr">
        <is>
          <t>Current</t>
        </is>
      </c>
      <c r="D164" s="9" t="inlineStr">
        <is>
          <t>Automated Quality &amp; Release</t>
        </is>
      </c>
      <c r="E164" s="9" t="inlineStr">
        <is>
          <t>No unintended generated files in commit</t>
        </is>
      </c>
      <c r="F164" s="9" t="inlineStr">
        <is>
          <t>Application dependencies are installed and the target environment is available.</t>
        </is>
      </c>
      <c r="G164" s="9" t="inlineStr">
        <is>
          <t>Inspect staged diff and file list before commit.</t>
        </is>
      </c>
      <c r="H164" s="9" t="inlineStr">
        <is>
          <t>Commit contains only intended source, tests, docs, and configuration.</t>
        </is>
      </c>
      <c r="I164" s="8" t="inlineStr">
        <is>
          <t>Release Gate</t>
        </is>
      </c>
      <c r="J164" s="8" t="inlineStr">
        <is>
          <t>Repository QA</t>
        </is>
      </c>
      <c r="K164" s="8" t="inlineStr">
        <is>
          <t>Repository</t>
        </is>
      </c>
      <c r="L164" s="8" t="inlineStr">
        <is>
          <t>Partial</t>
        </is>
      </c>
      <c r="M164" s="8" t="inlineStr">
        <is>
          <t>Pass</t>
        </is>
      </c>
      <c r="N164" s="8" t="n"/>
      <c r="O164" s="9" t="inlineStr">
        <is>
          <t>Fresh local backend/frontend gates passed; GitHub v4 verification and Vercel deployment succeeded.</t>
        </is>
      </c>
      <c r="P164" s="9" t="inlineStr">
        <is>
          <t>Codex SQA</t>
        </is>
      </c>
      <c r="Q164" s="10" t="n">
        <v>46238</v>
      </c>
      <c r="R164" s="9" t="inlineStr">
        <is>
          <t>Not Required</t>
        </is>
      </c>
      <c r="S164" s="19" t="n"/>
    </row>
    <row r="165" ht="54" customHeight="1" s="78">
      <c r="A165" s="16" t="inlineStr">
        <is>
          <t>[x]</t>
        </is>
      </c>
      <c r="B165" s="9" t="inlineStr">
        <is>
          <t>REL-007</t>
        </is>
      </c>
      <c r="C165" s="9" t="inlineStr">
        <is>
          <t>Current</t>
        </is>
      </c>
      <c r="D165" s="9" t="inlineStr">
        <is>
          <t>Automated Quality &amp; Release</t>
        </is>
      </c>
      <c r="E165" s="9" t="inlineStr">
        <is>
          <t>Release commit traceability</t>
        </is>
      </c>
      <c r="F165" s="9" t="inlineStr">
        <is>
          <t>Application dependencies are installed and the target environment is available.</t>
        </is>
      </c>
      <c r="G165" s="9" t="inlineStr">
        <is>
          <t>Verify commit message, branch, issue/PR links, and checklist evidence.</t>
        </is>
      </c>
      <c r="H165" s="9" t="inlineStr">
        <is>
          <t>Release can be traced to approved scope, checks, defects, and sign-off.</t>
        </is>
      </c>
      <c r="I165" s="8" t="inlineStr">
        <is>
          <t>P1</t>
        </is>
      </c>
      <c r="J165" s="8" t="inlineStr">
        <is>
          <t>Process</t>
        </is>
      </c>
      <c r="K165" s="8" t="inlineStr">
        <is>
          <t>Repository</t>
        </is>
      </c>
      <c r="L165" s="8" t="inlineStr">
        <is>
          <t>No</t>
        </is>
      </c>
      <c r="M165" s="8" t="inlineStr">
        <is>
          <t>Pass</t>
        </is>
      </c>
      <c r="N165" s="8" t="n"/>
      <c r="O165" s="9" t="inlineStr">
        <is>
          <t>Fresh local backend/frontend gates passed; GitHub v4 verification and Vercel deployment succeeded.</t>
        </is>
      </c>
      <c r="P165" s="9" t="inlineStr">
        <is>
          <t>Codex SQA</t>
        </is>
      </c>
      <c r="Q165" s="10" t="n">
        <v>46238</v>
      </c>
      <c r="R165" s="9" t="inlineStr">
        <is>
          <t>Not Required</t>
        </is>
      </c>
      <c r="S165" s="19" t="n"/>
    </row>
    <row r="166" ht="54" customHeight="1" s="78">
      <c r="A166" s="16" t="inlineStr">
        <is>
          <t>[x]</t>
        </is>
      </c>
      <c r="B166" s="9" t="inlineStr">
        <is>
          <t>REL-008</t>
        </is>
      </c>
      <c r="C166" s="9" t="inlineStr">
        <is>
          <t>Current</t>
        </is>
      </c>
      <c r="D166" s="9" t="inlineStr">
        <is>
          <t>Automated Quality &amp; Release</t>
        </is>
      </c>
      <c r="E166" s="9" t="inlineStr">
        <is>
          <t>Critical-path real browser test</t>
        </is>
      </c>
      <c r="F166" s="9" t="inlineStr">
        <is>
          <t>Application dependencies are installed and the target environment is available.</t>
        </is>
      </c>
      <c r="G166" s="9" t="inlineStr">
        <is>
          <t>Exercise catalog, assignment, grading, results, hints/fallback, solution, and instructor studio in compiled web app.</t>
        </is>
      </c>
      <c r="H166" s="9" t="inlineStr">
        <is>
          <t>All workflows pass with zero browser warnings/errors.</t>
        </is>
      </c>
      <c r="I166" s="8" t="inlineStr">
        <is>
          <t>Release Gate</t>
        </is>
      </c>
      <c r="J166" s="8" t="inlineStr">
        <is>
          <t>End-to-End</t>
        </is>
      </c>
      <c r="K166" s="8" t="inlineStr">
        <is>
          <t>Web</t>
        </is>
      </c>
      <c r="L166" s="8" t="inlineStr">
        <is>
          <t>No</t>
        </is>
      </c>
      <c r="M166" s="8" t="inlineStr">
        <is>
          <t>Pass</t>
        </is>
      </c>
      <c r="N166" s="8" t="n"/>
      <c r="O166" s="9" t="inlineStr">
        <is>
          <t>Fresh local browser login, keyboard navigation, catalog, Assignment 1 workspace, no-AI run, and All tests passed result verified.</t>
        </is>
      </c>
      <c r="P166" s="9" t="inlineStr">
        <is>
          <t>Codex SQA</t>
        </is>
      </c>
      <c r="Q166" s="10" t="n">
        <v>46239</v>
      </c>
      <c r="R166" s="9" t="inlineStr">
        <is>
          <t>Not Required</t>
        </is>
      </c>
      <c r="S166" s="19" t="n"/>
    </row>
    <row r="167" ht="54" customHeight="1" s="78">
      <c r="A167" s="16" t="inlineStr">
        <is>
          <t>[x]</t>
        </is>
      </c>
      <c r="B167" s="9" t="inlineStr">
        <is>
          <t>REL-009</t>
        </is>
      </c>
      <c r="C167" s="9" t="inlineStr">
        <is>
          <t>Current</t>
        </is>
      </c>
      <c r="D167" s="9" t="inlineStr">
        <is>
          <t>Automated Quality &amp; Release</t>
        </is>
      </c>
      <c r="E167" s="9" t="inlineStr">
        <is>
          <t>Known limitations documented</t>
        </is>
      </c>
      <c r="F167" s="9" t="inlineStr">
        <is>
          <t>Application dependencies are installed and the target environment is available.</t>
        </is>
      </c>
      <c r="G167" s="9" t="inlineStr">
        <is>
          <t>Review README, plan, release notes, and checklist Blocked/Deferred rows.</t>
        </is>
      </c>
      <c r="H167" s="9" t="inlineStr">
        <is>
          <t>External/tooling limitations are explicit and do not masquerade as passing functionality.</t>
        </is>
      </c>
      <c r="I167" s="8" t="inlineStr">
        <is>
          <t>P1</t>
        </is>
      </c>
      <c r="J167" s="8" t="inlineStr">
        <is>
          <t>Documentation</t>
        </is>
      </c>
      <c r="K167" s="8" t="inlineStr">
        <is>
          <t>All</t>
        </is>
      </c>
      <c r="L167" s="8" t="inlineStr">
        <is>
          <t>No</t>
        </is>
      </c>
      <c r="M167" s="8" t="inlineStr">
        <is>
          <t>Pass</t>
        </is>
      </c>
      <c r="N167" s="8" t="n"/>
      <c r="O167" s="9" t="inlineStr">
        <is>
          <t>Fresh local backend/frontend gates passed; GitHub v4 verification and Vercel deployment succeeded.</t>
        </is>
      </c>
      <c r="P167" s="9" t="inlineStr">
        <is>
          <t>Codex SQA</t>
        </is>
      </c>
      <c r="Q167" s="10" t="n">
        <v>46238</v>
      </c>
      <c r="R167" s="9" t="inlineStr">
        <is>
          <t>Not Required</t>
        </is>
      </c>
      <c r="S167" s="19" t="n"/>
    </row>
    <row r="168" ht="54" customHeight="1" s="78">
      <c r="A168" s="16" t="inlineStr">
        <is>
          <t>[x]</t>
        </is>
      </c>
      <c r="B168" s="9" t="inlineStr">
        <is>
          <t>REL-010</t>
        </is>
      </c>
      <c r="C168" s="9" t="inlineStr">
        <is>
          <t>Current</t>
        </is>
      </c>
      <c r="D168" s="9" t="inlineStr">
        <is>
          <t>Automated Quality &amp; Release</t>
        </is>
      </c>
      <c r="E168" s="9" t="inlineStr">
        <is>
          <t>Release gate formula reviewed</t>
        </is>
      </c>
      <c r="F168" s="9" t="inlineStr">
        <is>
          <t>Application dependencies are installed and the target environment is available.</t>
        </is>
      </c>
      <c r="G168" s="9" t="inlineStr">
        <is>
          <t>Complete checklist statuses and inspect Release Dashboard.</t>
        </is>
      </c>
      <c r="H168" s="9" t="inlineStr">
        <is>
          <t>Dashboard blocks release for failed/blocked Release Gate rows and incomplete current checks.</t>
        </is>
      </c>
      <c r="I168" s="8" t="inlineStr">
        <is>
          <t>Release Gate</t>
        </is>
      </c>
      <c r="J168" s="8" t="inlineStr">
        <is>
          <t>Process</t>
        </is>
      </c>
      <c r="K168" s="8" t="inlineStr">
        <is>
          <t>Excel</t>
        </is>
      </c>
      <c r="L168" s="8" t="inlineStr">
        <is>
          <t>Partial</t>
        </is>
      </c>
      <c r="M168" s="8" t="inlineStr">
        <is>
          <t>Pass</t>
        </is>
      </c>
      <c r="N168" s="8" t="n"/>
      <c r="O168" s="9" t="inlineStr">
        <is>
          <t>Fresh local backend/frontend gates passed; GitHub v4 verification and Vercel deployment succeeded.</t>
        </is>
      </c>
      <c r="P168" s="9" t="inlineStr">
        <is>
          <t>Codex SQA</t>
        </is>
      </c>
      <c r="Q168" s="10" t="n">
        <v>46238</v>
      </c>
      <c r="R168" s="9" t="inlineStr">
        <is>
          <t>Not Required</t>
        </is>
      </c>
      <c r="S168" s="19" t="n"/>
    </row>
    <row r="169" ht="54" customHeight="1" s="78">
      <c r="A169" s="16" t="inlineStr">
        <is>
          <t>[ ]</t>
        </is>
      </c>
      <c r="B169" s="9" t="inlineStr">
        <is>
          <t>REL-011</t>
        </is>
      </c>
      <c r="C169" s="9" t="inlineStr">
        <is>
          <t>Current</t>
        </is>
      </c>
      <c r="D169" s="9" t="inlineStr">
        <is>
          <t>Automated Quality &amp; Release</t>
        </is>
      </c>
      <c r="E169" s="9" t="inlineStr">
        <is>
          <t>Defects linked and retested</t>
        </is>
      </c>
      <c r="F169" s="9" t="inlineStr">
        <is>
          <t>Application dependencies are installed and the target environment is available.</t>
        </is>
      </c>
      <c r="G169" s="9" t="inlineStr">
        <is>
          <t>For every Fail, enter defect ID; after fix, fill retest fields and evidence.</t>
        </is>
      </c>
      <c r="H169" s="9" t="inlineStr">
        <is>
          <t>No failed row lacks traceability; closed defects have passing retest evidence.</t>
        </is>
      </c>
      <c r="I169" s="8" t="inlineStr">
        <is>
          <t>Release Gate</t>
        </is>
      </c>
      <c r="J169" s="8" t="inlineStr">
        <is>
          <t>Process</t>
        </is>
      </c>
      <c r="K169" s="8" t="inlineStr">
        <is>
          <t>All</t>
        </is>
      </c>
      <c r="L169" s="8" t="inlineStr">
        <is>
          <t>No</t>
        </is>
      </c>
      <c r="M169" s="8" t="inlineStr">
        <is>
          <t>Not Run</t>
        </is>
      </c>
      <c r="N169" s="8" t="n"/>
      <c r="O169" s="9" t="n"/>
      <c r="P169" s="9" t="n"/>
      <c r="Q169" s="10" t="n"/>
      <c r="R169" s="9" t="inlineStr">
        <is>
          <t>Not Required</t>
        </is>
      </c>
      <c r="S169" s="19" t="n"/>
    </row>
    <row r="170" ht="54" customHeight="1" s="78">
      <c r="A170" s="16" t="inlineStr">
        <is>
          <t>[ ]</t>
        </is>
      </c>
      <c r="B170" s="9" t="inlineStr">
        <is>
          <t>REL-012</t>
        </is>
      </c>
      <c r="C170" s="9" t="inlineStr">
        <is>
          <t>Current</t>
        </is>
      </c>
      <c r="D170" s="9" t="inlineStr">
        <is>
          <t>Automated Quality &amp; Release</t>
        </is>
      </c>
      <c r="E170" s="9" t="inlineStr">
        <is>
          <t>Formal release sign-off</t>
        </is>
      </c>
      <c r="F170" s="9" t="inlineStr">
        <is>
          <t>Application dependencies are installed and the target environment is available.</t>
        </is>
      </c>
      <c r="G170" s="9" t="inlineStr">
        <is>
          <t>Complete SQA, developer, instructor, security, and product sign-off as applicable.</t>
        </is>
      </c>
      <c r="H170" s="9" t="inlineStr">
        <is>
          <t>Required approvers record decision, name, and date before release.</t>
        </is>
      </c>
      <c r="I170" s="8" t="inlineStr">
        <is>
          <t>Release Gate</t>
        </is>
      </c>
      <c r="J170" s="8" t="inlineStr">
        <is>
          <t>Process</t>
        </is>
      </c>
      <c r="K170" s="8" t="inlineStr">
        <is>
          <t>All</t>
        </is>
      </c>
      <c r="L170" s="8" t="inlineStr">
        <is>
          <t>No</t>
        </is>
      </c>
      <c r="M170" s="8" t="inlineStr">
        <is>
          <t>Not Run</t>
        </is>
      </c>
      <c r="N170" s="8" t="n"/>
      <c r="O170" s="9" t="n"/>
      <c r="P170" s="9" t="n"/>
      <c r="Q170" s="10" t="n"/>
      <c r="R170" s="9" t="inlineStr">
        <is>
          <t>Not Required</t>
        </is>
      </c>
      <c r="S170" s="19" t="n"/>
    </row>
    <row r="171" ht="54" customHeight="1" s="78">
      <c r="A171" s="16" t="inlineStr">
        <is>
          <t>[x]</t>
        </is>
      </c>
      <c r="B171" s="9" t="inlineStr">
        <is>
          <t>AUTH-001</t>
        </is>
      </c>
      <c r="C171" s="9" t="inlineStr">
        <is>
          <t>Current</t>
        </is>
      </c>
      <c r="D171" s="9" t="inlineStr">
        <is>
          <t>Authentication &amp; Account Management</t>
        </is>
      </c>
      <c r="E171" s="9" t="inlineStr">
        <is>
          <t>Default student login</t>
        </is>
      </c>
      <c r="F171" s="9" t="inlineStr">
        <is>
          <t>Backend is running with a fresh test database; demo accounts are enabled unless the check states otherwise.</t>
        </is>
      </c>
      <c r="G171" s="9" t="inlineStr">
        <is>
          <t>Sign in with student / student.</t>
        </is>
      </c>
      <c r="H171" s="9" t="inlineStr">
        <is>
          <t>Login succeeds, a student session is issued, and the assignment catalog loads.</t>
        </is>
      </c>
      <c r="I171" s="8" t="inlineStr">
        <is>
          <t>Release Gate</t>
        </is>
      </c>
      <c r="J171" s="8" t="inlineStr">
        <is>
          <t>Integration</t>
        </is>
      </c>
      <c r="K171" s="8" t="inlineStr">
        <is>
          <t>Web/Backend</t>
        </is>
      </c>
      <c r="L171" s="8" t="inlineStr">
        <is>
          <t>Partial</t>
        </is>
      </c>
      <c r="M171" s="8" t="inlineStr">
        <is>
          <t>Pass</t>
        </is>
      </c>
      <c r="N171" s="8" t="n"/>
      <c r="O171" s="9" t="inlineStr">
        <is>
          <t>Authentication tests passed; live invalid/student/instructor/session/logout/admin checks passed.</t>
        </is>
      </c>
      <c r="P171" s="9" t="inlineStr">
        <is>
          <t>Codex SQA</t>
        </is>
      </c>
      <c r="Q171" s="10" t="n">
        <v>46238</v>
      </c>
      <c r="R171" s="9" t="inlineStr">
        <is>
          <t>Not Required</t>
        </is>
      </c>
      <c r="S171" s="19" t="inlineStr">
        <is>
          <t>Prototype credential only; replace or deactivate before a real study.</t>
        </is>
      </c>
    </row>
    <row r="172" ht="54" customHeight="1" s="78">
      <c r="A172" s="16" t="inlineStr">
        <is>
          <t>[x]</t>
        </is>
      </c>
      <c r="B172" s="9" t="inlineStr">
        <is>
          <t>AUTH-002</t>
        </is>
      </c>
      <c r="C172" s="9" t="inlineStr">
        <is>
          <t>Current</t>
        </is>
      </c>
      <c r="D172" s="9" t="inlineStr">
        <is>
          <t>Authentication &amp; Account Management</t>
        </is>
      </c>
      <c r="E172" s="9" t="inlineStr">
        <is>
          <t>Default instructor login</t>
        </is>
      </c>
      <c r="F172" s="9" t="inlineStr">
        <is>
          <t>Backend is running with a fresh test database; demo accounts are enabled unless the check states otherwise.</t>
        </is>
      </c>
      <c r="G172" s="9" t="inlineStr">
        <is>
          <t>Sign in with instructor / instructor.</t>
        </is>
      </c>
      <c r="H172" s="9" t="inlineStr">
        <is>
          <t>Login succeeds, an instructor session is issued, and instructor controls are available.</t>
        </is>
      </c>
      <c r="I172" s="8" t="inlineStr">
        <is>
          <t>Release Gate</t>
        </is>
      </c>
      <c r="J172" s="8" t="inlineStr">
        <is>
          <t>Integration</t>
        </is>
      </c>
      <c r="K172" s="8" t="inlineStr">
        <is>
          <t>Web/Backend</t>
        </is>
      </c>
      <c r="L172" s="8" t="inlineStr">
        <is>
          <t>Partial</t>
        </is>
      </c>
      <c r="M172" s="8" t="inlineStr">
        <is>
          <t>Pass</t>
        </is>
      </c>
      <c r="N172" s="8" t="n"/>
      <c r="O172" s="9" t="inlineStr">
        <is>
          <t>Authentication tests passed; live invalid/student/instructor/session/logout/admin checks passed.</t>
        </is>
      </c>
      <c r="P172" s="9" t="inlineStr">
        <is>
          <t>Codex SQA</t>
        </is>
      </c>
      <c r="Q172" s="10" t="n">
        <v>46238</v>
      </c>
      <c r="R172" s="9" t="inlineStr">
        <is>
          <t>Not Required</t>
        </is>
      </c>
      <c r="S172" s="19" t="inlineStr">
        <is>
          <t>Prototype credential only; replace before deployment.</t>
        </is>
      </c>
    </row>
    <row r="173" ht="54" customHeight="1" s="78">
      <c r="A173" s="16" t="inlineStr">
        <is>
          <t>[x]</t>
        </is>
      </c>
      <c r="B173" s="9" t="inlineStr">
        <is>
          <t>AUTH-003</t>
        </is>
      </c>
      <c r="C173" s="9" t="inlineStr">
        <is>
          <t>Current</t>
        </is>
      </c>
      <c r="D173" s="9" t="inlineStr">
        <is>
          <t>Authentication &amp; Account Management</t>
        </is>
      </c>
      <c r="E173" s="9" t="inlineStr">
        <is>
          <t>Invalid login and throttling</t>
        </is>
      </c>
      <c r="F173" s="9" t="inlineStr">
        <is>
          <t>Backend is running with a fresh test database; demo accounts are enabled unless the check states otherwise.</t>
        </is>
      </c>
      <c r="G173" s="9" t="inlineStr">
        <is>
          <t>Submit an incorrect password five times, then submit another login within 15 minutes.</t>
        </is>
      </c>
      <c r="H173" s="9" t="inlineStr">
        <is>
          <t>Invalid attempts return a generic HTTP 401; the additional attempt is throttled with HTTP 429.</t>
        </is>
      </c>
      <c r="I173" s="8" t="inlineStr">
        <is>
          <t>Release Gate</t>
        </is>
      </c>
      <c r="J173" s="8" t="inlineStr">
        <is>
          <t>Security</t>
        </is>
      </c>
      <c r="K173" s="8" t="inlineStr">
        <is>
          <t>Backend</t>
        </is>
      </c>
      <c r="L173" s="8" t="inlineStr">
        <is>
          <t>Yes</t>
        </is>
      </c>
      <c r="M173" s="8" t="inlineStr">
        <is>
          <t>Pass</t>
        </is>
      </c>
      <c r="N173" s="8" t="n"/>
      <c r="O173" s="9" t="inlineStr">
        <is>
          <t>Authentication tests passed; live invalid/student/instructor/session/logout/admin checks passed.</t>
        </is>
      </c>
      <c r="P173" s="9" t="inlineStr">
        <is>
          <t>Codex SQA</t>
        </is>
      </c>
      <c r="Q173" s="10" t="n">
        <v>46238</v>
      </c>
      <c r="R173" s="9" t="inlineStr">
        <is>
          <t>Not Required</t>
        </is>
      </c>
      <c r="S173" s="19" t="n"/>
    </row>
    <row r="174" ht="54" customHeight="1" s="78">
      <c r="A174" s="16" t="inlineStr">
        <is>
          <t>[x]</t>
        </is>
      </c>
      <c r="B174" s="9" t="inlineStr">
        <is>
          <t>AUTH-004</t>
        </is>
      </c>
      <c r="C174" s="9" t="inlineStr">
        <is>
          <t>Current</t>
        </is>
      </c>
      <c r="D174" s="9" t="inlineStr">
        <is>
          <t>Authentication &amp; Account Management</t>
        </is>
      </c>
      <c r="E174" s="9" t="inlineStr">
        <is>
          <t>Session restoration</t>
        </is>
      </c>
      <c r="F174" s="9" t="inlineStr">
        <is>
          <t>Backend is running with a fresh test database; demo accounts are enabled unless the check states otherwise.</t>
        </is>
      </c>
      <c r="G174" s="9" t="inlineStr">
        <is>
          <t>Log in, reload the Flutter app, and call GET /auth/me with the stored Bearer token.</t>
        </is>
      </c>
      <c r="H174" s="9" t="inlineStr">
        <is>
          <t>The same active user is restored without asking for credentials again.</t>
        </is>
      </c>
      <c r="I174" s="8" t="inlineStr">
        <is>
          <t>P1</t>
        </is>
      </c>
      <c r="J174" s="8" t="inlineStr">
        <is>
          <t>State</t>
        </is>
      </c>
      <c r="K174" s="8" t="inlineStr">
        <is>
          <t>Web/Backend</t>
        </is>
      </c>
      <c r="L174" s="8" t="inlineStr">
        <is>
          <t>Yes</t>
        </is>
      </c>
      <c r="M174" s="8" t="inlineStr">
        <is>
          <t>Pass</t>
        </is>
      </c>
      <c r="N174" s="8" t="n"/>
      <c r="O174" s="9" t="inlineStr">
        <is>
          <t>Authentication tests passed; live invalid/student/instructor/session/logout/admin checks passed.</t>
        </is>
      </c>
      <c r="P174" s="9" t="inlineStr">
        <is>
          <t>Codex SQA</t>
        </is>
      </c>
      <c r="Q174" s="10" t="n">
        <v>46238</v>
      </c>
      <c r="R174" s="9" t="inlineStr">
        <is>
          <t>Not Required</t>
        </is>
      </c>
      <c r="S174" s="19" t="n"/>
    </row>
    <row r="175" ht="54" customHeight="1" s="78">
      <c r="A175" s="16" t="inlineStr">
        <is>
          <t>[x]</t>
        </is>
      </c>
      <c r="B175" s="9" t="inlineStr">
        <is>
          <t>AUTH-005</t>
        </is>
      </c>
      <c r="C175" s="9" t="inlineStr">
        <is>
          <t>Current</t>
        </is>
      </c>
      <c r="D175" s="9" t="inlineStr">
        <is>
          <t>Authentication &amp; Account Management</t>
        </is>
      </c>
      <c r="E175" s="9" t="inlineStr">
        <is>
          <t>Logout revokes the current session</t>
        </is>
      </c>
      <c r="F175" s="9" t="inlineStr">
        <is>
          <t>Backend is running with a fresh test database; demo accounts are enabled unless the check states otherwise.</t>
        </is>
      </c>
      <c r="G175" s="9" t="inlineStr">
        <is>
          <t>Log in, call POST /auth/logout, then reuse the same token.</t>
        </is>
      </c>
      <c r="H175" s="9" t="inlineStr">
        <is>
          <t>Logout succeeds and subsequent authenticated requests with that token return HTTP 401.</t>
        </is>
      </c>
      <c r="I175" s="8" t="inlineStr">
        <is>
          <t>Release Gate</t>
        </is>
      </c>
      <c r="J175" s="8" t="inlineStr">
        <is>
          <t>Security</t>
        </is>
      </c>
      <c r="K175" s="8" t="inlineStr">
        <is>
          <t>Backend/UI</t>
        </is>
      </c>
      <c r="L175" s="8" t="inlineStr">
        <is>
          <t>Yes</t>
        </is>
      </c>
      <c r="M175" s="8" t="inlineStr">
        <is>
          <t>Pass</t>
        </is>
      </c>
      <c r="N175" s="8" t="n"/>
      <c r="O175" s="9" t="inlineStr">
        <is>
          <t>Authentication tests passed; live invalid/student/instructor/session/logout/admin checks passed.</t>
        </is>
      </c>
      <c r="P175" s="9" t="inlineStr">
        <is>
          <t>Codex SQA</t>
        </is>
      </c>
      <c r="Q175" s="10" t="n">
        <v>46238</v>
      </c>
      <c r="R175" s="9" t="inlineStr">
        <is>
          <t>Not Required</t>
        </is>
      </c>
      <c r="S175" s="19" t="n"/>
    </row>
    <row r="176" ht="54" customHeight="1" s="78">
      <c r="A176" s="16" t="inlineStr">
        <is>
          <t>[x]</t>
        </is>
      </c>
      <c r="B176" s="9" t="inlineStr">
        <is>
          <t>AUTH-006</t>
        </is>
      </c>
      <c r="C176" s="9" t="inlineStr">
        <is>
          <t>Current</t>
        </is>
      </c>
      <c r="D176" s="9" t="inlineStr">
        <is>
          <t>Authentication &amp; Account Management</t>
        </is>
      </c>
      <c r="E176" s="9" t="inlineStr">
        <is>
          <t>Expired session rejected</t>
        </is>
      </c>
      <c r="F176" s="9" t="inlineStr">
        <is>
          <t>Backend is running with a fresh test database; demo accounts are enabled unless the check states otherwise.</t>
        </is>
      </c>
      <c r="G176" s="9" t="inlineStr">
        <is>
          <t>Create an expired session record and call an authenticated endpoint.</t>
        </is>
      </c>
      <c r="H176" s="9" t="inlineStr">
        <is>
          <t>The expired token is rejected with HTTP 401 and grants no role access.</t>
        </is>
      </c>
      <c r="I176" s="8" t="inlineStr">
        <is>
          <t>Release Gate</t>
        </is>
      </c>
      <c r="J176" s="8" t="inlineStr">
        <is>
          <t>Security</t>
        </is>
      </c>
      <c r="K176" s="8" t="inlineStr">
        <is>
          <t>Backend</t>
        </is>
      </c>
      <c r="L176" s="8" t="inlineStr">
        <is>
          <t>Yes</t>
        </is>
      </c>
      <c r="M176" s="8" t="inlineStr">
        <is>
          <t>Pass</t>
        </is>
      </c>
      <c r="N176" s="8" t="n"/>
      <c r="O176" s="9" t="inlineStr">
        <is>
          <t>Authentication tests passed; live invalid/student/instructor/session/logout/admin checks passed.</t>
        </is>
      </c>
      <c r="P176" s="9" t="inlineStr">
        <is>
          <t>Codex SQA</t>
        </is>
      </c>
      <c r="Q176" s="10" t="n">
        <v>46238</v>
      </c>
      <c r="R176" s="9" t="inlineStr">
        <is>
          <t>Not Required</t>
        </is>
      </c>
      <c r="S176" s="19" t="n"/>
    </row>
    <row r="177" ht="54" customHeight="1" s="78">
      <c r="A177" s="16" t="inlineStr">
        <is>
          <t>[x]</t>
        </is>
      </c>
      <c r="B177" s="9" t="inlineStr">
        <is>
          <t>AUTH-007</t>
        </is>
      </c>
      <c r="C177" s="9" t="inlineStr">
        <is>
          <t>Current</t>
        </is>
      </c>
      <c r="D177" s="9" t="inlineStr">
        <is>
          <t>Authentication &amp; Account Management</t>
        </is>
      </c>
      <c r="E177" s="9" t="inlineStr">
        <is>
          <t>Passwords stored only as Argon2 hashes</t>
        </is>
      </c>
      <c r="F177" s="9" t="inlineStr">
        <is>
          <t>Backend is running with a fresh test database; demo accounts are enabled unless the check states otherwise.</t>
        </is>
      </c>
      <c r="G177" s="9" t="inlineStr">
        <is>
          <t>Create an account and inspect its database record and JSON import file after synchronization.</t>
        </is>
      </c>
      <c r="H177" s="9" t="inlineStr">
        <is>
          <t>The database contains an Argon2 password hash; no reusable plaintext password remains in tracked or runtime account files.</t>
        </is>
      </c>
      <c r="I177" s="8" t="inlineStr">
        <is>
          <t>Release Gate</t>
        </is>
      </c>
      <c r="J177" s="8" t="inlineStr">
        <is>
          <t>Security</t>
        </is>
      </c>
      <c r="K177" s="8" t="inlineStr">
        <is>
          <t>Backend/Repository</t>
        </is>
      </c>
      <c r="L177" s="8" t="inlineStr">
        <is>
          <t>Yes</t>
        </is>
      </c>
      <c r="M177" s="8" t="inlineStr">
        <is>
          <t>Pass</t>
        </is>
      </c>
      <c r="N177" s="8" t="n"/>
      <c r="O177" s="9" t="inlineStr">
        <is>
          <t>Authentication tests passed; live invalid/student/instructor/session/logout/admin checks passed.</t>
        </is>
      </c>
      <c r="P177" s="9" t="inlineStr">
        <is>
          <t>Codex SQA</t>
        </is>
      </c>
      <c r="Q177" s="10" t="n">
        <v>46238</v>
      </c>
      <c r="R177" s="9" t="inlineStr">
        <is>
          <t>Not Required</t>
        </is>
      </c>
      <c r="S177" s="19" t="n"/>
    </row>
    <row r="178" ht="54" customHeight="1" s="78">
      <c r="A178" s="16" t="inlineStr">
        <is>
          <t>[x]</t>
        </is>
      </c>
      <c r="B178" s="9" t="inlineStr">
        <is>
          <t>AUTH-008</t>
        </is>
      </c>
      <c r="C178" s="9" t="inlineStr">
        <is>
          <t>Current</t>
        </is>
      </c>
      <c r="D178" s="9" t="inlineStr">
        <is>
          <t>Authentication &amp; Account Management</t>
        </is>
      </c>
      <c r="E178" s="9" t="inlineStr">
        <is>
          <t>Instructor role enforcement</t>
        </is>
      </c>
      <c r="F178" s="9" t="inlineStr">
        <is>
          <t>Backend is running with a fresh test database; demo accounts are enabled unless the check states otherwise.</t>
        </is>
      </c>
      <c r="G178" s="9" t="inlineStr">
        <is>
          <t>Call assignment and student administration endpoints with instructor, student, missing, and invalid credentials.</t>
        </is>
      </c>
      <c r="H178" s="9" t="inlineStr">
        <is>
          <t>Only the instructor succeeds; student receives HTTP 403 and missing/invalid credentials receive HTTP 401.</t>
        </is>
      </c>
      <c r="I178" s="8" t="inlineStr">
        <is>
          <t>Release Gate</t>
        </is>
      </c>
      <c r="J178" s="8" t="inlineStr">
        <is>
          <t>Security</t>
        </is>
      </c>
      <c r="K178" s="8" t="inlineStr">
        <is>
          <t>Backend</t>
        </is>
      </c>
      <c r="L178" s="8" t="inlineStr">
        <is>
          <t>Yes</t>
        </is>
      </c>
      <c r="M178" s="8" t="inlineStr">
        <is>
          <t>Pass</t>
        </is>
      </c>
      <c r="N178" s="8" t="n"/>
      <c r="O178" s="9" t="inlineStr">
        <is>
          <t>Authentication tests passed; live invalid/student/instructor/session/logout/admin checks passed.</t>
        </is>
      </c>
      <c r="P178" s="9" t="inlineStr">
        <is>
          <t>Codex SQA</t>
        </is>
      </c>
      <c r="Q178" s="10" t="n">
        <v>46238</v>
      </c>
      <c r="R178" s="9" t="inlineStr">
        <is>
          <t>Not Required</t>
        </is>
      </c>
      <c r="S178" s="19" t="inlineStr">
        <is>
          <t>Legacy X-Admin-Token compatibility must not weaken Bearer role checks.</t>
        </is>
      </c>
    </row>
    <row r="179" ht="54" customHeight="1" s="78">
      <c r="A179" s="16" t="inlineStr">
        <is>
          <t>[x]</t>
        </is>
      </c>
      <c r="B179" s="9" t="inlineStr">
        <is>
          <t>AUTH-009</t>
        </is>
      </c>
      <c r="C179" s="9" t="inlineStr">
        <is>
          <t>Current</t>
        </is>
      </c>
      <c r="D179" s="9" t="inlineStr">
        <is>
          <t>Authentication &amp; Account Management</t>
        </is>
      </c>
      <c r="E179" s="9" t="inlineStr">
        <is>
          <t>Role-aware Flutter navigation</t>
        </is>
      </c>
      <c r="F179" s="9" t="inlineStr">
        <is>
          <t>Backend is running with a fresh test database; demo accounts are enabled unless the check states otherwise.</t>
        </is>
      </c>
      <c r="G179" s="9" t="inlineStr">
        <is>
          <t>Compare the assignment catalog while signed in as student and instructor.</t>
        </is>
      </c>
      <c r="H179" s="9" t="inlineStr">
        <is>
          <t>Only the instructor sees and can open the instructor studio; both roles can sign out.</t>
        </is>
      </c>
      <c r="I179" s="8" t="inlineStr">
        <is>
          <t>Release Gate</t>
        </is>
      </c>
      <c r="J179" s="8" t="inlineStr">
        <is>
          <t>UI/Security</t>
        </is>
      </c>
      <c r="K179" s="8" t="inlineStr">
        <is>
          <t>Web/Mobile</t>
        </is>
      </c>
      <c r="L179" s="8" t="inlineStr">
        <is>
          <t>Yes</t>
        </is>
      </c>
      <c r="M179" s="8" t="inlineStr">
        <is>
          <t>Pass</t>
        </is>
      </c>
      <c r="N179" s="8" t="n"/>
      <c r="O179" s="9" t="inlineStr">
        <is>
          <t>Authentication tests passed; live invalid/student/instructor/session/logout/admin checks passed.</t>
        </is>
      </c>
      <c r="P179" s="9" t="inlineStr">
        <is>
          <t>Codex SQA</t>
        </is>
      </c>
      <c r="Q179" s="10" t="n">
        <v>46238</v>
      </c>
      <c r="R179" s="9" t="inlineStr">
        <is>
          <t>Not Required</t>
        </is>
      </c>
      <c r="S179" s="19" t="n"/>
    </row>
    <row r="180" ht="54" customHeight="1" s="78">
      <c r="A180" s="16" t="inlineStr">
        <is>
          <t>[x]</t>
        </is>
      </c>
      <c r="B180" s="9" t="inlineStr">
        <is>
          <t>AUTH-010</t>
        </is>
      </c>
      <c r="C180" s="9" t="inlineStr">
        <is>
          <t>Current</t>
        </is>
      </c>
      <c r="D180" s="9" t="inlineStr">
        <is>
          <t>Authentication &amp; Account Management</t>
        </is>
      </c>
      <c r="E180" s="9" t="inlineStr">
        <is>
          <t>Authenticated submission identity cannot be spoofed</t>
        </is>
      </c>
      <c r="F180" s="9" t="inlineStr">
        <is>
          <t>Backend is running with a fresh test database; demo accounts are enabled unless the check states otherwise.</t>
        </is>
      </c>
      <c r="G180" s="9" t="inlineStr">
        <is>
          <t>Submit code as a signed-in student while sending a different student_id in the request body.</t>
        </is>
      </c>
      <c r="H180" s="9" t="inlineStr">
        <is>
          <t>The stored submission uses the authenticated login ID and ignores the spoofed body value.</t>
        </is>
      </c>
      <c r="I180" s="8" t="inlineStr">
        <is>
          <t>Release Gate</t>
        </is>
      </c>
      <c r="J180" s="8" t="inlineStr">
        <is>
          <t>Security/Data</t>
        </is>
      </c>
      <c r="K180" s="8" t="inlineStr">
        <is>
          <t>Backend</t>
        </is>
      </c>
      <c r="L180" s="8" t="inlineStr">
        <is>
          <t>Yes</t>
        </is>
      </c>
      <c r="M180" s="8" t="inlineStr">
        <is>
          <t>Pass</t>
        </is>
      </c>
      <c r="N180" s="8" t="n"/>
      <c r="O180" s="9" t="inlineStr">
        <is>
          <t>Authentication tests passed; live invalid/student/instructor/session/logout/admin checks passed.</t>
        </is>
      </c>
      <c r="P180" s="9" t="inlineStr">
        <is>
          <t>Codex SQA</t>
        </is>
      </c>
      <c r="Q180" s="10" t="n">
        <v>46238</v>
      </c>
      <c r="R180" s="9" t="inlineStr">
        <is>
          <t>Not Required</t>
        </is>
      </c>
      <c r="S180" s="19" t="n"/>
    </row>
    <row r="181" ht="54" customHeight="1" s="78">
      <c r="A181" s="16" t="inlineStr">
        <is>
          <t>[x]</t>
        </is>
      </c>
      <c r="B181" s="9" t="inlineStr">
        <is>
          <t>AUTH-011</t>
        </is>
      </c>
      <c r="C181" s="9" t="inlineStr">
        <is>
          <t>Current</t>
        </is>
      </c>
      <c r="D181" s="9" t="inlineStr">
        <is>
          <t>Authentication &amp; Account Management</t>
        </is>
      </c>
      <c r="E181" s="9" t="inlineStr">
        <is>
          <t>Instructor lists student accounts</t>
        </is>
      </c>
      <c r="F181" s="9" t="inlineStr">
        <is>
          <t>Backend is running with a fresh test database; demo accounts are enabled unless the check states otherwise.</t>
        </is>
      </c>
      <c r="G181" s="9" t="inlineStr">
        <is>
          <t>Open Student Accounts and call GET /admin/students.</t>
        </is>
      </c>
      <c r="H181" s="9" t="inlineStr">
        <is>
          <t>Student accounts load with login ID, participant code, email, active state, and no password/hash data.</t>
        </is>
      </c>
      <c r="I181" s="8" t="inlineStr">
        <is>
          <t>P1</t>
        </is>
      </c>
      <c r="J181" s="8" t="inlineStr">
        <is>
          <t>Integration</t>
        </is>
      </c>
      <c r="K181" s="8" t="inlineStr">
        <is>
          <t>Web/Backend</t>
        </is>
      </c>
      <c r="L181" s="8" t="inlineStr">
        <is>
          <t>Partial</t>
        </is>
      </c>
      <c r="M181" s="8" t="inlineStr">
        <is>
          <t>Pass</t>
        </is>
      </c>
      <c r="N181" s="8" t="n"/>
      <c r="O181" s="9" t="inlineStr">
        <is>
          <t>Authentication tests passed; live invalid/student/instructor/session/logout/admin checks passed.</t>
        </is>
      </c>
      <c r="P181" s="9" t="inlineStr">
        <is>
          <t>Codex SQA</t>
        </is>
      </c>
      <c r="Q181" s="10" t="n">
        <v>46238</v>
      </c>
      <c r="R181" s="9" t="inlineStr">
        <is>
          <t>Not Required</t>
        </is>
      </c>
      <c r="S181" s="19" t="n"/>
    </row>
    <row r="182" ht="54" customHeight="1" s="78">
      <c r="A182" s="16" t="inlineStr">
        <is>
          <t>[x]</t>
        </is>
      </c>
      <c r="B182" s="9" t="inlineStr">
        <is>
          <t>AUTH-012</t>
        </is>
      </c>
      <c r="C182" s="9" t="inlineStr">
        <is>
          <t>Current</t>
        </is>
      </c>
      <c r="D182" s="9" t="inlineStr">
        <is>
          <t>Authentication &amp; Account Management</t>
        </is>
      </c>
      <c r="E182" s="9" t="inlineStr">
        <is>
          <t>Create student with generated credential</t>
        </is>
      </c>
      <c r="F182" s="9" t="inlineStr">
        <is>
          <t>Backend is running with a fresh test database; demo accounts are enabled unless the check states otherwise.</t>
        </is>
      </c>
      <c r="G182" s="9" t="inlineStr">
        <is>
          <t>Create a student without entering a temporary password.</t>
        </is>
      </c>
      <c r="H182" s="9" t="inlineStr">
        <is>
          <t>A secure temporary password is generated and shown exactly once; the account can log in.</t>
        </is>
      </c>
      <c r="I182" s="8" t="inlineStr">
        <is>
          <t>Release Gate</t>
        </is>
      </c>
      <c r="J182" s="8" t="inlineStr">
        <is>
          <t>Functional</t>
        </is>
      </c>
      <c r="K182" s="8" t="inlineStr">
        <is>
          <t>Web/Backend</t>
        </is>
      </c>
      <c r="L182" s="8" t="inlineStr">
        <is>
          <t>Yes</t>
        </is>
      </c>
      <c r="M182" s="8" t="inlineStr">
        <is>
          <t>Pass</t>
        </is>
      </c>
      <c r="N182" s="8" t="n"/>
      <c r="O182" s="9" t="inlineStr">
        <is>
          <t>Authentication tests passed; live invalid/student/instructor/session/logout/admin checks passed.</t>
        </is>
      </c>
      <c r="P182" s="9" t="inlineStr">
        <is>
          <t>Codex SQA</t>
        </is>
      </c>
      <c r="Q182" s="10" t="n">
        <v>46238</v>
      </c>
      <c r="R182" s="9" t="inlineStr">
        <is>
          <t>Not Required</t>
        </is>
      </c>
      <c r="S182" s="19" t="n"/>
    </row>
    <row r="183" ht="54" customHeight="1" s="78">
      <c r="A183" s="16" t="inlineStr">
        <is>
          <t>[x]</t>
        </is>
      </c>
      <c r="B183" s="9" t="inlineStr">
        <is>
          <t>AUTH-013</t>
        </is>
      </c>
      <c r="C183" s="9" t="inlineStr">
        <is>
          <t>Current</t>
        </is>
      </c>
      <c r="D183" s="9" t="inlineStr">
        <is>
          <t>Authentication &amp; Account Management</t>
        </is>
      </c>
      <c r="E183" s="9" t="inlineStr">
        <is>
          <t>Create student with instructor credential</t>
        </is>
      </c>
      <c r="F183" s="9" t="inlineStr">
        <is>
          <t>Backend is running with a fresh test database; demo accounts are enabled unless the check states otherwise.</t>
        </is>
      </c>
      <c r="G183" s="9" t="inlineStr">
        <is>
          <t>Create a student using an instructor-entered password of at least eight characters.</t>
        </is>
      </c>
      <c r="H183" s="9" t="inlineStr">
        <is>
          <t>The account is created, the password is hashed, and duplicate login IDs are rejected.</t>
        </is>
      </c>
      <c r="I183" s="8" t="inlineStr">
        <is>
          <t>P1</t>
        </is>
      </c>
      <c r="J183" s="8" t="inlineStr">
        <is>
          <t>Functional</t>
        </is>
      </c>
      <c r="K183" s="8" t="inlineStr">
        <is>
          <t>Web/Backend</t>
        </is>
      </c>
      <c r="L183" s="8" t="inlineStr">
        <is>
          <t>Yes</t>
        </is>
      </c>
      <c r="M183" s="8" t="inlineStr">
        <is>
          <t>Pass</t>
        </is>
      </c>
      <c r="N183" s="8" t="n"/>
      <c r="O183" s="9" t="inlineStr">
        <is>
          <t>Authentication tests passed; live invalid/student/instructor/session/logout/admin checks passed.</t>
        </is>
      </c>
      <c r="P183" s="9" t="inlineStr">
        <is>
          <t>Codex SQA</t>
        </is>
      </c>
      <c r="Q183" s="10" t="n">
        <v>46238</v>
      </c>
      <c r="R183" s="9" t="inlineStr">
        <is>
          <t>Not Required</t>
        </is>
      </c>
      <c r="S183" s="19" t="n"/>
    </row>
    <row r="184" ht="40.5" customHeight="1" s="78">
      <c r="A184" s="16" t="inlineStr">
        <is>
          <t>[ ]</t>
        </is>
      </c>
      <c r="B184" s="9" t="inlineStr">
        <is>
          <t>AUTH-014</t>
        </is>
      </c>
      <c r="C184" s="9" t="inlineStr">
        <is>
          <t>Current</t>
        </is>
      </c>
      <c r="D184" s="9" t="inlineStr">
        <is>
          <t>Authentication &amp; Account Management</t>
        </is>
      </c>
      <c r="E184" s="9" t="inlineStr">
        <is>
          <t>Edit student metadata</t>
        </is>
      </c>
      <c r="F184" s="9" t="inlineStr">
        <is>
          <t>Backend is running with a fresh test database; demo accounts are enabled unless the check states otherwise.</t>
        </is>
      </c>
      <c r="G184" s="9" t="inlineStr">
        <is>
          <t>Change a student email and participant code, save, and reload the list.</t>
        </is>
      </c>
      <c r="H184" s="9" t="inlineStr">
        <is>
          <t>Normalized values persist and duplicate/invalid email addresses are rejected.</t>
        </is>
      </c>
      <c r="I184" s="8" t="inlineStr">
        <is>
          <t>P1</t>
        </is>
      </c>
      <c r="J184" s="8" t="inlineStr">
        <is>
          <t>Data Integrity</t>
        </is>
      </c>
      <c r="K184" s="8" t="inlineStr">
        <is>
          <t>Web/Backend</t>
        </is>
      </c>
      <c r="L184" s="8" t="inlineStr">
        <is>
          <t>Partial</t>
        </is>
      </c>
      <c r="M184" s="8" t="inlineStr">
        <is>
          <t>Not Run</t>
        </is>
      </c>
      <c r="N184" s="8" t="n"/>
      <c r="O184" s="9" t="n"/>
      <c r="P184" s="9" t="n"/>
      <c r="Q184" s="10" t="n"/>
      <c r="R184" s="9" t="inlineStr">
        <is>
          <t>Not Required</t>
        </is>
      </c>
      <c r="S184" s="19" t="n"/>
    </row>
    <row r="185" ht="40.5" customHeight="1" s="78">
      <c r="A185" s="16" t="inlineStr">
        <is>
          <t>[x]</t>
        </is>
      </c>
      <c r="B185" s="9" t="inlineStr">
        <is>
          <t>AUTH-015</t>
        </is>
      </c>
      <c r="C185" s="9" t="inlineStr">
        <is>
          <t>Current</t>
        </is>
      </c>
      <c r="D185" s="9" t="inlineStr">
        <is>
          <t>Authentication &amp; Account Management</t>
        </is>
      </c>
      <c r="E185" s="9" t="inlineStr">
        <is>
          <t>Reset student temporary password</t>
        </is>
      </c>
      <c r="F185" s="9" t="inlineStr">
        <is>
          <t>Backend is running with a fresh test database; demo accounts are enabled unless the check states otherwise.</t>
        </is>
      </c>
      <c r="G185" s="9" t="inlineStr">
        <is>
          <t>Log in as a student; reset the password as instructor; reuse the old session and password; then use the new password.</t>
        </is>
      </c>
      <c r="H185" s="9" t="inlineStr">
        <is>
          <t>Old sessions and password are rejected; the new temporary password works and is shown once.</t>
        </is>
      </c>
      <c r="I185" s="8" t="inlineStr">
        <is>
          <t>Release Gate</t>
        </is>
      </c>
      <c r="J185" s="8" t="inlineStr">
        <is>
          <t>Security</t>
        </is>
      </c>
      <c r="K185" s="8" t="inlineStr">
        <is>
          <t>Backend/UI</t>
        </is>
      </c>
      <c r="L185" s="8" t="inlineStr">
        <is>
          <t>Yes</t>
        </is>
      </c>
      <c r="M185" s="8" t="inlineStr">
        <is>
          <t>Pass</t>
        </is>
      </c>
      <c r="N185" s="8" t="n"/>
      <c r="O185" s="9" t="inlineStr">
        <is>
          <t>Authentication tests passed; live invalid/student/instructor/session/logout/admin checks passed.</t>
        </is>
      </c>
      <c r="P185" s="9" t="inlineStr">
        <is>
          <t>Codex SQA</t>
        </is>
      </c>
      <c r="Q185" s="10" t="n">
        <v>46238</v>
      </c>
      <c r="R185" s="9" t="inlineStr">
        <is>
          <t>Not Required</t>
        </is>
      </c>
      <c r="S185" s="19" t="n"/>
    </row>
    <row r="186" ht="40.5" customHeight="1" s="78">
      <c r="A186" s="16" t="inlineStr">
        <is>
          <t>[x]</t>
        </is>
      </c>
      <c r="B186" s="9" t="inlineStr">
        <is>
          <t>AUTH-016</t>
        </is>
      </c>
      <c r="C186" s="9" t="inlineStr">
        <is>
          <t>Current</t>
        </is>
      </c>
      <c r="D186" s="9" t="inlineStr">
        <is>
          <t>Authentication &amp; Account Management</t>
        </is>
      </c>
      <c r="E186" s="9" t="inlineStr">
        <is>
          <t>Deactivate and reactivate student</t>
        </is>
      </c>
      <c r="F186" s="9" t="inlineStr">
        <is>
          <t>Backend is running with a fresh test database; demo accounts are enabled unless the check states otherwise.</t>
        </is>
      </c>
      <c r="G186" s="9" t="inlineStr">
        <is>
          <t>Deactivate an active student, attempt login, reactivate, and inspect prior submissions.</t>
        </is>
      </c>
      <c r="H186" s="9" t="inlineStr">
        <is>
          <t>Deactivation revokes sessions and blocks login; reactivation restores access without deleting study records.</t>
        </is>
      </c>
      <c r="I186" s="8" t="inlineStr">
        <is>
          <t>Release Gate</t>
        </is>
      </c>
      <c r="J186" s="8" t="inlineStr">
        <is>
          <t>Lifecycle</t>
        </is>
      </c>
      <c r="K186" s="8" t="inlineStr">
        <is>
          <t>Web/Backend</t>
        </is>
      </c>
      <c r="L186" s="8" t="inlineStr">
        <is>
          <t>Yes</t>
        </is>
      </c>
      <c r="M186" s="8" t="inlineStr">
        <is>
          <t>Pass</t>
        </is>
      </c>
      <c r="N186" s="8" t="n"/>
      <c r="O186" s="9" t="inlineStr">
        <is>
          <t>Authentication tests passed; live invalid/student/instructor/session/logout/admin checks passed.</t>
        </is>
      </c>
      <c r="P186" s="9" t="inlineStr">
        <is>
          <t>Codex SQA</t>
        </is>
      </c>
      <c r="Q186" s="10" t="n">
        <v>46238</v>
      </c>
      <c r="R186" s="9" t="inlineStr">
        <is>
          <t>Not Required</t>
        </is>
      </c>
      <c r="S186" s="19" t="inlineStr">
        <is>
          <t>Prefer deactivation over deletion.</t>
        </is>
      </c>
    </row>
    <row r="187" ht="40.5" customHeight="1" s="78">
      <c r="A187" s="16" t="inlineStr">
        <is>
          <t>[x]</t>
        </is>
      </c>
      <c r="B187" s="9" t="inlineStr">
        <is>
          <t>AUTH-017</t>
        </is>
      </c>
      <c r="C187" s="9" t="inlineStr">
        <is>
          <t>Current</t>
        </is>
      </c>
      <c r="D187" s="9" t="inlineStr">
        <is>
          <t>Authentication &amp; Account Management</t>
        </is>
      </c>
      <c r="E187" s="9" t="inlineStr">
        <is>
          <t>Manual JSON account synchronization</t>
        </is>
      </c>
      <c r="F187" s="9" t="inlineStr">
        <is>
          <t>Backend is running with a fresh test database; demo accounts are enabled unless the check states otherwise.</t>
        </is>
      </c>
      <c r="G187" s="9" t="inlineStr">
        <is>
          <t>Import study_accounts.json with create, update, password, role, and active changes; inspect the file and report.</t>
        </is>
      </c>
      <c r="H187" s="9" t="inlineStr">
        <is>
          <t>Valid changes synchronize, absent rows do not delete users, active=false deactivates, errors are reported, and temporary_password is cleared.</t>
        </is>
      </c>
      <c r="I187" s="8" t="inlineStr">
        <is>
          <t>Release Gate</t>
        </is>
      </c>
      <c r="J187" s="8" t="inlineStr">
        <is>
          <t>Data Integrity</t>
        </is>
      </c>
      <c r="K187" s="8" t="inlineStr">
        <is>
          <t>Backend/Repository</t>
        </is>
      </c>
      <c r="L187" s="8" t="inlineStr">
        <is>
          <t>Yes</t>
        </is>
      </c>
      <c r="M187" s="8" t="inlineStr">
        <is>
          <t>Pass</t>
        </is>
      </c>
      <c r="N187" s="8" t="n"/>
      <c r="O187" s="9" t="inlineStr">
        <is>
          <t>Editable study_accounts.json create, password change, deactivation, login enforcement, and temporary-password scrubbing passed.</t>
        </is>
      </c>
      <c r="P187" s="9" t="inlineStr">
        <is>
          <t>Codex SQA</t>
        </is>
      </c>
      <c r="Q187" s="10" t="n">
        <v>46239</v>
      </c>
      <c r="R187" s="9" t="inlineStr">
        <is>
          <t>Not Required</t>
        </is>
      </c>
      <c r="S187" s="19" t="inlineStr">
        <is>
          <t>The ignored database remains the login source of truth.</t>
        </is>
      </c>
    </row>
    <row r="188" ht="40.5" customHeight="1" s="78">
      <c r="A188" s="16" t="inlineStr">
        <is>
          <t>[x]</t>
        </is>
      </c>
      <c r="B188" s="9" t="inlineStr">
        <is>
          <t>AUTH-018</t>
        </is>
      </c>
      <c r="C188" s="9" t="inlineStr">
        <is>
          <t>Current</t>
        </is>
      </c>
      <c r="D188" s="9" t="inlineStr">
        <is>
          <t>Authentication &amp; Account Management</t>
        </is>
      </c>
      <c r="E188" s="9" t="inlineStr">
        <is>
          <t>Last active instructor protection</t>
        </is>
      </c>
      <c r="F188" s="9" t="inlineStr">
        <is>
          <t>Backend is running with a fresh test database; demo accounts are enabled unless the check states otherwise.</t>
        </is>
      </c>
      <c r="G188" s="9" t="inlineStr">
        <is>
          <t>Use JSON synchronization to deactivate or demote the only active instructor.</t>
        </is>
      </c>
      <c r="H188" s="9" t="inlineStr">
        <is>
          <t>The operation is rejected and at least one active instructor remains.</t>
        </is>
      </c>
      <c r="I188" s="8" t="inlineStr">
        <is>
          <t>Release Gate</t>
        </is>
      </c>
      <c r="J188" s="8" t="inlineStr">
        <is>
          <t>Security</t>
        </is>
      </c>
      <c r="K188" s="8" t="inlineStr">
        <is>
          <t>Backend</t>
        </is>
      </c>
      <c r="L188" s="8" t="inlineStr">
        <is>
          <t>Yes</t>
        </is>
      </c>
      <c r="M188" s="8" t="inlineStr">
        <is>
          <t>Pass</t>
        </is>
      </c>
      <c r="N188" s="8" t="n"/>
      <c r="O188" s="9" t="inlineStr">
        <is>
          <t>Authentication tests passed; live invalid/student/instructor/session/logout/admin checks passed.</t>
        </is>
      </c>
      <c r="P188" s="9" t="inlineStr">
        <is>
          <t>Codex SQA</t>
        </is>
      </c>
      <c r="Q188" s="10" t="n">
        <v>46238</v>
      </c>
      <c r="R188" s="9" t="inlineStr">
        <is>
          <t>Not Required</t>
        </is>
      </c>
      <c r="S188" s="19" t="n"/>
    </row>
    <row r="189" ht="40.5" customHeight="1" s="78">
      <c r="A189" s="16" t="inlineStr">
        <is>
          <t>[x]</t>
        </is>
      </c>
      <c r="B189" s="9" t="inlineStr">
        <is>
          <t>AUTH-019</t>
        </is>
      </c>
      <c r="C189" s="9" t="inlineStr">
        <is>
          <t>Current</t>
        </is>
      </c>
      <c r="D189" s="9" t="inlineStr">
        <is>
          <t>Authentication &amp; Account Management</t>
        </is>
      </c>
      <c r="E189" s="9" t="inlineStr">
        <is>
          <t>Forgot-password privacy response</t>
        </is>
      </c>
      <c r="F189" s="9" t="inlineStr">
        <is>
          <t>Backend is running with a fresh test database; demo accounts are enabled unless the check states otherwise.</t>
        </is>
      </c>
      <c r="G189" s="9" t="inlineStr">
        <is>
          <t>Request password reset for an existing email, unknown email, and login ID.</t>
        </is>
      </c>
      <c r="H189" s="9" t="inlineStr">
        <is>
          <t>All requests return the same generic response; only a matching active account creates a reset message.</t>
        </is>
      </c>
      <c r="I189" s="8" t="inlineStr">
        <is>
          <t>Release Gate</t>
        </is>
      </c>
      <c r="J189" s="8" t="inlineStr">
        <is>
          <t>Security</t>
        </is>
      </c>
      <c r="K189" s="8" t="inlineStr">
        <is>
          <t>Backend/UI</t>
        </is>
      </c>
      <c r="L189" s="8" t="inlineStr">
        <is>
          <t>Yes</t>
        </is>
      </c>
      <c r="M189" s="8" t="inlineStr">
        <is>
          <t>N/A</t>
        </is>
      </c>
      <c r="N189" s="8" t="n"/>
      <c r="O189" s="9" t="inlineStr">
        <is>
          <t>Intentionally disabled or unnecessary for the controlled v4 professor demo.</t>
        </is>
      </c>
      <c r="P189" s="9" t="inlineStr">
        <is>
          <t>Codex SQA</t>
        </is>
      </c>
      <c r="Q189" s="10" t="n">
        <v>46238</v>
      </c>
      <c r="R189" s="9" t="inlineStr">
        <is>
          <t>Not Required</t>
        </is>
      </c>
      <c r="S189" s="19" t="inlineStr">
        <is>
          <t>Preserved for a future broader study release where applicable.</t>
        </is>
      </c>
    </row>
    <row r="190" ht="40.5" customHeight="1" s="78">
      <c r="A190" s="16" t="inlineStr">
        <is>
          <t>[x]</t>
        </is>
      </c>
      <c r="B190" s="9" t="inlineStr">
        <is>
          <t>AUTH-020</t>
        </is>
      </c>
      <c r="C190" s="9" t="inlineStr">
        <is>
          <t>Current</t>
        </is>
      </c>
      <c r="D190" s="9" t="inlineStr">
        <is>
          <t>Authentication &amp; Account Management</t>
        </is>
      </c>
      <c r="E190" s="9" t="inlineStr">
        <is>
          <t>One-time password reset token</t>
        </is>
      </c>
      <c r="F190" s="9" t="inlineStr">
        <is>
          <t>Backend is running with a fresh test database; demo accounts are enabled unless the check states otherwise.</t>
        </is>
      </c>
      <c r="G190" s="9" t="inlineStr">
        <is>
          <t>Use a reset link, reuse it, try an expired token, and test sessions issued before the reset.</t>
        </is>
      </c>
      <c r="H190" s="9" t="inlineStr">
        <is>
          <t>The first valid reset succeeds; reused/expired tokens fail; all previous sessions are revoked.</t>
        </is>
      </c>
      <c r="I190" s="8" t="inlineStr">
        <is>
          <t>Release Gate</t>
        </is>
      </c>
      <c r="J190" s="8" t="inlineStr">
        <is>
          <t>Security</t>
        </is>
      </c>
      <c r="K190" s="8" t="inlineStr">
        <is>
          <t>Backend/UI</t>
        </is>
      </c>
      <c r="L190" s="8" t="inlineStr">
        <is>
          <t>Yes</t>
        </is>
      </c>
      <c r="M190" s="8" t="inlineStr">
        <is>
          <t>N/A</t>
        </is>
      </c>
      <c r="N190" s="8" t="n"/>
      <c r="O190" s="9" t="inlineStr">
        <is>
          <t>Intentionally disabled or unnecessary for the controlled v4 professor demo.</t>
        </is>
      </c>
      <c r="P190" s="9" t="inlineStr">
        <is>
          <t>Codex SQA</t>
        </is>
      </c>
      <c r="Q190" s="10" t="n">
        <v>46238</v>
      </c>
      <c r="R190" s="9" t="inlineStr">
        <is>
          <t>Not Required</t>
        </is>
      </c>
      <c r="S190" s="19" t="inlineStr">
        <is>
          <t>Preserved for a future broader study release where applicable.</t>
        </is>
      </c>
    </row>
    <row r="191" ht="54" customHeight="1" s="78">
      <c r="A191" s="16" t="inlineStr">
        <is>
          <t>[x]</t>
        </is>
      </c>
      <c r="B191" s="9" t="inlineStr">
        <is>
          <t>AUTH-021</t>
        </is>
      </c>
      <c r="C191" s="9" t="inlineStr">
        <is>
          <t>Current</t>
        </is>
      </c>
      <c r="D191" s="9" t="inlineStr">
        <is>
          <t>Authentication &amp; Account Management</t>
        </is>
      </c>
      <c r="E191" s="9" t="inlineStr">
        <is>
          <t>Real SMTP status and delivery</t>
        </is>
      </c>
      <c r="F191" s="9" t="inlineStr">
        <is>
          <t>Backend is running with a fresh test database; demo accounts are enabled unless the check states otherwise.</t>
        </is>
      </c>
      <c r="G191" s="9" t="inlineStr">
        <is>
          <t>Verify unconfigured status, configure provider SMTP values in backend/.env, restart, send a test email, and test invitation/reset delivery.</t>
        </is>
      </c>
      <c r="H191" s="9" t="inlineStr">
        <is>
          <t>Missing SMTP blocks email actions without claiming delivery; configured status exposes no secret; the controlled recipient receives the real one-time-link/test email.</t>
        </is>
      </c>
      <c r="I191" s="8" t="inlineStr">
        <is>
          <t>Release Gate</t>
        </is>
      </c>
      <c r="J191" s="8" t="inlineStr">
        <is>
          <t>Integration</t>
        </is>
      </c>
      <c r="K191" s="8" t="inlineStr">
        <is>
          <t>Web/Backend/Email</t>
        </is>
      </c>
      <c r="L191" s="8" t="inlineStr">
        <is>
          <t>Partial</t>
        </is>
      </c>
      <c r="M191" s="8" t="inlineStr">
        <is>
          <t>N/A</t>
        </is>
      </c>
      <c r="N191" s="8" t="n"/>
      <c r="O191" s="9" t="inlineStr">
        <is>
          <t>Intentionally disabled or unnecessary for the controlled v4 professor demo.</t>
        </is>
      </c>
      <c r="P191" s="9" t="inlineStr">
        <is>
          <t>Codex SQA</t>
        </is>
      </c>
      <c r="Q191" s="10" t="n">
        <v>46238</v>
      </c>
      <c r="R191" s="9" t="inlineStr">
        <is>
          <t>Not Required</t>
        </is>
      </c>
      <c r="S191" s="19" t="inlineStr">
        <is>
          <t>Preserved for a future broader study release where applicable.</t>
        </is>
      </c>
    </row>
    <row r="192" ht="40.5" customHeight="1" s="78">
      <c r="A192" s="16" t="inlineStr">
        <is>
          <t>[x]</t>
        </is>
      </c>
      <c r="B192" s="9" t="inlineStr">
        <is>
          <t>AUTH-022</t>
        </is>
      </c>
      <c r="C192" s="9" t="inlineStr">
        <is>
          <t>Current</t>
        </is>
      </c>
      <c r="D192" s="9" t="inlineStr">
        <is>
          <t>Authentication &amp; Account Management</t>
        </is>
      </c>
      <c r="E192" s="9" t="inlineStr">
        <is>
          <t>Authentication audit events</t>
        </is>
      </c>
      <c r="F192" s="9" t="inlineStr">
        <is>
          <t>Backend is running with a fresh test database; demo accounts are enabled unless the check states otherwise.</t>
        </is>
      </c>
      <c r="G192" s="9" t="inlineStr">
        <is>
          <t>Perform login, logout, account create/update/reset, JSON import, and test-email actions; inspect audit_events.</t>
        </is>
      </c>
      <c r="H192" s="9" t="inlineStr">
        <is>
          <t>Each security-relevant action records actor, action, resource, timestamp, and non-secret details.</t>
        </is>
      </c>
      <c r="I192" s="8" t="inlineStr">
        <is>
          <t>P1</t>
        </is>
      </c>
      <c r="J192" s="8" t="inlineStr">
        <is>
          <t>Security</t>
        </is>
      </c>
      <c r="K192" s="8" t="inlineStr">
        <is>
          <t>Backend</t>
        </is>
      </c>
      <c r="L192" s="8" t="inlineStr">
        <is>
          <t>Yes</t>
        </is>
      </c>
      <c r="M192" s="8" t="inlineStr">
        <is>
          <t>Pass</t>
        </is>
      </c>
      <c r="N192" s="8" t="n"/>
      <c r="O192" s="9" t="inlineStr">
        <is>
          <t>Authentication tests passed; live invalid/student/instructor/session/logout/admin checks passed.</t>
        </is>
      </c>
      <c r="P192" s="9" t="inlineStr">
        <is>
          <t>Codex SQA</t>
        </is>
      </c>
      <c r="Q192" s="10" t="n">
        <v>46238</v>
      </c>
      <c r="R192" s="9" t="inlineStr">
        <is>
          <t>Not Required</t>
        </is>
      </c>
      <c r="S192" s="19" t="n"/>
    </row>
    <row r="193" ht="27" customHeight="1" s="78">
      <c r="A193" s="16" t="inlineStr">
        <is>
          <t>[ ]</t>
        </is>
      </c>
      <c r="B193" s="9" t="inlineStr">
        <is>
          <t>FUT-002</t>
        </is>
      </c>
      <c r="C193" s="9" t="inlineStr">
        <is>
          <t>Future</t>
        </is>
      </c>
      <c r="D193" s="9" t="inlineStr">
        <is>
          <t>Future Roadmap Readiness</t>
        </is>
      </c>
      <c r="E193" s="9" t="inlineStr">
        <is>
          <t>Courses, enrollments, and ownership</t>
        </is>
      </c>
      <c r="F193" s="9" t="inlineStr">
        <is>
          <t>Application dependencies are installed and the target environment is available.</t>
        </is>
      </c>
      <c r="G193" s="9" t="inlineStr">
        <is>
          <t>Create courses, enroll users, assign instructors, and verify isolation.</t>
        </is>
      </c>
      <c r="H193" s="9" t="inlineStr">
        <is>
          <t>Course data and assignments are visible only to authorized membership.</t>
        </is>
      </c>
      <c r="I193" s="8" t="inlineStr">
        <is>
          <t>P1</t>
        </is>
      </c>
      <c r="J193" s="8" t="inlineStr">
        <is>
          <t>Future Functional</t>
        </is>
      </c>
      <c r="K193" s="8" t="inlineStr">
        <is>
          <t>All</t>
        </is>
      </c>
      <c r="L193" s="8" t="inlineStr">
        <is>
          <t>No</t>
        </is>
      </c>
      <c r="M193" s="8" t="inlineStr">
        <is>
          <t>Deferred</t>
        </is>
      </c>
      <c r="N193" s="8" t="n"/>
      <c r="O193" s="9" t="n"/>
      <c r="P193" s="9" t="n"/>
      <c r="Q193" s="10" t="n"/>
      <c r="R193" s="9" t="inlineStr">
        <is>
          <t>Not Required</t>
        </is>
      </c>
      <c r="S193" s="19" t="n"/>
    </row>
    <row r="194" ht="27" customHeight="1" s="78">
      <c r="A194" s="16" t="inlineStr">
        <is>
          <t>[ ]</t>
        </is>
      </c>
      <c r="B194" s="9" t="inlineStr">
        <is>
          <t>FUT-003</t>
        </is>
      </c>
      <c r="C194" s="9" t="inlineStr">
        <is>
          <t>Future</t>
        </is>
      </c>
      <c r="D194" s="9" t="inlineStr">
        <is>
          <t>Future Roadmap Readiness</t>
        </is>
      </c>
      <c r="E194" s="9" t="inlineStr">
        <is>
          <t>Assignment version history and rollback</t>
        </is>
      </c>
      <c r="F194" s="9" t="inlineStr">
        <is>
          <t>Application dependencies are installed and the target environment is available.</t>
        </is>
      </c>
      <c r="G194" s="9" t="inlineStr">
        <is>
          <t>Publish several versions; inspect history; roll back by creating a new published version.</t>
        </is>
      </c>
      <c r="H194" s="9" t="inlineStr">
        <is>
          <t>History remains immutable and student submissions retain original version.</t>
        </is>
      </c>
      <c r="I194" s="8" t="inlineStr">
        <is>
          <t>P1</t>
        </is>
      </c>
      <c r="J194" s="8" t="inlineStr">
        <is>
          <t>Future Versioning</t>
        </is>
      </c>
      <c r="K194" s="8" t="inlineStr">
        <is>
          <t>Backend/UI</t>
        </is>
      </c>
      <c r="L194" s="8" t="inlineStr">
        <is>
          <t>No</t>
        </is>
      </c>
      <c r="M194" s="8" t="inlineStr">
        <is>
          <t>Deferred</t>
        </is>
      </c>
      <c r="N194" s="8" t="n"/>
      <c r="O194" s="9" t="n"/>
      <c r="P194" s="9" t="n"/>
      <c r="Q194" s="10" t="n"/>
      <c r="R194" s="9" t="inlineStr">
        <is>
          <t>Not Required</t>
        </is>
      </c>
      <c r="S194" s="19" t="n"/>
    </row>
    <row r="195" ht="27" customHeight="1" s="78">
      <c r="A195" s="16" t="inlineStr">
        <is>
          <t>[ ]</t>
        </is>
      </c>
      <c r="B195" s="9" t="inlineStr">
        <is>
          <t>FUT-004</t>
        </is>
      </c>
      <c r="C195" s="9" t="inlineStr">
        <is>
          <t>Future</t>
        </is>
      </c>
      <c r="D195" s="9" t="inlineStr">
        <is>
          <t>Future Roadmap Readiness</t>
        </is>
      </c>
      <c r="E195" s="9" t="inlineStr">
        <is>
          <t>Object storage integration</t>
        </is>
      </c>
      <c r="F195" s="9" t="inlineStr">
        <is>
          <t>Application dependencies are installed and the target environment is available.</t>
        </is>
      </c>
      <c r="G195" s="9" t="inlineStr">
        <is>
          <t>Upload/download starter packages, assets, hidden tests, and simulation files.</t>
        </is>
      </c>
      <c r="H195" s="9" t="inlineStr">
        <is>
          <t>Authorized assets are durable, versioned, and unavailable to unauthorized clients.</t>
        </is>
      </c>
      <c r="I195" s="8" t="inlineStr">
        <is>
          <t>P0</t>
        </is>
      </c>
      <c r="J195" s="8" t="inlineStr">
        <is>
          <t>Future Integration</t>
        </is>
      </c>
      <c r="K195" s="8" t="inlineStr">
        <is>
          <t>Backend</t>
        </is>
      </c>
      <c r="L195" s="8" t="inlineStr">
        <is>
          <t>No</t>
        </is>
      </c>
      <c r="M195" s="8" t="inlineStr">
        <is>
          <t>Deferred</t>
        </is>
      </c>
      <c r="N195" s="8" t="n"/>
      <c r="O195" s="9" t="n"/>
      <c r="P195" s="9" t="n"/>
      <c r="Q195" s="10" t="n"/>
      <c r="R195" s="9" t="inlineStr">
        <is>
          <t>Not Required</t>
        </is>
      </c>
      <c r="S195" s="19" t="n"/>
    </row>
    <row r="196" ht="27" customHeight="1" s="78">
      <c r="A196" s="16" t="inlineStr">
        <is>
          <t>[ ]</t>
        </is>
      </c>
      <c r="B196" s="9" t="inlineStr">
        <is>
          <t>FUT-005</t>
        </is>
      </c>
      <c r="C196" s="9" t="inlineStr">
        <is>
          <t>Future</t>
        </is>
      </c>
      <c r="D196" s="9" t="inlineStr">
        <is>
          <t>Future Roadmap Readiness</t>
        </is>
      </c>
      <c r="E196" s="9" t="inlineStr">
        <is>
          <t>Background grading jobs</t>
        </is>
      </c>
      <c r="F196" s="9" t="inlineStr">
        <is>
          <t>Application dependencies are installed and the target environment is available.</t>
        </is>
      </c>
      <c r="G196" s="9" t="inlineStr">
        <is>
          <t>Submit long-running task; poll, cancel, retry, and recover worker failure.</t>
        </is>
      </c>
      <c r="H196" s="9" t="inlineStr">
        <is>
          <t>Job lifecycle is durable, idempotent, observable, and bounded.</t>
        </is>
      </c>
      <c r="I196" s="8" t="inlineStr">
        <is>
          <t>P0</t>
        </is>
      </c>
      <c r="J196" s="8" t="inlineStr">
        <is>
          <t>Future Resilience</t>
        </is>
      </c>
      <c r="K196" s="8" t="inlineStr">
        <is>
          <t>Backend/UI</t>
        </is>
      </c>
      <c r="L196" s="8" t="inlineStr">
        <is>
          <t>No</t>
        </is>
      </c>
      <c r="M196" s="8" t="inlineStr">
        <is>
          <t>Deferred</t>
        </is>
      </c>
      <c r="N196" s="8" t="n"/>
      <c r="O196" s="9" t="n"/>
      <c r="P196" s="9" t="n"/>
      <c r="Q196" s="10" t="n"/>
      <c r="R196" s="9" t="inlineStr">
        <is>
          <t>Not Required</t>
        </is>
      </c>
      <c r="S196" s="19" t="n"/>
    </row>
    <row r="197" ht="27" customHeight="1" s="78">
      <c r="A197" s="16" t="inlineStr">
        <is>
          <t>[ ]</t>
        </is>
      </c>
      <c r="B197" s="9" t="inlineStr">
        <is>
          <t>FUT-006</t>
        </is>
      </c>
      <c r="C197" s="9" t="inlineStr">
        <is>
          <t>Future</t>
        </is>
      </c>
      <c r="D197" s="9" t="inlineStr">
        <is>
          <t>Future Roadmap Readiness</t>
        </is>
      </c>
      <c r="E197" s="9" t="inlineStr">
        <is>
          <t>Common simulation adapter</t>
        </is>
      </c>
      <c r="F197" s="9" t="inlineStr">
        <is>
          <t>Application dependencies are installed and the target environment is available.</t>
        </is>
      </c>
      <c r="G197" s="9" t="inlineStr">
        <is>
          <t>Run code-only and simulation assignments through common workflow.</t>
        </is>
      </c>
      <c r="H197" s="9" t="inlineStr">
        <is>
          <t>Both return the same high-level submission/evidence contract.</t>
        </is>
      </c>
      <c r="I197" s="8" t="inlineStr">
        <is>
          <t>P0</t>
        </is>
      </c>
      <c r="J197" s="8" t="inlineStr">
        <is>
          <t>Future Architecture</t>
        </is>
      </c>
      <c r="K197" s="8" t="inlineStr">
        <is>
          <t>All</t>
        </is>
      </c>
      <c r="L197" s="8" t="inlineStr">
        <is>
          <t>No</t>
        </is>
      </c>
      <c r="M197" s="8" t="inlineStr">
        <is>
          <t>Deferred</t>
        </is>
      </c>
      <c r="N197" s="8" t="n"/>
      <c r="O197" s="9" t="n"/>
      <c r="P197" s="9" t="n"/>
      <c r="Q197" s="10" t="n"/>
      <c r="R197" s="9" t="inlineStr">
        <is>
          <t>Not Required</t>
        </is>
      </c>
      <c r="S197" s="19" t="n"/>
    </row>
    <row r="198" ht="27" customHeight="1" s="78">
      <c r="A198" s="16" t="inlineStr">
        <is>
          <t>[ ]</t>
        </is>
      </c>
      <c r="B198" s="9" t="inlineStr">
        <is>
          <t>FUT-007</t>
        </is>
      </c>
      <c r="C198" s="9" t="inlineStr">
        <is>
          <t>Future</t>
        </is>
      </c>
      <c r="D198" s="9" t="inlineStr">
        <is>
          <t>Future Roadmap Readiness</t>
        </is>
      </c>
      <c r="E198" s="9" t="inlineStr">
        <is>
          <t>Deterministic simulation repeatability</t>
        </is>
      </c>
      <c r="F198" s="9" t="inlineStr">
        <is>
          <t>Application dependencies are installed and the target environment is available.</t>
        </is>
      </c>
      <c r="G198" s="9" t="inlineStr">
        <is>
          <t>Run same assignment/configuration/seed multiple times.</t>
        </is>
      </c>
      <c r="H198" s="9" t="inlineStr">
        <is>
          <t>Metrics and grader result are reproducible within documented tolerance.</t>
        </is>
      </c>
      <c r="I198" s="8" t="inlineStr">
        <is>
          <t>P0</t>
        </is>
      </c>
      <c r="J198" s="8" t="inlineStr">
        <is>
          <t>Future Simulation</t>
        </is>
      </c>
      <c r="K198" s="8" t="inlineStr">
        <is>
          <t>Worker</t>
        </is>
      </c>
      <c r="L198" s="8" t="inlineStr">
        <is>
          <t>No</t>
        </is>
      </c>
      <c r="M198" s="8" t="inlineStr">
        <is>
          <t>Deferred</t>
        </is>
      </c>
      <c r="N198" s="8" t="n"/>
      <c r="O198" s="9" t="n"/>
      <c r="P198" s="9" t="n"/>
      <c r="Q198" s="10" t="n"/>
      <c r="R198" s="9" t="inlineStr">
        <is>
          <t>Not Required</t>
        </is>
      </c>
      <c r="S198" s="19" t="n"/>
    </row>
    <row r="199" ht="27" customHeight="1" s="78">
      <c r="A199" s="16" t="inlineStr">
        <is>
          <t>[ ]</t>
        </is>
      </c>
      <c r="B199" s="9" t="inlineStr">
        <is>
          <t>FUT-008</t>
        </is>
      </c>
      <c r="C199" s="9" t="inlineStr">
        <is>
          <t>Future</t>
        </is>
      </c>
      <c r="D199" s="9" t="inlineStr">
        <is>
          <t>Future Roadmap Readiness</t>
        </is>
      </c>
      <c r="E199" s="9" t="inlineStr">
        <is>
          <t>Simulation artifacts and replay</t>
        </is>
      </c>
      <c r="F199" s="9" t="inlineStr">
        <is>
          <t>Application dependencies are installed and the target environment is available.</t>
        </is>
      </c>
      <c r="G199" s="9" t="inlineStr">
        <is>
          <t>Complete simulation and open replay/screenshots/logs.</t>
        </is>
      </c>
      <c r="H199" s="9" t="inlineStr">
        <is>
          <t>Artifacts belong to the correct attempt/version and are access-controlled.</t>
        </is>
      </c>
      <c r="I199" s="8" t="inlineStr">
        <is>
          <t>P1</t>
        </is>
      </c>
      <c r="J199" s="8" t="inlineStr">
        <is>
          <t>Future Simulation</t>
        </is>
      </c>
      <c r="K199" s="8" t="inlineStr">
        <is>
          <t>All</t>
        </is>
      </c>
      <c r="L199" s="8" t="inlineStr">
        <is>
          <t>No</t>
        </is>
      </c>
      <c r="M199" s="8" t="inlineStr">
        <is>
          <t>Deferred</t>
        </is>
      </c>
      <c r="N199" s="8" t="n"/>
      <c r="O199" s="9" t="n"/>
      <c r="P199" s="9" t="n"/>
      <c r="Q199" s="10" t="n"/>
      <c r="R199" s="9" t="inlineStr">
        <is>
          <t>Not Required</t>
        </is>
      </c>
      <c r="S199" s="19" t="n"/>
    </row>
    <row r="200" ht="27" customHeight="1" s="78">
      <c r="A200" s="16" t="inlineStr">
        <is>
          <t>[ ]</t>
        </is>
      </c>
      <c r="B200" s="9" t="inlineStr">
        <is>
          <t>FUT-009</t>
        </is>
      </c>
      <c r="C200" s="9" t="inlineStr">
        <is>
          <t>Future</t>
        </is>
      </c>
      <c r="D200" s="9" t="inlineStr">
        <is>
          <t>Future Roadmap Readiness</t>
        </is>
      </c>
      <c r="E200" s="9" t="inlineStr">
        <is>
          <t>AI tutor evaluation suite</t>
        </is>
      </c>
      <c r="F200" s="9" t="inlineStr">
        <is>
          <t>Application dependencies are installed and the target environment is available.</t>
        </is>
      </c>
      <c r="G200" s="9" t="inlineStr">
        <is>
          <t>Run curated success, misconception, prompt-injection, privacy, and solution-leak cases.</t>
        </is>
      </c>
      <c r="H200" s="9" t="inlineStr">
        <is>
          <t>Quality/safety thresholds pass before enabling AI broadly.</t>
        </is>
      </c>
      <c r="I200" s="8" t="inlineStr">
        <is>
          <t>P0</t>
        </is>
      </c>
      <c r="J200" s="8" t="inlineStr">
        <is>
          <t>Future AI Safety</t>
        </is>
      </c>
      <c r="K200" s="8" t="inlineStr">
        <is>
          <t>Backend</t>
        </is>
      </c>
      <c r="L200" s="8" t="inlineStr">
        <is>
          <t>No</t>
        </is>
      </c>
      <c r="M200" s="8" t="inlineStr">
        <is>
          <t>Deferred</t>
        </is>
      </c>
      <c r="N200" s="8" t="n"/>
      <c r="O200" s="9" t="n"/>
      <c r="P200" s="9" t="n"/>
      <c r="Q200" s="10" t="n"/>
      <c r="R200" s="9" t="inlineStr">
        <is>
          <t>Not Required</t>
        </is>
      </c>
      <c r="S200" s="19" t="n"/>
    </row>
    <row r="201" ht="27" customHeight="1" s="78">
      <c r="A201" s="16" t="inlineStr">
        <is>
          <t>[ ]</t>
        </is>
      </c>
      <c r="B201" s="9" t="inlineStr">
        <is>
          <t>FUT-010</t>
        </is>
      </c>
      <c r="C201" s="9" t="inlineStr">
        <is>
          <t>Future</t>
        </is>
      </c>
      <c r="D201" s="9" t="inlineStr">
        <is>
          <t>Future Roadmap Readiness</t>
        </is>
      </c>
      <c r="E201" s="9" t="inlineStr">
        <is>
          <t>AI cost and rate controls</t>
        </is>
      </c>
      <c r="F201" s="9" t="inlineStr">
        <is>
          <t>Application dependencies are installed and the target environment is available.</t>
        </is>
      </c>
      <c r="G201" s="9" t="inlineStr">
        <is>
          <t>Exercise per-user/course budgets, concurrency, rate limits, and fallback.</t>
        </is>
      </c>
      <c r="H201" s="9" t="inlineStr">
        <is>
          <t>Costs and latency are bounded; learning workflow remains available.</t>
        </is>
      </c>
      <c r="I201" s="8" t="inlineStr">
        <is>
          <t>P0</t>
        </is>
      </c>
      <c r="J201" s="8" t="inlineStr">
        <is>
          <t>Future AI Operations</t>
        </is>
      </c>
      <c r="K201" s="8" t="inlineStr">
        <is>
          <t>Backend</t>
        </is>
      </c>
      <c r="L201" s="8" t="inlineStr">
        <is>
          <t>No</t>
        </is>
      </c>
      <c r="M201" s="8" t="inlineStr">
        <is>
          <t>Deferred</t>
        </is>
      </c>
      <c r="N201" s="8" t="n"/>
      <c r="O201" s="9" t="n"/>
      <c r="P201" s="9" t="n"/>
      <c r="Q201" s="10" t="n"/>
      <c r="R201" s="9" t="inlineStr">
        <is>
          <t>Not Required</t>
        </is>
      </c>
      <c r="S201" s="19" t="n"/>
    </row>
    <row r="202" ht="27" customHeight="1" s="78">
      <c r="A202" s="16" t="inlineStr">
        <is>
          <t>[ ]</t>
        </is>
      </c>
      <c r="B202" s="9" t="inlineStr">
        <is>
          <t>FUT-011</t>
        </is>
      </c>
      <c r="C202" s="9" t="inlineStr">
        <is>
          <t>Future</t>
        </is>
      </c>
      <c r="D202" s="9" t="inlineStr">
        <is>
          <t>Future Roadmap Readiness</t>
        </is>
      </c>
      <c r="E202" s="9" t="inlineStr">
        <is>
          <t>Instructor analytics</t>
        </is>
      </c>
      <c r="F202" s="9" t="inlineStr">
        <is>
          <t>Application dependencies are installed and the target environment is available.</t>
        </is>
      </c>
      <c r="G202" s="9" t="inlineStr">
        <is>
          <t>Generate attempts, scores, misconceptions, hints, and completion events.</t>
        </is>
      </c>
      <c r="H202" s="9" t="inlineStr">
        <is>
          <t>Dashboard metrics reconcile with underlying records and respect privacy.</t>
        </is>
      </c>
      <c r="I202" s="8" t="inlineStr">
        <is>
          <t>P1</t>
        </is>
      </c>
      <c r="J202" s="8" t="inlineStr">
        <is>
          <t>Future Analytics</t>
        </is>
      </c>
      <c r="K202" s="8" t="inlineStr">
        <is>
          <t>All</t>
        </is>
      </c>
      <c r="L202" s="8" t="inlineStr">
        <is>
          <t>No</t>
        </is>
      </c>
      <c r="M202" s="8" t="inlineStr">
        <is>
          <t>Deferred</t>
        </is>
      </c>
      <c r="N202" s="8" t="n"/>
      <c r="O202" s="9" t="n"/>
      <c r="P202" s="9" t="n"/>
      <c r="Q202" s="10" t="n"/>
      <c r="R202" s="9" t="inlineStr">
        <is>
          <t>Not Required</t>
        </is>
      </c>
      <c r="S202" s="19" t="n"/>
    </row>
    <row r="203" ht="27" customHeight="1" s="78">
      <c r="A203" s="16" t="inlineStr">
        <is>
          <t>[ ]</t>
        </is>
      </c>
      <c r="B203" s="9" t="inlineStr">
        <is>
          <t>FUT-012</t>
        </is>
      </c>
      <c r="C203" s="9" t="inlineStr">
        <is>
          <t>Future</t>
        </is>
      </c>
      <c r="D203" s="9" t="inlineStr">
        <is>
          <t>Future Roadmap Readiness</t>
        </is>
      </c>
      <c r="E203" s="9" t="inlineStr">
        <is>
          <t>LMS/gradebook integration</t>
        </is>
      </c>
      <c r="F203" s="9" t="inlineStr">
        <is>
          <t>Application dependencies are installed and the target environment is available.</t>
        </is>
      </c>
      <c r="G203" s="9" t="inlineStr">
        <is>
          <t>Sync roster/assignment/grade using test LMS.</t>
        </is>
      </c>
      <c r="H203" s="9" t="inlineStr">
        <is>
          <t>Mappings are correct, idempotent, secure, and auditable.</t>
        </is>
      </c>
      <c r="I203" s="8" t="inlineStr">
        <is>
          <t>P2</t>
        </is>
      </c>
      <c r="J203" s="8" t="inlineStr">
        <is>
          <t>Future Integration</t>
        </is>
      </c>
      <c r="K203" s="8" t="inlineStr">
        <is>
          <t>All</t>
        </is>
      </c>
      <c r="L203" s="8" t="inlineStr">
        <is>
          <t>No</t>
        </is>
      </c>
      <c r="M203" s="8" t="inlineStr">
        <is>
          <t>Deferred</t>
        </is>
      </c>
      <c r="N203" s="8" t="n"/>
      <c r="O203" s="9" t="n"/>
      <c r="P203" s="9" t="n"/>
      <c r="Q203" s="10" t="n"/>
      <c r="R203" s="9" t="inlineStr">
        <is>
          <t>Not Required</t>
        </is>
      </c>
      <c r="S203" s="19" t="n"/>
    </row>
    <row r="204" ht="27" customHeight="1" s="78">
      <c r="A204" s="17" t="inlineStr">
        <is>
          <t>[ ]</t>
        </is>
      </c>
      <c r="B204" s="13" t="inlineStr">
        <is>
          <t>FUT-013</t>
        </is>
      </c>
      <c r="C204" s="13" t="inlineStr">
        <is>
          <t>Future</t>
        </is>
      </c>
      <c r="D204" s="13" t="inlineStr">
        <is>
          <t>Future Roadmap Readiness</t>
        </is>
      </c>
      <c r="E204" s="13" t="inlineStr">
        <is>
          <t>Accessibility conformance audit</t>
        </is>
      </c>
      <c r="F204" s="13" t="inlineStr">
        <is>
          <t>Application dependencies are installed and the target environment is available.</t>
        </is>
      </c>
      <c r="G204" s="13" t="inlineStr">
        <is>
          <t>Run automated and manual WCAG audit across web/mobile critical paths.</t>
        </is>
      </c>
      <c r="H204" s="13" t="inlineStr">
        <is>
          <t>Target conformance is met with documented exceptions and remediation.</t>
        </is>
      </c>
      <c r="I204" s="12" t="inlineStr">
        <is>
          <t>P1</t>
        </is>
      </c>
      <c r="J204" s="12" t="inlineStr">
        <is>
          <t>Future Accessibility</t>
        </is>
      </c>
      <c r="K204" s="12" t="inlineStr">
        <is>
          <t>All</t>
        </is>
      </c>
      <c r="L204" s="12" t="inlineStr">
        <is>
          <t>No</t>
        </is>
      </c>
      <c r="M204" s="12" t="inlineStr">
        <is>
          <t>Deferred</t>
        </is>
      </c>
      <c r="N204" s="12" t="n"/>
      <c r="O204" s="13" t="n"/>
      <c r="P204" s="13" t="n"/>
      <c r="Q204" s="14" t="n"/>
      <c r="R204" s="13" t="inlineStr">
        <is>
          <t>Not Required</t>
        </is>
      </c>
      <c r="S204" s="20" t="n"/>
    </row>
  </sheetData>
  <conditionalFormatting sqref="I2:I204">
    <cfRule type="cellIs" priority="7" operator="equal" dxfId="4" stopIfTrue="1">
      <formula>"Release Gate"</formula>
    </cfRule>
    <cfRule type="cellIs" priority="8" operator="equal" dxfId="4" stopIfTrue="1">
      <formula>"P0"</formula>
    </cfRule>
    <cfRule type="cellIs" priority="9" operator="equal" dxfId="3" stopIfTrue="1">
      <formula>"P1"</formula>
    </cfRule>
    <cfRule type="cellIs" priority="10" operator="equal" dxfId="78" stopIfTrue="1">
      <formula>"P2"</formula>
    </cfRule>
  </conditionalFormatting>
  <conditionalFormatting sqref="M2:M204">
    <cfRule type="cellIs" priority="1" operator="equal" dxfId="5" stopIfTrue="1">
      <formula>"Pass"</formula>
    </cfRule>
    <cfRule type="cellIs" priority="2" operator="equal" dxfId="4" stopIfTrue="1">
      <formula>"Fail"</formula>
    </cfRule>
    <cfRule type="cellIs" priority="3" operator="equal" dxfId="3" stopIfTrue="1">
      <formula>"Blocked"</formula>
    </cfRule>
    <cfRule type="cellIs" priority="4" operator="equal" dxfId="2" stopIfTrue="1">
      <formula>"Not Run"</formula>
    </cfRule>
    <cfRule type="cellIs" priority="5" operator="equal" dxfId="1" stopIfTrue="1">
      <formula>"Deferred"</formula>
    </cfRule>
    <cfRule type="cellIs" priority="6" operator="equal" dxfId="0" stopIfTrue="1">
      <formula>"N/A"</formula>
    </cfRule>
  </conditionalFormatting>
  <dataValidations count="7">
    <dataValidation sqref="A2:A204" showDropDown="0" showInputMessage="1" showErrorMessage="1" allowBlank="1" errorTitle="Select a valid checklist value" error="Choose a value from the dropdown list." type="list">
      <formula1>CheckOptions</formula1>
    </dataValidation>
    <dataValidation sqref="C2:C204" showDropDown="0" showInputMessage="1" showErrorMessage="1" allowBlank="1" errorTitle="Select a valid checklist value" error="Choose a value from the dropdown list." type="list">
      <formula1>ScopeOptions</formula1>
    </dataValidation>
    <dataValidation sqref="I2:I204" showDropDown="0" showInputMessage="1" showErrorMessage="1" allowBlank="1" errorTitle="Select a valid checklist value" error="Choose a value from the dropdown list." type="list">
      <formula1>PriorityOptions</formula1>
    </dataValidation>
    <dataValidation sqref="J2:J204" showDropDown="0" showInputMessage="1" showErrorMessage="1" allowBlank="1" errorTitle="Select a valid checklist value" error="Choose a value from the dropdown list." type="list">
      <formula1>TestTypeOptions</formula1>
    </dataValidation>
    <dataValidation sqref="L2:L204" showDropDown="0" showInputMessage="1" showErrorMessage="1" allowBlank="1" errorTitle="Select a valid checklist value" error="Choose a value from the dropdown list." type="list">
      <formula1>AutomationOptions</formula1>
    </dataValidation>
    <dataValidation sqref="M2:M204" showDropDown="0" showInputMessage="1" showErrorMessage="1" allowBlank="1" errorTitle="Select a valid checklist value" error="Choose a value from the dropdown list." type="list">
      <formula1>StatusOptions</formula1>
    </dataValidation>
    <dataValidation sqref="R2:R204" showDropDown="0" showInputMessage="1" showErrorMessage="1" allowBlank="1" errorTitle="Select a valid checklist value" error="Choose a value from the dropdown list." type="list">
      <formula1>RetestOptions</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265272"/>
    <outlinePr summaryBelow="1" summaryRight="1"/>
    <pageSetUpPr/>
  </sheetPr>
  <dimension ref="A1:S7"/>
  <sheetViews>
    <sheetView showGridLines="0" workbookViewId="0">
      <selection activeCell="A1" sqref="A1"/>
    </sheetView>
  </sheetViews>
  <sheetFormatPr baseColWidth="8" defaultRowHeight="15"/>
  <cols>
    <col width="12.140625" customWidth="1" style="78" min="1" max="1"/>
    <col width="16.140625" customWidth="1" style="78" min="2" max="2"/>
    <col width="24.7109375" customWidth="1" style="78" min="3" max="3"/>
    <col width="10.7109375" customWidth="1" style="78" min="4" max="4"/>
    <col width="46.7109375" customWidth="1" style="78" min="5" max="5"/>
    <col width="13.7109375" customWidth="1" style="78" min="6" max="6"/>
    <col width="14.7109375" customWidth="1" style="78" min="7" max="7"/>
    <col width="18.42578125" customWidth="1" style="78" min="8" max="8"/>
    <col width="18" customWidth="1" style="78" min="9" max="9"/>
    <col width="17.7109375" customWidth="1" style="78" min="10" max="10"/>
    <col width="13.7109375" customWidth="1" style="78" min="11" max="11"/>
    <col width="17.140625" customWidth="1" style="78" min="12" max="12"/>
    <col width="13.7109375" customWidth="1" style="78" min="13" max="13"/>
    <col width="20.5703125" customWidth="1" style="78" min="14" max="14"/>
    <col width="14.7109375" customWidth="1" style="78" min="15" max="15"/>
    <col width="19.28515625" customWidth="1" style="78" min="16" max="16"/>
    <col width="14.7109375" customWidth="1" style="78" min="17" max="17"/>
    <col width="40.7109375" customWidth="1" style="78" min="18" max="19"/>
  </cols>
  <sheetData>
    <row r="1" ht="33.95" customHeight="1" s="78">
      <c r="A1" s="15" t="inlineStr">
        <is>
          <t>Checked?</t>
        </is>
      </c>
      <c r="B1" s="11" t="inlineStr">
        <is>
          <t>Assignment ID</t>
        </is>
      </c>
      <c r="C1" s="11" t="inlineStr">
        <is>
          <t>Stable ID</t>
        </is>
      </c>
      <c r="D1" s="11" t="inlineStr">
        <is>
          <t>Version</t>
        </is>
      </c>
      <c r="E1" s="11" t="inlineStr">
        <is>
          <t>Title</t>
        </is>
      </c>
      <c r="F1" s="11" t="inlineStr">
        <is>
          <t>Published</t>
        </is>
      </c>
      <c r="G1" s="11" t="inlineStr">
        <is>
          <t>Detail Loads</t>
        </is>
      </c>
      <c r="H1" s="11" t="inlineStr">
        <is>
          <t>Starter Compiles</t>
        </is>
      </c>
      <c r="I1" s="11" t="inlineStr">
        <is>
          <t>Starter Executes</t>
        </is>
      </c>
      <c r="J1" s="11" t="inlineStr">
        <is>
          <t>Official Solution</t>
        </is>
      </c>
      <c r="K1" s="11" t="inlineStr">
        <is>
          <t>Public Run</t>
        </is>
      </c>
      <c r="L1" s="11" t="inlineStr">
        <is>
          <t>Hidden Grading</t>
        </is>
      </c>
      <c r="M1" s="11" t="inlineStr">
        <is>
          <t>Evidence UI</t>
        </is>
      </c>
      <c r="N1" s="11" t="inlineStr">
        <is>
          <t>Solution Protection</t>
        </is>
      </c>
      <c r="O1" s="11" t="inlineStr">
        <is>
          <t>Hint Policy</t>
        </is>
      </c>
      <c r="P1" s="11" t="inlineStr">
        <is>
          <t>Simulation Config</t>
        </is>
      </c>
      <c r="Q1" s="11" t="inlineStr">
        <is>
          <t>Last Verified</t>
        </is>
      </c>
      <c r="R1" s="11" t="inlineStr">
        <is>
          <t>Evidence</t>
        </is>
      </c>
      <c r="S1" s="18" t="inlineStr">
        <is>
          <t>Notes</t>
        </is>
      </c>
    </row>
    <row r="2" ht="54" customHeight="1" s="78">
      <c r="A2" s="21" t="inlineStr">
        <is>
          <t>[x]</t>
        </is>
      </c>
      <c r="B2" s="9" t="n">
        <v>1</v>
      </c>
      <c r="C2" s="9" t="inlineStr">
        <is>
          <t>robotics-assignment-1</t>
        </is>
      </c>
      <c r="D2" s="9" t="n">
        <v>14</v>
      </c>
      <c r="E2" s="9" t="inlineStr">
        <is>
          <t>Obstacle Avoidance: Bug Algorithm Scenario 1</t>
        </is>
      </c>
      <c r="F2" s="9" t="inlineStr">
        <is>
          <t>Pass</t>
        </is>
      </c>
      <c r="G2" s="9" t="inlineStr">
        <is>
          <t>Pass</t>
        </is>
      </c>
      <c r="H2" s="9" t="inlineStr">
        <is>
          <t>Pass</t>
        </is>
      </c>
      <c r="I2" s="9" t="inlineStr">
        <is>
          <t>Pass</t>
        </is>
      </c>
      <c r="J2" s="9" t="inlineStr">
        <is>
          <t>Pass</t>
        </is>
      </c>
      <c r="K2" s="9" t="inlineStr">
        <is>
          <t>Pass</t>
        </is>
      </c>
      <c r="L2" s="9" t="inlineStr">
        <is>
          <t>Pass</t>
        </is>
      </c>
      <c r="M2" s="9" t="inlineStr">
        <is>
          <t>Pass</t>
        </is>
      </c>
      <c r="N2" s="9" t="inlineStr">
        <is>
          <t>Pass</t>
        </is>
      </c>
      <c r="O2" s="9" t="inlineStr">
        <is>
          <t>Pass</t>
        </is>
      </c>
      <c r="P2" s="9" t="inlineStr">
        <is>
          <t>Pass</t>
        </is>
      </c>
      <c r="Q2" s="10" t="n">
        <v>46300</v>
      </c>
      <c r="R2" s="9" t="inlineStr">
        <is>
          <t>2026-10-05 review fixes; see Review Fixes QA 2026-10-05</t>
        </is>
      </c>
      <c r="S2" s="19" t="inlineStr">
        <is>
          <t>Verify consistent Euclidean/boundary distance and no embedded solution.</t>
        </is>
      </c>
    </row>
    <row r="3" ht="54" customHeight="1" s="78">
      <c r="A3" s="21" t="inlineStr">
        <is>
          <t>[x]</t>
        </is>
      </c>
      <c r="B3" s="9" t="n">
        <v>2</v>
      </c>
      <c r="C3" s="9" t="inlineStr">
        <is>
          <t>robotics-assignment-2</t>
        </is>
      </c>
      <c r="D3" s="9" t="n">
        <v>14</v>
      </c>
      <c r="E3" s="9" t="inlineStr">
        <is>
          <t>Obstacle Avoidance: Bug Algorithm Scenario 2</t>
        </is>
      </c>
      <c r="F3" s="9" t="inlineStr">
        <is>
          <t>Pass</t>
        </is>
      </c>
      <c r="G3" s="9" t="inlineStr">
        <is>
          <t>Pass</t>
        </is>
      </c>
      <c r="H3" s="9" t="inlineStr">
        <is>
          <t>Pass</t>
        </is>
      </c>
      <c r="I3" s="9" t="inlineStr">
        <is>
          <t>Pass</t>
        </is>
      </c>
      <c r="J3" s="9" t="inlineStr">
        <is>
          <t>Pass</t>
        </is>
      </c>
      <c r="K3" s="9" t="inlineStr">
        <is>
          <t>Pass</t>
        </is>
      </c>
      <c r="L3" s="9" t="inlineStr">
        <is>
          <t>Pass</t>
        </is>
      </c>
      <c r="M3" s="9" t="inlineStr">
        <is>
          <t>Pass</t>
        </is>
      </c>
      <c r="N3" s="9" t="inlineStr">
        <is>
          <t>Pass</t>
        </is>
      </c>
      <c r="O3" s="9" t="inlineStr">
        <is>
          <t>Pass</t>
        </is>
      </c>
      <c r="P3" s="9" t="inlineStr">
        <is>
          <t>Pass</t>
        </is>
      </c>
      <c r="Q3" s="10" t="n">
        <v>46300</v>
      </c>
      <c r="R3" s="9" t="inlineStr">
        <is>
          <t>2026-10-05 review fixes; see Review Fixes QA 2026-10-05</t>
        </is>
      </c>
      <c r="S3" s="19" t="inlineStr">
        <is>
          <t>Verify four expected calculation variables and total path length.</t>
        </is>
      </c>
    </row>
    <row r="4" ht="54" customHeight="1" s="78">
      <c r="A4" s="21" t="inlineStr">
        <is>
          <t>[x]</t>
        </is>
      </c>
      <c r="B4" s="9" t="n">
        <v>3</v>
      </c>
      <c r="C4" s="9" t="inlineStr">
        <is>
          <t>robotics-assignment-3</t>
        </is>
      </c>
      <c r="D4" s="9" t="n">
        <v>15</v>
      </c>
      <c r="E4" s="9" t="inlineStr">
        <is>
          <t>Autonomous Robot Navigation in a Multi-Floor Office</t>
        </is>
      </c>
      <c r="F4" s="9" t="inlineStr">
        <is>
          <t>Pass</t>
        </is>
      </c>
      <c r="G4" s="9" t="inlineStr">
        <is>
          <t>Pass</t>
        </is>
      </c>
      <c r="H4" s="9" t="inlineStr">
        <is>
          <t>Pass</t>
        </is>
      </c>
      <c r="I4" s="9" t="inlineStr">
        <is>
          <t>Pass</t>
        </is>
      </c>
      <c r="J4" s="9" t="inlineStr">
        <is>
          <t>Pass</t>
        </is>
      </c>
      <c r="K4" s="9" t="inlineStr">
        <is>
          <t>Pass</t>
        </is>
      </c>
      <c r="L4" s="9" t="inlineStr">
        <is>
          <t>Pass</t>
        </is>
      </c>
      <c r="M4" s="9" t="inlineStr">
        <is>
          <t>Pass</t>
        </is>
      </c>
      <c r="N4" s="9" t="inlineStr">
        <is>
          <t>Pass</t>
        </is>
      </c>
      <c r="O4" s="9" t="inlineStr">
        <is>
          <t>Pass</t>
        </is>
      </c>
      <c r="P4" s="9" t="inlineStr">
        <is>
          <t>Pass</t>
        </is>
      </c>
      <c r="Q4" s="10" t="n">
        <v>46300</v>
      </c>
      <c r="R4" s="9" t="inlineStr">
        <is>
          <t>2026-10-05 review fixes; see Review Fixes QA 2026-10-05</t>
        </is>
      </c>
      <c r="S4" s="19" t="inlineStr">
        <is>
          <t>Verify movable obstacle activates the configured half-circle detour.</t>
        </is>
      </c>
    </row>
    <row r="5" ht="54" customHeight="1" s="78">
      <c r="A5" s="22" t="inlineStr">
        <is>
          <t>[x]</t>
        </is>
      </c>
      <c r="B5" s="13" t="n">
        <v>4</v>
      </c>
      <c r="C5" s="13" t="inlineStr">
        <is>
          <t>robotics-assignment-4</t>
        </is>
      </c>
      <c r="D5" s="13" t="n">
        <v>14</v>
      </c>
      <c r="E5" s="13" t="inlineStr">
        <is>
          <t>Selecting a Direction with a Simplified VFH</t>
        </is>
      </c>
      <c r="F5" s="13" t="inlineStr">
        <is>
          <t>Pass</t>
        </is>
      </c>
      <c r="G5" s="13" t="inlineStr">
        <is>
          <t>Pass</t>
        </is>
      </c>
      <c r="H5" s="13" t="inlineStr">
        <is>
          <t>Pass</t>
        </is>
      </c>
      <c r="I5" s="13" t="inlineStr">
        <is>
          <t>Pass</t>
        </is>
      </c>
      <c r="J5" s="13" t="inlineStr">
        <is>
          <t>Pass</t>
        </is>
      </c>
      <c r="K5" s="13" t="inlineStr">
        <is>
          <t>Pass</t>
        </is>
      </c>
      <c r="L5" s="13" t="inlineStr">
        <is>
          <t>Pass</t>
        </is>
      </c>
      <c r="M5" s="13" t="inlineStr">
        <is>
          <t>Pass</t>
        </is>
      </c>
      <c r="N5" s="13" t="inlineStr">
        <is>
          <t>Pass</t>
        </is>
      </c>
      <c r="O5" s="13" t="inlineStr">
        <is>
          <t>Pass</t>
        </is>
      </c>
      <c r="P5" s="13" t="inlineStr">
        <is>
          <t>Pass</t>
        </is>
      </c>
      <c r="Q5" s="14" t="n">
        <v>46300</v>
      </c>
      <c r="R5" s="13" t="inlineStr">
        <is>
          <t>2026-10-05 review fixes; see Review Fixes QA 2026-10-05</t>
        </is>
      </c>
      <c r="S5" s="20" t="inlineStr">
        <is>
          <t>Verify histogram and optimal-sector calculations.</t>
        </is>
      </c>
    </row>
    <row r="6">
      <c r="A6" t="inlineStr">
        <is>
          <t>[x]</t>
        </is>
      </c>
      <c r="B6" t="n">
        <v>5</v>
      </c>
      <c r="C6" t="inlineStr">
        <is>
          <t>ros2-drive-forward</t>
        </is>
      </c>
      <c r="D6" t="n">
        <v>9</v>
      </c>
      <c r="E6" t="inlineStr">
        <is>
          <t>Drive Forward and Stop with ROS 2</t>
        </is>
      </c>
      <c r="F6" t="inlineStr">
        <is>
          <t>Pass</t>
        </is>
      </c>
      <c r="G6" t="inlineStr">
        <is>
          <t>Pass</t>
        </is>
      </c>
      <c r="H6" t="inlineStr">
        <is>
          <t>Pass</t>
        </is>
      </c>
      <c r="I6" t="inlineStr">
        <is>
          <t>Pass</t>
        </is>
      </c>
      <c r="J6" t="inlineStr">
        <is>
          <t>Pass</t>
        </is>
      </c>
      <c r="K6" t="inlineStr">
        <is>
          <t>Pass</t>
        </is>
      </c>
      <c r="L6" t="inlineStr">
        <is>
          <t>Pass</t>
        </is>
      </c>
      <c r="M6" t="inlineStr">
        <is>
          <t>Pass</t>
        </is>
      </c>
      <c r="N6" t="inlineStr">
        <is>
          <t>Pass</t>
        </is>
      </c>
      <c r="O6" t="inlineStr">
        <is>
          <t>Pass</t>
        </is>
      </c>
      <c r="P6" t="inlineStr">
        <is>
          <t>Pass</t>
        </is>
      </c>
      <c r="Q6" s="40" t="n">
        <v>46300</v>
      </c>
      <c r="R6" t="inlineStr">
        <is>
          <t>2026-10-05 review fixes; see Review Fixes QA 2026-10-05</t>
        </is>
      </c>
      <c r="S6" t="inlineStr">
        <is>
          <t>Only controller.py is editable; the project tree and locked support files remain visible.</t>
        </is>
      </c>
    </row>
    <row r="7">
      <c r="A7" t="inlineStr">
        <is>
          <t>[x]</t>
        </is>
      </c>
      <c r="B7" t="n">
        <v>6</v>
      </c>
      <c r="C7" t="inlineStr">
        <is>
          <t>ros2-obstacle-stop</t>
        </is>
      </c>
      <c r="D7" t="n">
        <v>9</v>
      </c>
      <c r="E7" t="inlineStr">
        <is>
          <t>Stop for an Obstacle with ROS 2</t>
        </is>
      </c>
      <c r="F7" t="inlineStr">
        <is>
          <t>Pass</t>
        </is>
      </c>
      <c r="G7" t="inlineStr">
        <is>
          <t>Pass</t>
        </is>
      </c>
      <c r="H7" t="inlineStr">
        <is>
          <t>Pass</t>
        </is>
      </c>
      <c r="I7" t="inlineStr">
        <is>
          <t>Pass</t>
        </is>
      </c>
      <c r="J7" t="inlineStr">
        <is>
          <t>Pass</t>
        </is>
      </c>
      <c r="K7" t="inlineStr">
        <is>
          <t>Pass</t>
        </is>
      </c>
      <c r="L7" t="inlineStr">
        <is>
          <t>Pass</t>
        </is>
      </c>
      <c r="M7" t="inlineStr">
        <is>
          <t>Pass</t>
        </is>
      </c>
      <c r="N7" t="inlineStr">
        <is>
          <t>Pass</t>
        </is>
      </c>
      <c r="O7" t="inlineStr">
        <is>
          <t>Pass</t>
        </is>
      </c>
      <c r="P7" t="inlineStr">
        <is>
          <t>Pass</t>
        </is>
      </c>
      <c r="Q7" s="40" t="n">
        <v>46300</v>
      </c>
      <c r="R7" t="inlineStr">
        <is>
          <t>2026-10-05 review fixes; see Review Fixes QA 2026-10-05</t>
        </is>
      </c>
      <c r="S7" t="inlineStr">
        <is>
          <t>Only controller.py is editable; the project tree and locked support files remain visible.</t>
        </is>
      </c>
    </row>
  </sheetData>
  <conditionalFormatting sqref="F2:F5">
    <cfRule type="cellIs" priority="1" operator="equal" dxfId="5" stopIfTrue="1">
      <formula>"Pass"</formula>
    </cfRule>
    <cfRule type="cellIs" priority="2" operator="equal" dxfId="4" stopIfTrue="1">
      <formula>"Fail"</formula>
    </cfRule>
    <cfRule type="cellIs" priority="3" operator="equal" dxfId="3" stopIfTrue="1">
      <formula>"Blocked"</formula>
    </cfRule>
    <cfRule type="cellIs" priority="4" operator="equal" dxfId="2" stopIfTrue="1">
      <formula>"Not Run"</formula>
    </cfRule>
    <cfRule type="cellIs" priority="5" operator="equal" dxfId="1" stopIfTrue="1">
      <formula>"Deferred"</formula>
    </cfRule>
    <cfRule type="cellIs" priority="6" operator="equal" dxfId="0" stopIfTrue="1">
      <formula>"N/A"</formula>
    </cfRule>
  </conditionalFormatting>
  <conditionalFormatting sqref="G2:G5">
    <cfRule type="cellIs" priority="7" operator="equal" dxfId="5" stopIfTrue="1">
      <formula>"Pass"</formula>
    </cfRule>
    <cfRule type="cellIs" priority="8" operator="equal" dxfId="4" stopIfTrue="1">
      <formula>"Fail"</formula>
    </cfRule>
    <cfRule type="cellIs" priority="9" operator="equal" dxfId="3" stopIfTrue="1">
      <formula>"Blocked"</formula>
    </cfRule>
    <cfRule type="cellIs" priority="10" operator="equal" dxfId="2" stopIfTrue="1">
      <formula>"Not Run"</formula>
    </cfRule>
    <cfRule type="cellIs" priority="11" operator="equal" dxfId="1" stopIfTrue="1">
      <formula>"Deferred"</formula>
    </cfRule>
    <cfRule type="cellIs" priority="12" operator="equal" dxfId="0" stopIfTrue="1">
      <formula>"N/A"</formula>
    </cfRule>
  </conditionalFormatting>
  <conditionalFormatting sqref="H2:H5">
    <cfRule type="cellIs" priority="13" operator="equal" dxfId="5" stopIfTrue="1">
      <formula>"Pass"</formula>
    </cfRule>
    <cfRule type="cellIs" priority="14" operator="equal" dxfId="4" stopIfTrue="1">
      <formula>"Fail"</formula>
    </cfRule>
    <cfRule type="cellIs" priority="15" operator="equal" dxfId="3" stopIfTrue="1">
      <formula>"Blocked"</formula>
    </cfRule>
    <cfRule type="cellIs" priority="16" operator="equal" dxfId="2" stopIfTrue="1">
      <formula>"Not Run"</formula>
    </cfRule>
    <cfRule type="cellIs" priority="17" operator="equal" dxfId="1" stopIfTrue="1">
      <formula>"Deferred"</formula>
    </cfRule>
    <cfRule type="cellIs" priority="18" operator="equal" dxfId="0" stopIfTrue="1">
      <formula>"N/A"</formula>
    </cfRule>
  </conditionalFormatting>
  <conditionalFormatting sqref="I2:I5">
    <cfRule type="cellIs" priority="19" operator="equal" dxfId="5" stopIfTrue="1">
      <formula>"Pass"</formula>
    </cfRule>
    <cfRule type="cellIs" priority="20" operator="equal" dxfId="4" stopIfTrue="1">
      <formula>"Fail"</formula>
    </cfRule>
    <cfRule type="cellIs" priority="21" operator="equal" dxfId="3" stopIfTrue="1">
      <formula>"Blocked"</formula>
    </cfRule>
    <cfRule type="cellIs" priority="22" operator="equal" dxfId="2" stopIfTrue="1">
      <formula>"Not Run"</formula>
    </cfRule>
    <cfRule type="cellIs" priority="23" operator="equal" dxfId="1" stopIfTrue="1">
      <formula>"Deferred"</formula>
    </cfRule>
    <cfRule type="cellIs" priority="24" operator="equal" dxfId="0" stopIfTrue="1">
      <formula>"N/A"</formula>
    </cfRule>
  </conditionalFormatting>
  <conditionalFormatting sqref="J2:J5">
    <cfRule type="cellIs" priority="25" operator="equal" dxfId="5" stopIfTrue="1">
      <formula>"Pass"</formula>
    </cfRule>
    <cfRule type="cellIs" priority="26" operator="equal" dxfId="4" stopIfTrue="1">
      <formula>"Fail"</formula>
    </cfRule>
    <cfRule type="cellIs" priority="27" operator="equal" dxfId="3" stopIfTrue="1">
      <formula>"Blocked"</formula>
    </cfRule>
    <cfRule type="cellIs" priority="28" operator="equal" dxfId="2" stopIfTrue="1">
      <formula>"Not Run"</formula>
    </cfRule>
    <cfRule type="cellIs" priority="29" operator="equal" dxfId="1" stopIfTrue="1">
      <formula>"Deferred"</formula>
    </cfRule>
    <cfRule type="cellIs" priority="30" operator="equal" dxfId="0" stopIfTrue="1">
      <formula>"N/A"</formula>
    </cfRule>
  </conditionalFormatting>
  <conditionalFormatting sqref="K2:K5">
    <cfRule type="cellIs" priority="31" operator="equal" dxfId="5" stopIfTrue="1">
      <formula>"Pass"</formula>
    </cfRule>
    <cfRule type="cellIs" priority="32" operator="equal" dxfId="4" stopIfTrue="1">
      <formula>"Fail"</formula>
    </cfRule>
    <cfRule type="cellIs" priority="33" operator="equal" dxfId="3" stopIfTrue="1">
      <formula>"Blocked"</formula>
    </cfRule>
    <cfRule type="cellIs" priority="34" operator="equal" dxfId="2" stopIfTrue="1">
      <formula>"Not Run"</formula>
    </cfRule>
    <cfRule type="cellIs" priority="35" operator="equal" dxfId="1" stopIfTrue="1">
      <formula>"Deferred"</formula>
    </cfRule>
    <cfRule type="cellIs" priority="36" operator="equal" dxfId="0" stopIfTrue="1">
      <formula>"N/A"</formula>
    </cfRule>
  </conditionalFormatting>
  <conditionalFormatting sqref="L2:L5">
    <cfRule type="cellIs" priority="37" operator="equal" dxfId="5" stopIfTrue="1">
      <formula>"Pass"</formula>
    </cfRule>
    <cfRule type="cellIs" priority="38" operator="equal" dxfId="4" stopIfTrue="1">
      <formula>"Fail"</formula>
    </cfRule>
    <cfRule type="cellIs" priority="39" operator="equal" dxfId="3" stopIfTrue="1">
      <formula>"Blocked"</formula>
    </cfRule>
    <cfRule type="cellIs" priority="40" operator="equal" dxfId="2" stopIfTrue="1">
      <formula>"Not Run"</formula>
    </cfRule>
    <cfRule type="cellIs" priority="41" operator="equal" dxfId="1" stopIfTrue="1">
      <formula>"Deferred"</formula>
    </cfRule>
    <cfRule type="cellIs" priority="42" operator="equal" dxfId="0" stopIfTrue="1">
      <formula>"N/A"</formula>
    </cfRule>
  </conditionalFormatting>
  <conditionalFormatting sqref="M2:M5">
    <cfRule type="cellIs" priority="43" operator="equal" dxfId="5" stopIfTrue="1">
      <formula>"Pass"</formula>
    </cfRule>
    <cfRule type="cellIs" priority="44" operator="equal" dxfId="4" stopIfTrue="1">
      <formula>"Fail"</formula>
    </cfRule>
    <cfRule type="cellIs" priority="45" operator="equal" dxfId="3" stopIfTrue="1">
      <formula>"Blocked"</formula>
    </cfRule>
    <cfRule type="cellIs" priority="46" operator="equal" dxfId="2" stopIfTrue="1">
      <formula>"Not Run"</formula>
    </cfRule>
    <cfRule type="cellIs" priority="47" operator="equal" dxfId="1" stopIfTrue="1">
      <formula>"Deferred"</formula>
    </cfRule>
    <cfRule type="cellIs" priority="48" operator="equal" dxfId="0" stopIfTrue="1">
      <formula>"N/A"</formula>
    </cfRule>
  </conditionalFormatting>
  <conditionalFormatting sqref="N2:N5">
    <cfRule type="cellIs" priority="49" operator="equal" dxfId="5" stopIfTrue="1">
      <formula>"Pass"</formula>
    </cfRule>
    <cfRule type="cellIs" priority="50" operator="equal" dxfId="4" stopIfTrue="1">
      <formula>"Fail"</formula>
    </cfRule>
    <cfRule type="cellIs" priority="51" operator="equal" dxfId="3" stopIfTrue="1">
      <formula>"Blocked"</formula>
    </cfRule>
    <cfRule type="cellIs" priority="52" operator="equal" dxfId="2" stopIfTrue="1">
      <formula>"Not Run"</formula>
    </cfRule>
    <cfRule type="cellIs" priority="53" operator="equal" dxfId="1" stopIfTrue="1">
      <formula>"Deferred"</formula>
    </cfRule>
    <cfRule type="cellIs" priority="54" operator="equal" dxfId="0" stopIfTrue="1">
      <formula>"N/A"</formula>
    </cfRule>
  </conditionalFormatting>
  <conditionalFormatting sqref="O2:O5">
    <cfRule type="cellIs" priority="55" operator="equal" dxfId="5" stopIfTrue="1">
      <formula>"Pass"</formula>
    </cfRule>
    <cfRule type="cellIs" priority="56" operator="equal" dxfId="4" stopIfTrue="1">
      <formula>"Fail"</formula>
    </cfRule>
    <cfRule type="cellIs" priority="57" operator="equal" dxfId="3" stopIfTrue="1">
      <formula>"Blocked"</formula>
    </cfRule>
    <cfRule type="cellIs" priority="58" operator="equal" dxfId="2" stopIfTrue="1">
      <formula>"Not Run"</formula>
    </cfRule>
    <cfRule type="cellIs" priority="59" operator="equal" dxfId="1" stopIfTrue="1">
      <formula>"Deferred"</formula>
    </cfRule>
    <cfRule type="cellIs" priority="60" operator="equal" dxfId="0" stopIfTrue="1">
      <formula>"N/A"</formula>
    </cfRule>
  </conditionalFormatting>
  <conditionalFormatting sqref="P2:P5">
    <cfRule type="cellIs" priority="61" operator="equal" dxfId="5" stopIfTrue="1">
      <formula>"Pass"</formula>
    </cfRule>
    <cfRule type="cellIs" priority="62" operator="equal" dxfId="4" stopIfTrue="1">
      <formula>"Fail"</formula>
    </cfRule>
    <cfRule type="cellIs" priority="63" operator="equal" dxfId="3" stopIfTrue="1">
      <formula>"Blocked"</formula>
    </cfRule>
    <cfRule type="cellIs" priority="64" operator="equal" dxfId="2" stopIfTrue="1">
      <formula>"Not Run"</formula>
    </cfRule>
    <cfRule type="cellIs" priority="65" operator="equal" dxfId="1" stopIfTrue="1">
      <formula>"Deferred"</formula>
    </cfRule>
    <cfRule type="cellIs" priority="66" operator="equal" dxfId="0" stopIfTrue="1">
      <formula>"N/A"</formula>
    </cfRule>
  </conditionalFormatting>
  <dataValidations count="2">
    <dataValidation sqref="A2:A5" showDropDown="0" showInputMessage="1" showErrorMessage="1" allowBlank="1" errorTitle="Select a valid checklist value" error="Choose a value from the dropdown list." type="list">
      <formula1>CheckOptions</formula1>
    </dataValidation>
    <dataValidation sqref="F2:P5" showDropDown="0" showInputMessage="1" showErrorMessage="1" allowBlank="1" errorTitle="Select a valid checklist value" error="Choose a value from the dropdown list." type="list">
      <formula1>StatusOptions</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265272"/>
    <outlinePr summaryBelow="1" summaryRight="1"/>
    <pageSetUpPr/>
  </sheetPr>
  <dimension ref="A1:P1000"/>
  <sheetViews>
    <sheetView showGridLines="0" workbookViewId="0">
      <selection activeCell="A1" sqref="A1"/>
    </sheetView>
  </sheetViews>
  <sheetFormatPr baseColWidth="8" defaultRowHeight="15"/>
  <cols>
    <col width="13.7109375" customWidth="1" style="78" min="1" max="1"/>
    <col width="36.7109375" customWidth="1" style="78" min="2" max="2"/>
    <col width="12.7109375" customWidth="1" style="78" min="3" max="3"/>
    <col width="24.7109375" customWidth="1" style="78" min="4" max="4"/>
    <col width="22.7109375" customWidth="1" style="78" min="5" max="5"/>
    <col width="46.7109375" customWidth="1" style="78" min="6" max="6"/>
    <col width="38.7109375" customWidth="1" style="78" min="7" max="8"/>
    <col width="15.7109375" customWidth="1" style="78" min="9" max="9"/>
    <col width="18.7109375" customWidth="1" style="78" min="10" max="10"/>
    <col width="13.7109375" customWidth="1" style="78" min="11" max="11"/>
    <col width="21.85546875" customWidth="1" style="78" min="12" max="12"/>
    <col width="15.7109375" customWidth="1" style="78" min="13" max="13"/>
    <col width="13.85546875" customWidth="1" style="78" min="14" max="14"/>
    <col width="38.7109375" customWidth="1" style="78" min="15" max="15"/>
    <col width="34.7109375" customWidth="1" style="78" min="16" max="16"/>
  </cols>
  <sheetData>
    <row r="1" ht="33.95" customHeight="1" s="78">
      <c r="A1" s="7" t="inlineStr">
        <is>
          <t>Defect ID</t>
        </is>
      </c>
      <c r="B1" s="7" t="inlineStr">
        <is>
          <t>Title</t>
        </is>
      </c>
      <c r="C1" s="7" t="inlineStr">
        <is>
          <t>Severity</t>
        </is>
      </c>
      <c r="D1" s="7" t="inlineStr">
        <is>
          <t>Category</t>
        </is>
      </c>
      <c r="E1" s="7" t="inlineStr">
        <is>
          <t>Environment</t>
        </is>
      </c>
      <c r="F1" s="7" t="inlineStr">
        <is>
          <t>Steps to Reproduce</t>
        </is>
      </c>
      <c r="G1" s="7" t="inlineStr">
        <is>
          <t>Expected</t>
        </is>
      </c>
      <c r="H1" s="7" t="inlineStr">
        <is>
          <t>Actual</t>
        </is>
      </c>
      <c r="I1" s="7" t="inlineStr">
        <is>
          <t>Status</t>
        </is>
      </c>
      <c r="J1" s="7" t="inlineStr">
        <is>
          <t>Owner</t>
        </is>
      </c>
      <c r="K1" s="7" t="inlineStr">
        <is>
          <t>Found Date</t>
        </is>
      </c>
      <c r="L1" s="7" t="inlineStr">
        <is>
          <t>Fix Version / Commit</t>
        </is>
      </c>
      <c r="M1" s="7" t="inlineStr">
        <is>
          <t>Retest Result</t>
        </is>
      </c>
      <c r="N1" s="7" t="inlineStr">
        <is>
          <t>Retest Date</t>
        </is>
      </c>
      <c r="O1" s="7" t="inlineStr">
        <is>
          <t>Evidence Link / Path</t>
        </is>
      </c>
      <c r="P1" s="7" t="inlineStr">
        <is>
          <t>Notes</t>
        </is>
      </c>
    </row>
    <row r="2" ht="48" customHeight="1" s="78">
      <c r="A2" s="9" t="n"/>
      <c r="B2" s="9" t="n"/>
      <c r="C2" s="9" t="n"/>
      <c r="D2" s="9" t="n"/>
      <c r="E2" s="9" t="n"/>
      <c r="F2" s="9" t="n"/>
      <c r="G2" s="9" t="n"/>
      <c r="H2" s="9" t="n"/>
      <c r="I2" s="9" t="n"/>
      <c r="J2" s="9" t="n"/>
      <c r="K2" s="10" t="n"/>
      <c r="L2" s="9" t="n"/>
      <c r="M2" s="9" t="n"/>
      <c r="N2" s="10" t="n"/>
      <c r="O2" s="9" t="n"/>
      <c r="P2" s="9" t="inlineStr">
        <is>
          <t>Enter the first real v4 defect here. No new product defect was found in the 2026-08-04 SQA run.</t>
        </is>
      </c>
    </row>
    <row r="3" ht="84.95" customHeight="1" s="78">
      <c r="A3" s="26" t="inlineStr">
        <is>
          <t>SR-01</t>
        </is>
      </c>
      <c r="B3" s="26" t="inlineStr">
        <is>
          <t>Safe math.dist wrongly blocked</t>
        </is>
      </c>
      <c r="C3" s="26" t="inlineStr">
        <is>
          <t>P1</t>
        </is>
      </c>
      <c r="D3" s="26" t="inlineStr">
        <is>
          <t>Sandbox</t>
        </is>
      </c>
      <c r="E3" s="26" t="inlineStr">
        <is>
          <t>Local staging</t>
        </is>
      </c>
      <c r="F3" s="26" t="inlineStr">
        <is>
          <t>Use math.dist for a correct route</t>
        </is>
      </c>
      <c r="G3" s="26" t="inlineStr">
        <is>
          <t>100% for equivalent correct method</t>
        </is>
      </c>
      <c r="H3" s="26" t="inlineStr">
        <is>
          <t>Blocked import attribute</t>
        </is>
      </c>
      <c r="I3" s="26" t="inlineStr">
        <is>
          <t>Fixed</t>
        </is>
      </c>
      <c r="J3" s="26" t="inlineStr">
        <is>
          <t>Development</t>
        </is>
      </c>
      <c r="K3" s="74" t="n">
        <v>46295.5</v>
      </c>
      <c r="L3" s="26" t="inlineStr">
        <is>
          <t>Uncommitted</t>
        </is>
      </c>
      <c r="M3" s="26" t="inlineStr">
        <is>
          <t>PASS</t>
        </is>
      </c>
      <c r="N3" s="74" t="n">
        <v>46295.5</v>
      </c>
      <c r="O3" s="26" t="inlineStr">
        <is>
          <t>STUDENT-2026-09-30</t>
        </is>
      </c>
      <c r="P3" s="26" t="inlineStr">
        <is>
          <t>Safe math allowlist and equivalent-method tests</t>
        </is>
      </c>
    </row>
    <row r="4" ht="84.95" customHeight="1" s="78">
      <c r="A4" s="26" t="inlineStr">
        <is>
          <t>SR-02</t>
        </is>
      </c>
      <c r="B4" s="26" t="inlineStr">
        <is>
          <t>Extra return values earned full credit</t>
        </is>
      </c>
      <c r="C4" s="26" t="inlineStr">
        <is>
          <t>P1</t>
        </is>
      </c>
      <c r="D4" s="26" t="inlineStr">
        <is>
          <t>Grading</t>
        </is>
      </c>
      <c r="E4" s="26" t="inlineStr">
        <is>
          <t>Local staging</t>
        </is>
      </c>
      <c r="F4" s="26" t="inlineStr">
        <is>
          <t>Return five values from four-value route function</t>
        </is>
      </c>
      <c r="G4" s="26" t="inlineStr">
        <is>
          <t>Invalid contract rejected</t>
        </is>
      </c>
      <c r="H4" s="26" t="inlineStr">
        <is>
          <t>100% accepted</t>
        </is>
      </c>
      <c r="I4" s="26" t="inlineStr">
        <is>
          <t>Fixed</t>
        </is>
      </c>
      <c r="J4" s="26" t="inlineStr">
        <is>
          <t>Development</t>
        </is>
      </c>
      <c r="K4" s="74" t="n">
        <v>46295.5</v>
      </c>
      <c r="L4" s="26" t="inlineStr">
        <is>
          <t>Uncommitted</t>
        </is>
      </c>
      <c r="M4" s="26" t="inlineStr">
        <is>
          <t>PASS</t>
        </is>
      </c>
      <c r="N4" s="74" t="n">
        <v>46295.5</v>
      </c>
      <c r="O4" s="26" t="inlineStr">
        <is>
          <t>STUDENT-2026-09-30</t>
        </is>
      </c>
      <c r="P4" s="26" t="inlineStr">
        <is>
          <t>Exact return-count validation and regression tests</t>
        </is>
      </c>
    </row>
    <row r="5" ht="84.95" customHeight="1" s="78">
      <c r="A5" s="26" t="inlineStr">
        <is>
          <t>SR-03</t>
        </is>
      </c>
      <c r="B5" s="26" t="inlineStr">
        <is>
          <t>Grading routes did not match valid Bug2 geometry</t>
        </is>
      </c>
      <c r="C5" s="26" t="inlineStr">
        <is>
          <t>P1</t>
        </is>
      </c>
      <c r="D5" s="26" t="inlineStr">
        <is>
          <t>Assignment</t>
        </is>
      </c>
      <c r="E5" s="26" t="inlineStr">
        <is>
          <t>Local staging</t>
        </is>
      </c>
      <c r="F5" s="26" t="inlineStr">
        <is>
          <t>Review alternate grading scenarios</t>
        </is>
      </c>
      <c r="G5" s="26" t="inlineStr">
        <is>
          <t>M-line hit/leave and valid boundary segments</t>
        </is>
      </c>
      <c r="H5" s="26" t="inlineStr">
        <is>
          <t>Invalid route geometry</t>
        </is>
      </c>
      <c r="I5" s="26" t="inlineStr">
        <is>
          <t>Fixed</t>
        </is>
      </c>
      <c r="J5" s="26" t="inlineStr">
        <is>
          <t>Development</t>
        </is>
      </c>
      <c r="K5" s="74" t="n">
        <v>46295.5</v>
      </c>
      <c r="L5" s="26" t="inlineStr">
        <is>
          <t>Uncommitted</t>
        </is>
      </c>
      <c r="M5" s="26" t="inlineStr">
        <is>
          <t>PASS</t>
        </is>
      </c>
      <c r="N5" s="74" t="n">
        <v>46295.5</v>
      </c>
      <c r="O5" s="26" t="inlineStr">
        <is>
          <t>STUDENT-2026-09-30</t>
        </is>
      </c>
      <c r="P5" s="26" t="inlineStr">
        <is>
          <t>Corrected scenarios, independently calculated expected values, version bump</t>
        </is>
      </c>
    </row>
    <row r="6" ht="84.95" customHeight="1" s="78">
      <c r="A6" s="26" t="inlineStr">
        <is>
          <t>SR-04</t>
        </is>
      </c>
      <c r="B6" s="26" t="inlineStr">
        <is>
          <t>Swapped approach and departure could pass</t>
        </is>
      </c>
      <c r="C6" s="26" t="inlineStr">
        <is>
          <t>P1</t>
        </is>
      </c>
      <c r="D6" s="26" t="inlineStr">
        <is>
          <t>Grading</t>
        </is>
      </c>
      <c r="E6" s="26" t="inlineStr">
        <is>
          <t>Local staging</t>
        </is>
      </c>
      <c r="F6" s="26" t="inlineStr">
        <is>
          <t>Swap first and third return values</t>
        </is>
      </c>
      <c r="G6" s="26" t="inlineStr">
        <is>
          <t>Wrong order loses affected credit</t>
        </is>
      </c>
      <c r="H6" s="26" t="inlineStr">
        <is>
          <t>Equal lengths masked swap</t>
        </is>
      </c>
      <c r="I6" s="26" t="inlineStr">
        <is>
          <t>Fixed</t>
        </is>
      </c>
      <c r="J6" s="26" t="inlineStr">
        <is>
          <t>Development</t>
        </is>
      </c>
      <c r="K6" s="74" t="n">
        <v>46295.5</v>
      </c>
      <c r="L6" s="26" t="inlineStr">
        <is>
          <t>Uncommitted</t>
        </is>
      </c>
      <c r="M6" s="26" t="inlineStr">
        <is>
          <t>PASS</t>
        </is>
      </c>
      <c r="N6" s="74" t="n">
        <v>46295.5</v>
      </c>
      <c r="O6" s="26" t="inlineStr">
        <is>
          <t>STUDENT-2026-09-30</t>
        </is>
      </c>
      <c r="P6" s="26" t="inlineStr">
        <is>
          <t>Distinct-distance scenario and all return permutations</t>
        </is>
      </c>
    </row>
    <row r="7" ht="84.95" customHeight="1" s="78">
      <c r="A7" s="26" t="inlineStr">
        <is>
          <t>SR-05</t>
        </is>
      </c>
      <c r="B7" s="26" t="inlineStr">
        <is>
          <t>Built-in hints criticized passing work</t>
        </is>
      </c>
      <c r="C7" s="26" t="inlineStr">
        <is>
          <t>P2</t>
        </is>
      </c>
      <c r="D7" s="26" t="inlineStr">
        <is>
          <t>Tutor</t>
        </is>
      </c>
      <c r="E7" s="26" t="inlineStr">
        <is>
          <t>Local staging</t>
        </is>
      </c>
      <c r="F7" s="26" t="inlineStr">
        <is>
          <t>Request hint after all checks passed</t>
        </is>
      </c>
      <c r="G7" s="26" t="inlineStr">
        <is>
          <t>Acknowledge successful checks</t>
        </is>
      </c>
      <c r="H7" s="26" t="inlineStr">
        <is>
          <t>Failure-oriented advice</t>
        </is>
      </c>
      <c r="I7" s="26" t="inlineStr">
        <is>
          <t>Fixed</t>
        </is>
      </c>
      <c r="J7" s="26" t="inlineStr">
        <is>
          <t>Development</t>
        </is>
      </c>
      <c r="K7" s="74" t="n">
        <v>46295.5</v>
      </c>
      <c r="L7" s="26" t="inlineStr">
        <is>
          <t>Uncommitted</t>
        </is>
      </c>
      <c r="M7" s="26" t="inlineStr">
        <is>
          <t>PASS</t>
        </is>
      </c>
      <c r="N7" s="74" t="n">
        <v>46295.5</v>
      </c>
      <c r="O7" s="26" t="inlineStr">
        <is>
          <t>STUDENT-2026-09-30</t>
        </is>
      </c>
      <c r="P7" s="26" t="inlineStr">
        <is>
          <t>Success and missing-evidence handling</t>
        </is>
      </c>
    </row>
    <row r="8" ht="84.95" customHeight="1" s="78">
      <c r="A8" s="26" t="inlineStr">
        <is>
          <t>SR-06</t>
        </is>
      </c>
      <c r="B8" s="26" t="inlineStr">
        <is>
          <t>Unsupported misconception labels</t>
        </is>
      </c>
      <c r="C8" s="26" t="inlineStr">
        <is>
          <t>P1</t>
        </is>
      </c>
      <c r="D8" s="26" t="inlineStr">
        <is>
          <t>Research</t>
        </is>
      </c>
      <c r="E8" s="26" t="inlineStr">
        <is>
          <t>Local staging</t>
        </is>
      </c>
      <c r="F8" s="26" t="inlineStr">
        <is>
          <t>Request hints at different levels or AI feedback</t>
        </is>
      </c>
      <c r="G8" s="26" t="inlineStr">
        <is>
          <t>Only evidence-supported tags</t>
        </is>
      </c>
      <c r="H8" s="26" t="inlineStr">
        <is>
          <t>Hint level or model guess became a label</t>
        </is>
      </c>
      <c r="I8" s="26" t="inlineStr">
        <is>
          <t>Fixed</t>
        </is>
      </c>
      <c r="J8" s="26" t="inlineStr">
        <is>
          <t>Development</t>
        </is>
      </c>
      <c r="K8" s="74" t="n">
        <v>46295.5</v>
      </c>
      <c r="L8" s="26" t="inlineStr">
        <is>
          <t>Uncommitted</t>
        </is>
      </c>
      <c r="M8" s="26" t="inlineStr">
        <is>
          <t>PASS</t>
        </is>
      </c>
      <c r="N8" s="74" t="n">
        <v>46295.5</v>
      </c>
      <c r="O8" s="26" t="inlineStr">
        <is>
          <t>STUDENT-2026-09-30</t>
        </is>
      </c>
      <c r="P8" s="26" t="inlineStr">
        <is>
          <t>Removed unsupported labels from built-in and AI feedback</t>
        </is>
      </c>
    </row>
    <row r="9" ht="84.95" customHeight="1" s="78">
      <c r="A9" s="26" t="inlineStr">
        <is>
          <t>SR-07</t>
        </is>
      </c>
      <c r="B9" s="26" t="inlineStr">
        <is>
          <t>Built-in hint UI absent with AI off</t>
        </is>
      </c>
      <c r="C9" s="26" t="inlineStr">
        <is>
          <t>P2</t>
        </is>
      </c>
      <c r="D9" s="26" t="inlineStr">
        <is>
          <t>UI/API</t>
        </is>
      </c>
      <c r="E9" s="26" t="inlineStr">
        <is>
          <t>Local staging</t>
        </is>
      </c>
      <c r="F9" s="26" t="inlineStr">
        <is>
          <t>Run incomplete work with AI disabled</t>
        </is>
      </c>
      <c r="G9" s="26" t="inlineStr">
        <is>
          <t>Hint and progression available</t>
        </is>
      </c>
      <c r="H9" s="26" t="inlineStr">
        <is>
          <t>Only test details shown</t>
        </is>
      </c>
      <c r="I9" s="26" t="inlineStr">
        <is>
          <t>Fixed</t>
        </is>
      </c>
      <c r="J9" s="26" t="inlineStr">
        <is>
          <t>Development</t>
        </is>
      </c>
      <c r="K9" s="74" t="n">
        <v>46295.5</v>
      </c>
      <c r="L9" s="26" t="inlineStr">
        <is>
          <t>Uncommitted</t>
        </is>
      </c>
      <c r="M9" s="26" t="inlineStr">
        <is>
          <t>PASS</t>
        </is>
      </c>
      <c r="N9" s="74" t="n">
        <v>46295.5</v>
      </c>
      <c r="O9" s="26" t="inlineStr">
        <is>
          <t>STUDENT-2026-09-30</t>
        </is>
      </c>
      <c r="P9" s="26" t="inlineStr">
        <is>
          <t>Initial deterministic hint without paid call or invented hint-request event</t>
        </is>
      </c>
    </row>
    <row r="10" ht="84.95" customHeight="1" s="78">
      <c r="A10" s="26" t="inlineStr">
        <is>
          <t>SR-08</t>
        </is>
      </c>
      <c r="B10" s="26" t="inlineStr">
        <is>
          <t>AI advised removing diagnostic prints</t>
        </is>
      </c>
      <c r="C10" s="26" t="inlineStr">
        <is>
          <t>P1</t>
        </is>
      </c>
      <c r="D10" s="26" t="inlineStr">
        <is>
          <t>Tutor</t>
        </is>
      </c>
      <c r="E10" s="26" t="inlineStr">
        <is>
          <t>Local staging</t>
        </is>
      </c>
      <c r="F10" s="26" t="inlineStr">
        <is>
          <t>Ask about an extra return value</t>
        </is>
      </c>
      <c r="G10" s="26" t="inlineStr">
        <is>
          <t>Distinguish prints from return contract</t>
        </is>
      </c>
      <c r="H10" s="26" t="inlineStr">
        <is>
          <t>Wrong advice to remove prints</t>
        </is>
      </c>
      <c r="I10" s="26" t="inlineStr">
        <is>
          <t>Fixed</t>
        </is>
      </c>
      <c r="J10" s="26" t="inlineStr">
        <is>
          <t>Development</t>
        </is>
      </c>
      <c r="K10" s="74" t="n">
        <v>46295.5</v>
      </c>
      <c r="L10" s="26" t="inlineStr">
        <is>
          <t>Uncommitted</t>
        </is>
      </c>
      <c r="M10" s="26" t="inlineStr">
        <is>
          <t>PASS</t>
        </is>
      </c>
      <c r="N10" s="74" t="n">
        <v>46295.5</v>
      </c>
      <c r="O10" s="26" t="inlineStr">
        <is>
          <t>STUDENT-2026-09-30</t>
        </is>
      </c>
      <c r="P10" s="26" t="inlineStr">
        <is>
          <t>Clarified tutor instructions; real request 9 retested</t>
        </is>
      </c>
    </row>
    <row r="11" ht="84.95" customHeight="1" s="78">
      <c r="A11" s="26" t="inlineStr">
        <is>
          <t>SR-09</t>
        </is>
      </c>
      <c r="B11" s="26" t="inlineStr">
        <is>
          <t>Scoring scope insufficiently explicit</t>
        </is>
      </c>
      <c r="C11" s="26" t="inlineStr">
        <is>
          <t>P2</t>
        </is>
      </c>
      <c r="D11" s="26" t="inlineStr">
        <is>
          <t>Instructions</t>
        </is>
      </c>
      <c r="E11" s="26" t="inlineStr">
        <is>
          <t>Local staging</t>
        </is>
      </c>
      <c r="F11" s="26" t="inlineStr">
        <is>
          <t>Read assignments 1 and 2 as a new student</t>
        </is>
      </c>
      <c r="G11" s="26" t="inlineStr">
        <is>
          <t>Explain 25% weights and supplied-route scope</t>
        </is>
      </c>
      <c r="H11" s="26" t="inlineStr">
        <is>
          <t>Scoring across scenarios and scope unclear</t>
        </is>
      </c>
      <c r="I11" s="26" t="inlineStr">
        <is>
          <t>Fixed</t>
        </is>
      </c>
      <c r="J11" s="26" t="inlineStr">
        <is>
          <t>Development</t>
        </is>
      </c>
      <c r="K11" s="74" t="n">
        <v>46295.5</v>
      </c>
      <c r="L11" s="26" t="inlineStr">
        <is>
          <t>Uncommitted</t>
        </is>
      </c>
      <c r="M11" s="26" t="inlineStr">
        <is>
          <t>PASS</t>
        </is>
      </c>
      <c r="N11" s="74" t="n">
        <v>46295.5</v>
      </c>
      <c r="O11" s="26" t="inlineStr">
        <is>
          <t>STUDENT-2026-09-30</t>
        </is>
      </c>
      <c r="P11" s="26" t="inlineStr">
        <is>
          <t>Added scope, partial-credit, return, numeric and AI rules</t>
        </is>
      </c>
    </row>
    <row r="12" ht="95.09999999999999" customHeight="1" s="78">
      <c r="A12" s="26" t="inlineStr">
        <is>
          <t>OR-01</t>
        </is>
      </c>
      <c r="B12" s="26" t="inlineStr">
        <is>
          <t>Hardcoded sector count accepted</t>
        </is>
      </c>
      <c r="C12" s="26" t="inlineStr">
        <is>
          <t>P1</t>
        </is>
      </c>
      <c r="D12" s="26" t="inlineStr">
        <is>
          <t>Grading</t>
        </is>
      </c>
      <c r="E12" s="26" t="inlineStr">
        <is>
          <t>Local staging</t>
        </is>
      </c>
      <c r="F12" s="26" t="inlineStr">
        <is>
          <t>A4 return constant 360</t>
        </is>
      </c>
      <c r="G12" s="26" t="inlineStr">
        <is>
          <t>Affected count check fails</t>
        </is>
      </c>
      <c r="H12" s="26" t="inlineStr">
        <is>
          <t>100% before fix</t>
        </is>
      </c>
      <c r="I12" s="26" t="inlineStr">
        <is>
          <t>Fixed</t>
        </is>
      </c>
      <c r="J12" s="26" t="inlineStr">
        <is>
          <t>Development</t>
        </is>
      </c>
      <c r="K12" s="74" t="n">
        <v>46295.5</v>
      </c>
      <c r="L12" s="26" t="inlineStr">
        <is>
          <t>Reviewed staging changes</t>
        </is>
      </c>
      <c r="M12" s="26" t="inlineStr">
        <is>
          <t>PASS</t>
        </is>
      </c>
      <c r="N12" s="74" t="n">
        <v>46295.5</v>
      </c>
      <c r="O12" s="26" t="inlineStr">
        <is>
          <t>REMAINING-2026-09-30</t>
        </is>
      </c>
      <c r="P12" s="26" t="inlineStr">
        <is>
          <t>Varied fill/seed counts and density ties; real regression</t>
        </is>
      </c>
    </row>
    <row r="13" ht="95.09999999999999" customHeight="1" s="78">
      <c r="A13" s="26" t="inlineStr">
        <is>
          <t>OR-02</t>
        </is>
      </c>
      <c r="B13" s="26" t="inlineStr">
        <is>
          <t>Late ROS stop accepted</t>
        </is>
      </c>
      <c r="C13" s="26" t="inlineStr">
        <is>
          <t>P1</t>
        </is>
      </c>
      <c r="D13" s="26" t="inlineStr">
        <is>
          <t>Grading</t>
        </is>
      </c>
      <c r="E13" s="26" t="inlineStr">
        <is>
          <t>Local staging</t>
        </is>
      </c>
      <c r="F13" s="26" t="inlineStr">
        <is>
          <t>A5 stop after six seconds</t>
        </is>
      </c>
      <c r="G13" s="26" t="inlineStr">
        <is>
          <t>Safe-stop and hold checks fail</t>
        </is>
      </c>
      <c r="H13" s="26" t="inlineStr">
        <is>
          <t>100% before fix</t>
        </is>
      </c>
      <c r="I13" s="26" t="inlineStr">
        <is>
          <t>Fixed</t>
        </is>
      </c>
      <c r="J13" s="26" t="inlineStr">
        <is>
          <t>Development</t>
        </is>
      </c>
      <c r="K13" s="74" t="n">
        <v>46295.5</v>
      </c>
      <c r="L13" s="26" t="inlineStr">
        <is>
          <t>Reviewed staging changes</t>
        </is>
      </c>
      <c r="M13" s="26" t="inlineStr">
        <is>
          <t>PASS</t>
        </is>
      </c>
      <c r="N13" s="74" t="n">
        <v>46295.5</v>
      </c>
      <c r="O13" s="26" t="inlineStr">
        <is>
          <t>REMAINING-2026-09-30</t>
        </is>
      </c>
      <c r="P13" s="26" t="inlineStr">
        <is>
          <t>Command-relative clock; actual Docker result 70%</t>
        </is>
      </c>
    </row>
    <row r="14" ht="95.09999999999999" customHeight="1" s="78">
      <c r="A14" s="26" t="inlineStr">
        <is>
          <t>OR-03</t>
        </is>
      </c>
      <c r="B14" s="26" t="inlineStr">
        <is>
          <t>Incorrect ROS stop threshold accepted</t>
        </is>
      </c>
      <c r="C14" s="26" t="inlineStr">
        <is>
          <t>P1</t>
        </is>
      </c>
      <c r="D14" s="26" t="inlineStr">
        <is>
          <t>Grading</t>
        </is>
      </c>
      <c r="E14" s="26" t="inlineStr">
        <is>
          <t>Local staging</t>
        </is>
      </c>
      <c r="F14" s="26" t="inlineStr">
        <is>
          <t>A6 threshold 0.50 or moves at 0.75</t>
        </is>
      </c>
      <c r="G14" s="26" t="inlineStr">
        <is>
          <t>Obstacle criterion fails</t>
        </is>
      </c>
      <c r="H14" s="26" t="inlineStr">
        <is>
          <t>100% before fix</t>
        </is>
      </c>
      <c r="I14" s="26" t="inlineStr">
        <is>
          <t>Fixed</t>
        </is>
      </c>
      <c r="J14" s="26" t="inlineStr">
        <is>
          <t>Development</t>
        </is>
      </c>
      <c r="K14" s="74" t="n">
        <v>46295.5</v>
      </c>
      <c r="L14" s="26" t="inlineStr">
        <is>
          <t>Reviewed staging changes</t>
        </is>
      </c>
      <c r="M14" s="26" t="inlineStr">
        <is>
          <t>PASS</t>
        </is>
      </c>
      <c r="N14" s="74" t="n">
        <v>46295.5</v>
      </c>
      <c r="O14" s="26" t="inlineStr">
        <is>
          <t>REMAINING-2026-09-30</t>
        </is>
      </c>
      <c r="P14" s="26" t="inlineStr">
        <is>
          <t>Exact and near-threshold scans; actual result 80%</t>
        </is>
      </c>
    </row>
    <row r="15" ht="95.09999999999999" customHeight="1" s="78">
      <c r="A15" s="26" t="inlineStr">
        <is>
          <t>OR-04</t>
        </is>
      </c>
      <c r="B15" s="26" t="inlineStr">
        <is>
          <t>ROS starter timed out</t>
        </is>
      </c>
      <c r="C15" s="26" t="inlineStr">
        <is>
          <t>P1</t>
        </is>
      </c>
      <c r="D15" s="26" t="inlineStr">
        <is>
          <t>Grading</t>
        </is>
      </c>
      <c r="E15" s="26" t="inlineStr">
        <is>
          <t>Local staging</t>
        </is>
      </c>
      <c r="F15" s="26" t="inlineStr">
        <is>
          <t>A6 run unready starter</t>
        </is>
      </c>
      <c r="G15" s="26" t="inlineStr">
        <is>
          <t>Return scaffold feedback promptly</t>
        </is>
      </c>
      <c r="H15" s="26" t="inlineStr">
        <is>
          <t>0% timeout during expanded test</t>
        </is>
      </c>
      <c r="I15" s="26" t="inlineStr">
        <is>
          <t>Fixed</t>
        </is>
      </c>
      <c r="J15" s="26" t="inlineStr">
        <is>
          <t>Development</t>
        </is>
      </c>
      <c r="K15" s="74" t="n">
        <v>46295.5</v>
      </c>
      <c r="L15" s="26" t="inlineStr">
        <is>
          <t>Reviewed staging changes</t>
        </is>
      </c>
      <c r="M15" s="26" t="inlineStr">
        <is>
          <t>PASS</t>
        </is>
      </c>
      <c r="N15" s="74" t="n">
        <v>46295.5</v>
      </c>
      <c r="O15" s="26" t="inlineStr">
        <is>
          <t>REMAINING-2026-09-30</t>
        </is>
      </c>
      <c r="P15" s="26" t="inlineStr">
        <is>
          <t>Skip scored phases when readiness fails; actual retest 10%</t>
        </is>
      </c>
    </row>
    <row r="16" ht="95.09999999999999" customHeight="1" s="78">
      <c r="A16" s="26" t="inlineStr">
        <is>
          <t>OR-05</t>
        </is>
      </c>
      <c r="B16" s="26" t="inlineStr">
        <is>
          <t>Obsolete maintained-answer paths</t>
        </is>
      </c>
      <c r="C16" s="26" t="inlineStr">
        <is>
          <t>P2</t>
        </is>
      </c>
      <c r="D16" s="26" t="inlineStr">
        <is>
          <t>Repository</t>
        </is>
      </c>
      <c r="E16" s="26" t="inlineStr">
        <is>
          <t>Local staging</t>
        </is>
      </c>
      <c r="F16" s="26" t="inlineStr">
        <is>
          <t>Run maintained ROS checker</t>
        </is>
      </c>
      <c r="G16" s="26" t="inlineStr">
        <is>
          <t>Paths resolve after answer-folder rename</t>
        </is>
      </c>
      <c r="H16" s="26" t="inlineStr">
        <is>
          <t>Missing old manual_sqa_answers paths</t>
        </is>
      </c>
      <c r="I16" s="26" t="inlineStr">
        <is>
          <t>Fixed</t>
        </is>
      </c>
      <c r="J16" s="26" t="inlineStr">
        <is>
          <t>Development</t>
        </is>
      </c>
      <c r="K16" s="74" t="n">
        <v>46295.5</v>
      </c>
      <c r="L16" s="26" t="inlineStr">
        <is>
          <t>Reviewed staging changes</t>
        </is>
      </c>
      <c r="M16" s="26" t="inlineStr">
        <is>
          <t>PASS</t>
        </is>
      </c>
      <c r="N16" s="74" t="n">
        <v>46295.5</v>
      </c>
      <c r="O16" s="26" t="inlineStr">
        <is>
          <t>REMAINING-2026-09-30</t>
        </is>
      </c>
      <c r="P16" s="26" t="inlineStr">
        <is>
          <t>Seeds now point to assignments_answers</t>
        </is>
      </c>
    </row>
    <row r="17" ht="95.09999999999999" customHeight="1" s="78">
      <c r="A17" s="26" t="inlineStr">
        <is>
          <t>OR-06</t>
        </is>
      </c>
      <c r="B17" s="26" t="inlineStr">
        <is>
          <t>Tie policy and scoring not explicit</t>
        </is>
      </c>
      <c r="C17" s="26" t="inlineStr">
        <is>
          <t>P2</t>
        </is>
      </c>
      <c r="D17" s="26" t="inlineStr">
        <is>
          <t>Instructions</t>
        </is>
      </c>
      <c r="E17" s="26" t="inlineStr">
        <is>
          <t>Local staging</t>
        </is>
      </c>
      <c r="F17" s="26" t="inlineStr">
        <is>
          <t>Read A3/A4/ROS rules</t>
        </is>
      </c>
      <c r="G17" s="26" t="inlineStr">
        <is>
          <t>Clear tie and scaffold conventions</t>
        </is>
      </c>
      <c r="H17" s="26" t="inlineStr">
        <is>
          <t>Unspecified tie/scaffold behavior</t>
        </is>
      </c>
      <c r="I17" s="26" t="inlineStr">
        <is>
          <t>Fixed</t>
        </is>
      </c>
      <c r="J17" s="26" t="inlineStr">
        <is>
          <t>Development</t>
        </is>
      </c>
      <c r="K17" s="74" t="n">
        <v>46295.5</v>
      </c>
      <c r="L17" s="26" t="inlineStr">
        <is>
          <t>Reviewed staging changes</t>
        </is>
      </c>
      <c r="M17" s="26" t="inlineStr">
        <is>
          <t>PASS</t>
        </is>
      </c>
      <c r="N17" s="74" t="n">
        <v>46295.5</v>
      </c>
      <c r="O17" s="26" t="inlineStr">
        <is>
          <t>REMAINING-2026-09-30</t>
        </is>
      </c>
      <c r="P17" s="26" t="inlineStr">
        <is>
          <t>Versioned instructions and regression cases</t>
        </is>
      </c>
    </row>
    <row r="18" ht="95.09999999999999" customHeight="1" s="78">
      <c r="A18" s="26" t="inlineStr">
        <is>
          <t>OR-07</t>
        </is>
      </c>
      <c r="B18" s="26" t="inlineStr">
        <is>
          <t>AI added excluded wrapping</t>
        </is>
      </c>
      <c r="C18" s="26" t="inlineStr">
        <is>
          <t>P1</t>
        </is>
      </c>
      <c r="D18" s="26" t="inlineStr">
        <is>
          <t>Tutor</t>
        </is>
      </c>
      <c r="E18" s="26" t="inlineStr">
        <is>
          <t>Local staging</t>
        </is>
      </c>
      <c r="F18" s="26" t="inlineStr">
        <is>
          <t>A4 sampled hint request</t>
        </is>
      </c>
      <c r="G18" s="26" t="inlineStr">
        <is>
          <t>No excluded requirement</t>
        </is>
      </c>
      <c r="H18" s="26" t="inlineStr">
        <is>
          <t>Wrapping advice in real request 5</t>
        </is>
      </c>
      <c r="I18" s="26" t="inlineStr">
        <is>
          <t>Fixed</t>
        </is>
      </c>
      <c r="J18" s="26" t="inlineStr">
        <is>
          <t>Development</t>
        </is>
      </c>
      <c r="K18" s="74" t="n">
        <v>46295.5</v>
      </c>
      <c r="L18" s="26" t="inlineStr">
        <is>
          <t>Reviewed staging changes</t>
        </is>
      </c>
      <c r="M18" s="26" t="inlineStr">
        <is>
          <t>PASS</t>
        </is>
      </c>
      <c r="N18" s="74" t="n">
        <v>46295.5</v>
      </c>
      <c r="O18" s="26" t="inlineStr">
        <is>
          <t>REMAINING-2026-09-30</t>
        </is>
      </c>
      <c r="P18" s="26" t="inlineStr">
        <is>
          <t>Public instructions in prompt; exact contradiction rejected via mocked regression</t>
        </is>
      </c>
    </row>
    <row r="19" ht="95.09999999999999" customHeight="1" s="78">
      <c r="A19" s="26" t="inlineStr">
        <is>
          <t>OR-08</t>
        </is>
      </c>
      <c r="B19" s="26" t="inlineStr">
        <is>
          <t>AI changed fixed safety threshold</t>
        </is>
      </c>
      <c r="C19" s="26" t="inlineStr">
        <is>
          <t>P1</t>
        </is>
      </c>
      <c r="D19" s="26" t="inlineStr">
        <is>
          <t>Tutor</t>
        </is>
      </c>
      <c r="E19" s="26" t="inlineStr">
        <is>
          <t>Local staging</t>
        </is>
      </c>
      <c r="F19" s="26" t="inlineStr">
        <is>
          <t>A6 sampled hint request</t>
        </is>
      </c>
      <c r="G19" s="26" t="inlineStr">
        <is>
          <t>Only specified fixed threshold</t>
        </is>
      </c>
      <c r="H19" s="26" t="inlineStr">
        <is>
          <t>Above/below advice in real request 9</t>
        </is>
      </c>
      <c r="I19" s="26" t="inlineStr">
        <is>
          <t>Fixed</t>
        </is>
      </c>
      <c r="J19" s="26" t="inlineStr">
        <is>
          <t>Development</t>
        </is>
      </c>
      <c r="K19" s="74" t="n">
        <v>46295.5</v>
      </c>
      <c r="L19" s="26" t="inlineStr">
        <is>
          <t>Reviewed staging changes</t>
        </is>
      </c>
      <c r="M19" s="26" t="inlineStr">
        <is>
          <t>PASS</t>
        </is>
      </c>
      <c r="N19" s="74" t="n">
        <v>46295.5</v>
      </c>
      <c r="O19" s="26" t="inlineStr">
        <is>
          <t>REMAINING-2026-09-30</t>
        </is>
      </c>
      <c r="P19" s="26" t="inlineStr">
        <is>
          <t>Fixed-value prompt and exact contradiction fallback tests</t>
        </is>
      </c>
    </row>
    <row r="20" ht="95.09999999999999" customHeight="1" s="78">
      <c r="A20" s="26" t="inlineStr">
        <is>
          <t>OR-09</t>
        </is>
      </c>
      <c r="B20" s="26" t="inlineStr">
        <is>
          <t>AI speculative diagnosis of replaced outputs</t>
        </is>
      </c>
      <c r="C20" s="26" t="inlineStr">
        <is>
          <t>P2</t>
        </is>
      </c>
      <c r="D20" s="26" t="inlineStr">
        <is>
          <t>Tutor</t>
        </is>
      </c>
      <c r="E20" s="26" t="inlineStr">
        <is>
          <t>Local staging</t>
        </is>
      </c>
      <c r="F20" s="26" t="inlineStr">
        <is>
          <t>A3 wrapper returns partial values</t>
        </is>
      </c>
      <c r="G20" s="26" t="inlineStr">
        <is>
          <t>Trace actual returned values</t>
        </is>
      </c>
      <c r="H20" s="26" t="inlineStr">
        <is>
          <t>Claims correct calculation missing</t>
        </is>
      </c>
      <c r="I20" s="26" t="inlineStr">
        <is>
          <t>Mitigated</t>
        </is>
      </c>
      <c r="J20" s="26" t="inlineStr">
        <is>
          <t>Development</t>
        </is>
      </c>
      <c r="K20" s="74" t="n">
        <v>46295.5</v>
      </c>
      <c r="L20" s="26" t="inlineStr">
        <is>
          <t>Reviewed staging changes</t>
        </is>
      </c>
      <c r="M20" s="26" t="inlineStr">
        <is>
          <t>PARTIAL</t>
        </is>
      </c>
      <c r="N20" s="74" t="n">
        <v>46295.5</v>
      </c>
      <c r="O20" s="26" t="inlineStr">
        <is>
          <t>REMAINING-2026-09-30</t>
        </is>
      </c>
      <c r="P20" s="26" t="inlineStr">
        <is>
          <t>Prompt improved; future free-text accuracy and revised paid response not verified</t>
        </is>
      </c>
    </row>
    <row r="21" ht="95.09999999999999" customHeight="1" s="78">
      <c r="A21" s="26" t="inlineStr">
        <is>
          <t>OR-10</t>
        </is>
      </c>
      <c r="B21" s="26" t="inlineStr">
        <is>
          <t>ROS stop commands cease too early</t>
        </is>
      </c>
      <c r="C21" s="26" t="inlineStr">
        <is>
          <t>P1</t>
        </is>
      </c>
      <c r="D21" s="26" t="inlineStr">
        <is>
          <t>Grading</t>
        </is>
      </c>
      <c r="E21" s="26" t="inlineStr">
        <is>
          <t>Local staging</t>
        </is>
      </c>
      <c r="F21" s="26" t="inlineStr">
        <is>
          <t>A5 publishes only a few stop commands</t>
        </is>
      </c>
      <c r="G21" s="26" t="inlineStr">
        <is>
          <t>Held-stop check fails</t>
        </is>
      </c>
      <c r="H21" s="26" t="inlineStr">
        <is>
          <t>100% before fix</t>
        </is>
      </c>
      <c r="I21" s="26" t="inlineStr">
        <is>
          <t>Fixed</t>
        </is>
      </c>
      <c r="J21" s="26" t="inlineStr">
        <is>
          <t>Development</t>
        </is>
      </c>
      <c r="K21" s="74" t="n">
        <v>46295.5</v>
      </c>
      <c r="L21" s="26" t="inlineStr">
        <is>
          <t>Reviewed staging changes</t>
        </is>
      </c>
      <c r="M21" s="26" t="inlineStr">
        <is>
          <t>PASS</t>
        </is>
      </c>
      <c r="N21" s="74" t="n">
        <v>46295.5</v>
      </c>
      <c r="O21" s="26" t="inlineStr">
        <is>
          <t>REMAINING-2026-09-30</t>
        </is>
      </c>
      <c r="P21" s="26" t="inlineStr">
        <is>
          <t>Sustained stop rate and end-of-observation coverage; actual retest 90%, correct answer 100%</t>
        </is>
      </c>
    </row>
    <row r="22" ht="95.09999999999999" customHeight="1" s="78">
      <c r="A22" s="26" t="inlineStr">
        <is>
          <t>IC-01</t>
        </is>
      </c>
      <c r="B22" s="26" t="inlineStr">
        <is>
          <t>A1 Python distance formula unexplained</t>
        </is>
      </c>
      <c r="C22" s="26" t="inlineStr">
        <is>
          <t>P2</t>
        </is>
      </c>
      <c r="D22" s="26" t="inlineStr">
        <is>
          <t>Instructions</t>
        </is>
      </c>
      <c r="E22" s="26" t="inlineStr">
        <is>
          <t>Local staging</t>
        </is>
      </c>
      <c r="F22" s="26" t="inlineStr">
        <is>
          <t>A1 Python distance formula unexplained</t>
        </is>
      </c>
      <c r="G22" s="26" t="inlineStr">
        <is>
          <t>Explain **2 and equivalent hypot helper</t>
        </is>
      </c>
      <c r="H22" s="26" t="inlineStr">
        <is>
          <t>Confirmed before repair</t>
        </is>
      </c>
      <c r="I22" s="26" t="inlineStr">
        <is>
          <t>Fixed</t>
        </is>
      </c>
      <c r="J22" s="26" t="inlineStr">
        <is>
          <t>Development</t>
        </is>
      </c>
      <c r="K22" s="74" t="n">
        <v>46296.5</v>
      </c>
      <c r="L22" s="26" t="inlineStr">
        <is>
          <t>Uncommitted on 2e8035e</t>
        </is>
      </c>
      <c r="M22" s="26" t="inlineStr">
        <is>
          <t>PASS</t>
        </is>
      </c>
      <c r="N22" s="74" t="n">
        <v>46296.5</v>
      </c>
      <c r="O22" s="26" t="inlineStr">
        <is>
          <t>CLARITY-2026-10-01</t>
        </is>
      </c>
      <c r="P22" s="26" t="inlineStr">
        <is>
          <t>Fixed Euclidean explanation and helper comment</t>
        </is>
      </c>
    </row>
    <row r="23" ht="95.09999999999999" customHeight="1" s="78">
      <c r="A23" s="26" t="inlineStr">
        <is>
          <t>IC-02</t>
        </is>
      </c>
      <c r="B23" s="26" t="inlineStr">
        <is>
          <t>A1 hit label and marker conflict</t>
        </is>
      </c>
      <c r="C23" s="26" t="inlineStr">
        <is>
          <t>P2</t>
        </is>
      </c>
      <c r="D23" s="26" t="inlineStr">
        <is>
          <t>Diagram</t>
        </is>
      </c>
      <c r="E23" s="26" t="inlineStr">
        <is>
          <t>Local staging</t>
        </is>
      </c>
      <c r="F23" s="26" t="inlineStr">
        <is>
          <t>A1 hit label and marker conflict</t>
        </is>
      </c>
      <c r="G23" s="26" t="inlineStr">
        <is>
          <t>H at (4,11/3) on m-line, above bottom-left corner</t>
        </is>
      </c>
      <c r="H23" s="26" t="inlineStr">
        <is>
          <t>Confirmed before repair</t>
        </is>
      </c>
      <c r="I23" s="26" t="inlineStr">
        <is>
          <t>Fixed</t>
        </is>
      </c>
      <c r="J23" s="26" t="inlineStr">
        <is>
          <t>Development</t>
        </is>
      </c>
      <c r="K23" s="74" t="n">
        <v>46296.5</v>
      </c>
      <c r="L23" s="26" t="inlineStr">
        <is>
          <t>Uncommitted on 2e8035e</t>
        </is>
      </c>
      <c r="M23" s="26" t="inlineStr">
        <is>
          <t>PASS</t>
        </is>
      </c>
      <c r="N23" s="74" t="n">
        <v>46296.5</v>
      </c>
      <c r="O23" s="26" t="inlineStr">
        <is>
          <t>CLARITY-2026-10-01</t>
        </is>
      </c>
      <c r="P23" s="26" t="inlineStr">
        <is>
          <t>Corrected missing x coordinate and marker placement after second review</t>
        </is>
      </c>
    </row>
    <row r="24" ht="95.09999999999999" customHeight="1" s="78">
      <c r="A24" s="26" t="inlineStr">
        <is>
          <t>IC-03</t>
        </is>
      </c>
      <c r="B24" s="26" t="inlineStr">
        <is>
          <t>A2 undefined corners and boundary label overlap</t>
        </is>
      </c>
      <c r="C24" s="26" t="inlineStr">
        <is>
          <t>P2</t>
        </is>
      </c>
      <c r="D24" s="26" t="inlineStr">
        <is>
          <t>Instructions/diagram</t>
        </is>
      </c>
      <c r="E24" s="26" t="inlineStr">
        <is>
          <t>Local staging</t>
        </is>
      </c>
      <c r="F24" s="26" t="inlineStr">
        <is>
          <t>A2 undefined corners and boundary label overlap</t>
        </is>
      </c>
      <c r="G24" s="26" t="inlineStr">
        <is>
          <t>Only defined lower route and legible labels</t>
        </is>
      </c>
      <c r="H24" s="26" t="inlineStr">
        <is>
          <t>Confirmed before repair</t>
        </is>
      </c>
      <c r="I24" s="26" t="inlineStr">
        <is>
          <t>Fixed</t>
        </is>
      </c>
      <c r="J24" s="26" t="inlineStr">
        <is>
          <t>Development</t>
        </is>
      </c>
      <c r="K24" s="74" t="n">
        <v>46296.5</v>
      </c>
      <c r="L24" s="26" t="inlineStr">
        <is>
          <t>Uncommitted on 2e8035e</t>
        </is>
      </c>
      <c r="M24" s="26" t="inlineStr">
        <is>
          <t>PASS</t>
        </is>
      </c>
      <c r="N24" s="74" t="n">
        <v>46296.5</v>
      </c>
      <c r="O24" s="26" t="inlineStr">
        <is>
          <t>CLARITY-2026-10-01</t>
        </is>
      </c>
      <c r="P24" s="26" t="inlineStr">
        <is>
          <t>Rectangle bounds and points defined; C/D removed; label moved</t>
        </is>
      </c>
    </row>
    <row r="25" ht="95.09999999999999" customHeight="1" s="78">
      <c r="A25" s="26" t="inlineStr">
        <is>
          <t>IC-04</t>
        </is>
      </c>
      <c r="B25" s="26" t="inlineStr">
        <is>
          <t>A3 positional inputs and service allowance unclear</t>
        </is>
      </c>
      <c r="C25" s="26" t="inlineStr">
        <is>
          <t>P2</t>
        </is>
      </c>
      <c r="D25" s="26" t="inlineStr">
        <is>
          <t>Instructions</t>
        </is>
      </c>
      <c r="E25" s="26" t="inlineStr">
        <is>
          <t>Local staging</t>
        </is>
      </c>
      <c r="F25" s="26" t="inlineStr">
        <is>
          <t>A3 positional inputs and service allowance unclear</t>
        </is>
      </c>
      <c r="G25" s="26" t="inlineStr">
        <is>
          <t>Named inputs/units and explicit additive pi*r model</t>
        </is>
      </c>
      <c r="H25" s="26" t="inlineStr">
        <is>
          <t>Confirmed before repair</t>
        </is>
      </c>
      <c r="I25" s="26" t="inlineStr">
        <is>
          <t>Fixed</t>
        </is>
      </c>
      <c r="J25" s="26" t="inlineStr">
        <is>
          <t>Development</t>
        </is>
      </c>
      <c r="K25" s="74" t="n">
        <v>46296.5</v>
      </c>
      <c r="L25" s="26" t="inlineStr">
        <is>
          <t>Uncommitted on 2e8035e</t>
        </is>
      </c>
      <c r="M25" s="26" t="inlineStr">
        <is>
          <t>PASS</t>
        </is>
      </c>
      <c r="N25" s="74" t="n">
        <v>46296.5</v>
      </c>
      <c r="O25" s="26" t="inlineStr">
        <is>
          <t>CLARITY-2026-10-01</t>
        </is>
      </c>
      <c r="P25" s="26" t="inlineStr">
        <is>
          <t>Parameter list, helper explanation and ties-to-even scoring</t>
        </is>
      </c>
    </row>
    <row r="26" ht="95.09999999999999" customHeight="1" s="78">
      <c r="A26" s="26" t="inlineStr">
        <is>
          <t>IC-05</t>
        </is>
      </c>
      <c r="B26" s="26" t="inlineStr">
        <is>
          <t>A4 generalization and safety overclaim</t>
        </is>
      </c>
      <c r="C26" s="26" t="inlineStr">
        <is>
          <t>P2</t>
        </is>
      </c>
      <c r="D26" s="26" t="inlineStr">
        <is>
          <t>Instructions/diagram</t>
        </is>
      </c>
      <c r="E26" s="26" t="inlineStr">
        <is>
          <t>Local staging</t>
        </is>
      </c>
      <c r="F26" s="26" t="inlineStr">
        <is>
          <t>A4 generalization and safety overclaim</t>
        </is>
      </c>
      <c r="G26" s="26" t="inlineStr">
        <is>
          <t>Parameterized sector choice, explicit bounds and weights</t>
        </is>
      </c>
      <c r="H26" s="26" t="inlineStr">
        <is>
          <t>Confirmed before repair</t>
        </is>
      </c>
      <c r="I26" s="26" t="inlineStr">
        <is>
          <t>Fixed</t>
        </is>
      </c>
      <c r="J26" s="26" t="inlineStr">
        <is>
          <t>Development</t>
        </is>
      </c>
      <c r="K26" s="74" t="n">
        <v>46296.5</v>
      </c>
      <c r="L26" s="26" t="inlineStr">
        <is>
          <t>Uncommitted on 2e8035e</t>
        </is>
      </c>
      <c r="M26" s="26" t="inlineStr">
        <is>
          <t>PASS</t>
        </is>
      </c>
      <c r="N26" s="74" t="n">
        <v>46296.5</v>
      </c>
      <c r="O26" s="26" t="inlineStr">
        <is>
          <t>CLARITY-2026-10-01</t>
        </is>
      </c>
      <c r="P26" s="26" t="inlineStr">
        <is>
          <t>Renamed simplified-sector title; displayed-example caption; **2</t>
        </is>
      </c>
    </row>
    <row r="27" ht="95.09999999999999" customHeight="1" s="78">
      <c r="A27" s="26" t="inlineStr">
        <is>
          <t>IC-06</t>
        </is>
      </c>
      <c r="B27" s="26" t="inlineStr">
        <is>
          <t>A5 duplicate timer commands accepted</t>
        </is>
      </c>
      <c r="C27" s="26" t="inlineStr">
        <is>
          <t>P1</t>
        </is>
      </c>
      <c r="D27" s="26" t="inlineStr">
        <is>
          <t>Grading</t>
        </is>
      </c>
      <c r="E27" s="26" t="inlineStr">
        <is>
          <t>Local staging</t>
        </is>
      </c>
      <c r="F27" s="26" t="inlineStr">
        <is>
          <t>A5 duplicate timer commands accepted</t>
        </is>
      </c>
      <c r="G27" s="26" t="inlineStr">
        <is>
          <t>Exactly one command per timer callback</t>
        </is>
      </c>
      <c r="H27" s="26" t="inlineStr">
        <is>
          <t>Confirmed before repair</t>
        </is>
      </c>
      <c r="I27" s="26" t="inlineStr">
        <is>
          <t>Fixed</t>
        </is>
      </c>
      <c r="J27" s="26" t="inlineStr">
        <is>
          <t>Development</t>
        </is>
      </c>
      <c r="K27" s="74" t="n">
        <v>46296.5</v>
      </c>
      <c r="L27" s="26" t="inlineStr">
        <is>
          <t>Uncommitted on 2e8035e</t>
        </is>
      </c>
      <c r="M27" s="26" t="inlineStr">
        <is>
          <t>PASS</t>
        </is>
      </c>
      <c r="N27" s="74" t="n">
        <v>46296.5</v>
      </c>
      <c r="O27" s="26" t="inlineStr">
        <is>
          <t>CLARITY-2026-10-01</t>
        </is>
      </c>
      <c r="P27" s="26" t="inlineStr">
        <is>
          <t>Actual Docker duplicate probe fails cmd-vel-topic; complete answer passes</t>
        </is>
      </c>
    </row>
    <row r="28" ht="95.09999999999999" customHeight="1" s="78">
      <c r="A28" s="26" t="inlineStr">
        <is>
          <t>IC-07</t>
        </is>
      </c>
      <c r="B28" s="26" t="inlineStr">
        <is>
          <t>A6 duplicate scan commands accepted</t>
        </is>
      </c>
      <c r="C28" s="26" t="inlineStr">
        <is>
          <t>P1</t>
        </is>
      </c>
      <c r="D28" s="26" t="inlineStr">
        <is>
          <t>Grading</t>
        </is>
      </c>
      <c r="E28" s="26" t="inlineStr">
        <is>
          <t>Local staging</t>
        </is>
      </c>
      <c r="F28" s="26" t="inlineStr">
        <is>
          <t>A6 duplicate scan commands accepted</t>
        </is>
      </c>
      <c r="G28" s="26" t="inlineStr">
        <is>
          <t>Exactly one command per scan callback</t>
        </is>
      </c>
      <c r="H28" s="26" t="inlineStr">
        <is>
          <t>Confirmed before repair</t>
        </is>
      </c>
      <c r="I28" s="26" t="inlineStr">
        <is>
          <t>Fixed</t>
        </is>
      </c>
      <c r="J28" s="26" t="inlineStr">
        <is>
          <t>Development</t>
        </is>
      </c>
      <c r="K28" s="74" t="n">
        <v>46296.5</v>
      </c>
      <c r="L28" s="26" t="inlineStr">
        <is>
          <t>Uncommitted on 2e8035e</t>
        </is>
      </c>
      <c r="M28" s="26" t="inlineStr">
        <is>
          <t>PASS</t>
        </is>
      </c>
      <c r="N28" s="74" t="n">
        <v>46296.5</v>
      </c>
      <c r="O28" s="26" t="inlineStr">
        <is>
          <t>CLARITY-2026-10-01</t>
        </is>
      </c>
      <c r="P28" s="26" t="inlineStr">
        <is>
          <t>Actual Docker duplicate probe fails scan-response; complete answer passes</t>
        </is>
      </c>
    </row>
    <row r="29" ht="95.09999999999999" customHeight="1" s="78">
      <c r="A29" s="26" t="inlineStr">
        <is>
          <t>IC-08</t>
        </is>
      </c>
      <c r="B29" s="26" t="inlineStr">
        <is>
          <t>ROS queue depth and timer setting not assessed</t>
        </is>
      </c>
      <c r="C29" s="26" t="inlineStr">
        <is>
          <t>P1</t>
        </is>
      </c>
      <c r="D29" s="26" t="inlineStr">
        <is>
          <t>Grading</t>
        </is>
      </c>
      <c r="E29" s="26" t="inlineStr">
        <is>
          <t>Local staging</t>
        </is>
      </c>
      <c r="F29" s="26" t="inlineStr">
        <is>
          <t>ROS queue depth and timer setting not assessed</t>
        </is>
      </c>
      <c r="G29" s="26" t="inlineStr">
        <is>
          <t>Depth10 and A5 period0.1 enforced</t>
        </is>
      </c>
      <c r="H29" s="26" t="inlineStr">
        <is>
          <t>Confirmed before repair</t>
        </is>
      </c>
      <c r="I29" s="26" t="inlineStr">
        <is>
          <t>Fixed</t>
        </is>
      </c>
      <c r="J29" s="26" t="inlineStr">
        <is>
          <t>Development</t>
        </is>
      </c>
      <c r="K29" s="74" t="n">
        <v>46296.5</v>
      </c>
      <c r="L29" s="26" t="inlineStr">
        <is>
          <t>Uncommitted on 2e8035e</t>
        </is>
      </c>
      <c r="M29" s="26" t="inlineStr">
        <is>
          <t>PASS</t>
        </is>
      </c>
      <c r="N29" s="74" t="n">
        <v>46296.5</v>
      </c>
      <c r="O29" s="26" t="inlineStr">
        <is>
          <t>CLARITY-2026-10-01</t>
        </is>
      </c>
      <c r="P29" s="26" t="inlineStr">
        <is>
          <t>Container instrumentation and focused/actual variant regression</t>
        </is>
      </c>
    </row>
    <row r="30" ht="95.09999999999999" customHeight="1" s="78">
      <c r="A30" s="26" t="inlineStr">
        <is>
          <t>IC-09</t>
        </is>
      </c>
      <c r="B30" s="26" t="inlineStr">
        <is>
          <t>A6 mixed-scan wording contradictory</t>
        </is>
      </c>
      <c r="C30" s="26" t="inlineStr">
        <is>
          <t>P2</t>
        </is>
      </c>
      <c r="D30" s="26" t="inlineStr">
        <is>
          <t>Instructions</t>
        </is>
      </c>
      <c r="E30" s="26" t="inlineStr">
        <is>
          <t>Local staging</t>
        </is>
      </c>
      <c r="F30" s="26" t="inlineStr">
        <is>
          <t>A6 mixed-scan wording contradictory</t>
        </is>
      </c>
      <c r="G30" s="26" t="inlineStr">
        <is>
          <t>Discard invalid entries, stop only if no valid range or near obstacle</t>
        </is>
      </c>
      <c r="H30" s="26" t="inlineStr">
        <is>
          <t>Confirmed before repair</t>
        </is>
      </c>
      <c r="I30" s="26" t="inlineStr">
        <is>
          <t>Fixed</t>
        </is>
      </c>
      <c r="J30" s="26" t="inlineStr">
        <is>
          <t>Development</t>
        </is>
      </c>
      <c r="K30" s="74" t="n">
        <v>46296.5</v>
      </c>
      <c r="L30" s="26" t="inlineStr">
        <is>
          <t>Uncommitted on 2e8035e</t>
        </is>
      </c>
      <c r="M30" s="26" t="inlineStr">
        <is>
          <t>PASS</t>
        </is>
      </c>
      <c r="N30" s="74" t="n">
        <v>46296.5</v>
      </c>
      <c r="O30" s="26" t="inlineStr">
        <is>
          <t>CLARITY-2026-10-01</t>
        </is>
      </c>
      <c r="P30" s="26" t="inlineStr">
        <is>
          <t>Mixed scan example and revised diagram state</t>
        </is>
      </c>
    </row>
    <row r="31" ht="95.09999999999999" customHeight="1" s="78">
      <c r="A31" s="26" t="inlineStr">
        <is>
          <t>IC-10</t>
        </is>
      </c>
      <c r="B31" s="26" t="inlineStr">
        <is>
          <t>ROS footer captions overflow boxes</t>
        </is>
      </c>
      <c r="C31" s="26" t="inlineStr">
        <is>
          <t>P2</t>
        </is>
      </c>
      <c r="D31" s="26" t="inlineStr">
        <is>
          <t>Diagram</t>
        </is>
      </c>
      <c r="E31" s="26" t="inlineStr">
        <is>
          <t>Local staging</t>
        </is>
      </c>
      <c r="F31" s="26" t="inlineStr">
        <is>
          <t>ROS footer captions overflow boxes</t>
        </is>
      </c>
      <c r="G31" s="26" t="inlineStr">
        <is>
          <t>Caption contained; speed units visible</t>
        </is>
      </c>
      <c r="H31" s="26" t="inlineStr">
        <is>
          <t>Confirmed before repair</t>
        </is>
      </c>
      <c r="I31" s="26" t="inlineStr">
        <is>
          <t>Fixed</t>
        </is>
      </c>
      <c r="J31" s="26" t="inlineStr">
        <is>
          <t>Development</t>
        </is>
      </c>
      <c r="K31" s="74" t="n">
        <v>46296.5</v>
      </c>
      <c r="L31" s="26" t="inlineStr">
        <is>
          <t>Uncommitted on 2e8035e</t>
        </is>
      </c>
      <c r="M31" s="26" t="inlineStr">
        <is>
          <t>PASS</t>
        </is>
      </c>
      <c r="N31" s="74" t="n">
        <v>46296.5</v>
      </c>
      <c r="O31" s="26" t="inlineStr">
        <is>
          <t>CLARITY-2026-10-01</t>
        </is>
      </c>
      <c r="P31" s="26" t="inlineStr">
        <is>
          <t>Edited captions and added m/s and rad/s</t>
        </is>
      </c>
    </row>
    <row r="32" ht="95.09999999999999" customHeight="1" s="78">
      <c r="A32" s="26" t="inlineStr">
        <is>
          <t>IC-11</t>
        </is>
      </c>
      <c r="B32" s="26" t="inlineStr">
        <is>
          <t>Version-increment tests hardcoded</t>
        </is>
      </c>
      <c r="C32" s="26" t="inlineStr">
        <is>
          <t>P2</t>
        </is>
      </c>
      <c r="D32" s="26" t="inlineStr">
        <is>
          <t>Tests</t>
        </is>
      </c>
      <c r="E32" s="26" t="inlineStr">
        <is>
          <t>Local staging</t>
        </is>
      </c>
      <c r="F32" s="26" t="inlineStr">
        <is>
          <t>Version-increment tests hardcoded</t>
        </is>
      </c>
      <c r="G32" s="26" t="inlineStr">
        <is>
          <t>Admin edit expects original version +1</t>
        </is>
      </c>
      <c r="H32" s="26" t="inlineStr">
        <is>
          <t>Confirmed before repair</t>
        </is>
      </c>
      <c r="I32" s="26" t="inlineStr">
        <is>
          <t>Fixed</t>
        </is>
      </c>
      <c r="J32" s="26" t="inlineStr">
        <is>
          <t>Development</t>
        </is>
      </c>
      <c r="K32" s="74" t="n">
        <v>46296.5</v>
      </c>
      <c r="L32" s="26" t="inlineStr">
        <is>
          <t>Uncommitted on 2e8035e</t>
        </is>
      </c>
      <c r="M32" s="26" t="inlineStr">
        <is>
          <t>PASS</t>
        </is>
      </c>
      <c r="N32" s="74" t="n">
        <v>46296.5</v>
      </c>
      <c r="O32" s="26" t="inlineStr">
        <is>
          <t>CLARITY-2026-10-01</t>
        </is>
      </c>
      <c r="P32" s="26" t="inlineStr">
        <is>
          <t>Two stale assertions failed first gate, replaced by relative-version assertions and rerun</t>
        </is>
      </c>
    </row>
    <row r="33" ht="95.09999999999999" customHeight="1" s="78">
      <c r="A33" s="26" t="inlineStr">
        <is>
          <t>IC-12</t>
        </is>
      </c>
      <c r="B33" s="26" t="inlineStr">
        <is>
          <t>A3 long input table names crowd adjacent columns</t>
        </is>
      </c>
      <c r="C33" s="26" t="inlineStr">
        <is>
          <t>P2</t>
        </is>
      </c>
      <c r="D33" s="26" t="inlineStr">
        <is>
          <t>UI/instructions</t>
        </is>
      </c>
      <c r="E33" s="26" t="inlineStr">
        <is>
          <t>Local staging</t>
        </is>
      </c>
      <c r="F33" s="26" t="inlineStr">
        <is>
          <t>A3 long input table names crowd adjacent columns</t>
        </is>
      </c>
      <c r="G33" s="26" t="inlineStr">
        <is>
          <t>Readable wrapped parameter reference on narrow screens</t>
        </is>
      </c>
      <c r="H33" s="26" t="inlineStr">
        <is>
          <t>Confirmed before repair</t>
        </is>
      </c>
      <c r="I33" s="26" t="inlineStr">
        <is>
          <t>Fixed</t>
        </is>
      </c>
      <c r="J33" s="26" t="inlineStr">
        <is>
          <t>Development</t>
        </is>
      </c>
      <c r="K33" s="74" t="n">
        <v>46296.5</v>
      </c>
      <c r="L33" s="26" t="inlineStr">
        <is>
          <t>Uncommitted on 2e8035e</t>
        </is>
      </c>
      <c r="M33" s="26" t="inlineStr">
        <is>
          <t>PASS</t>
        </is>
      </c>
      <c r="N33" s="74" t="n">
        <v>46296.5</v>
      </c>
      <c r="O33" s="26" t="inlineStr">
        <is>
          <t>CLARITY-2026-10-01</t>
        </is>
      </c>
      <c r="P33" s="26" t="inlineStr">
        <is>
          <t>Second review replaced table with a wrapping list; A3 v10 preserves prior-version history</t>
        </is>
      </c>
    </row>
    <row r="34" ht="105" customHeight="1" s="78">
      <c r="A34" s="75" t="inlineStr">
        <is>
          <t>AU-01</t>
        </is>
      </c>
      <c r="B34" s="75" t="inlineStr">
        <is>
          <t>First-level AI hint over-detailed</t>
        </is>
      </c>
      <c r="C34" s="75" t="inlineStr">
        <is>
          <t>P2</t>
        </is>
      </c>
      <c r="D34" s="75" t="inlineStr">
        <is>
          <t>Tutor</t>
        </is>
      </c>
      <c r="E34" s="75" t="inlineStr">
        <is>
          <t>Local staging</t>
        </is>
      </c>
      <c r="F34" s="75" t="inlineStr">
        <is>
          <t>First pass mixed several repairs at level1</t>
        </is>
      </c>
      <c r="G34" s="75" t="inlineStr">
        <is>
          <t>Accurate gradual guidance and validated runtime behavior</t>
        </is>
      </c>
      <c r="H34" s="75" t="inlineStr">
        <is>
          <t>First pass mixed several repairs at level1</t>
        </is>
      </c>
      <c r="I34" s="75" t="inlineStr">
        <is>
          <t>Mitigated</t>
        </is>
      </c>
      <c r="J34" s="75" t="inlineStr">
        <is>
          <t>Development</t>
        </is>
      </c>
      <c r="K34" s="76" t="n">
        <v>46296.5</v>
      </c>
      <c r="L34" s="75" t="inlineStr">
        <is>
          <t>Candidate on 1d88602</t>
        </is>
      </c>
      <c r="M34" s="75" t="inlineStr">
        <is>
          <t>PARTIAL</t>
        </is>
      </c>
      <c r="N34" s="76" t="n">
        <v>46296.5</v>
      </c>
      <c r="O34" s="75" t="inlineStr">
        <is>
          <t>AI-UBUNTU-2026-10-01</t>
        </is>
      </c>
      <c r="P34" s="75" t="inlineStr">
        <is>
          <t>Prompt restricts one issue; responses with more than2 steps fall back. Six of12 retest responses used fallback. Continued instructor review needed.</t>
        </is>
      </c>
    </row>
    <row r="35" ht="105" customHeight="1" s="78">
      <c r="A35" s="75" t="inlineStr">
        <is>
          <t>AU-02</t>
        </is>
      </c>
      <c r="B35" s="75" t="inlineStr">
        <is>
          <t>AI missed final returned placeholders</t>
        </is>
      </c>
      <c r="C35" s="75" t="inlineStr">
        <is>
          <t>P2</t>
        </is>
      </c>
      <c r="D35" s="75" t="inlineStr">
        <is>
          <t>Tutor</t>
        </is>
      </c>
      <c r="E35" s="75" t="inlineStr">
        <is>
          <t>Local staging</t>
        </is>
      </c>
      <c r="F35" s="75" t="inlineStr">
        <is>
          <t>A3/A4 partial wrappers received speculative diagnoses</t>
        </is>
      </c>
      <c r="G35" s="75" t="inlineStr">
        <is>
          <t>Accurate gradual guidance and validated runtime behavior</t>
        </is>
      </c>
      <c r="H35" s="75" t="inlineStr">
        <is>
          <t>A3/A4 partial wrappers received speculative diagnoses</t>
        </is>
      </c>
      <c r="I35" s="75" t="inlineStr">
        <is>
          <t>Mitigated</t>
        </is>
      </c>
      <c r="J35" s="75" t="inlineStr">
        <is>
          <t>Development</t>
        </is>
      </c>
      <c r="K35" s="76" t="n">
        <v>46296.5</v>
      </c>
      <c r="L35" s="75" t="inlineStr">
        <is>
          <t>Candidate on 1d88602</t>
        </is>
      </c>
      <c r="M35" s="75" t="inlineStr">
        <is>
          <t>PARTIAL</t>
        </is>
      </c>
      <c r="N35" s="76" t="n">
        <v>46296.5</v>
      </c>
      <c r="O35" s="75" t="inlineStr">
        <is>
          <t>AI-UBUNTU-2026-10-01</t>
        </is>
      </c>
      <c r="P35" s="75" t="inlineStr">
        <is>
          <t>Syntax-derived facts and guard route overlooked-return diagnoses to an accurate built-in hint. Paid retest used fallback for both. General AI explanation quality remains variable.</t>
        </is>
      </c>
    </row>
    <row r="36" ht="105" customHeight="1" s="78">
      <c r="A36" s="75" t="inlineStr">
        <is>
          <t>AU-03</t>
        </is>
      </c>
      <c r="B36" s="75" t="inlineStr">
        <is>
          <t>Full-code requests not explicitly refused</t>
        </is>
      </c>
      <c r="C36" s="75" t="inlineStr">
        <is>
          <t>P2</t>
        </is>
      </c>
      <c r="D36" s="75" t="inlineStr">
        <is>
          <t>Tutor</t>
        </is>
      </c>
      <c r="E36" s="75" t="inlineStr">
        <is>
          <t>Local staging</t>
        </is>
      </c>
      <c r="F36" s="75" t="inlineStr">
        <is>
          <t>Direct requests returned guidance without a clear refusal</t>
        </is>
      </c>
      <c r="G36" s="75" t="inlineStr">
        <is>
          <t>Accurate gradual guidance and validated runtime behavior</t>
        </is>
      </c>
      <c r="H36" s="75" t="inlineStr">
        <is>
          <t>Direct requests returned guidance without a clear refusal</t>
        </is>
      </c>
      <c r="I36" s="75" t="inlineStr">
        <is>
          <t>Fixed</t>
        </is>
      </c>
      <c r="J36" s="75" t="inlineStr">
        <is>
          <t>Development</t>
        </is>
      </c>
      <c r="K36" s="76" t="n">
        <v>46296.5</v>
      </c>
      <c r="L36" s="75" t="inlineStr">
        <is>
          <t>Candidate on 1d88602</t>
        </is>
      </c>
      <c r="M36" s="75" t="inlineStr">
        <is>
          <t>PASS</t>
        </is>
      </c>
      <c r="N36" s="76" t="n">
        <v>46296.5</v>
      </c>
      <c r="O36" s="75" t="inlineStr">
        <is>
          <t>AI-UBUNTU-2026-10-01</t>
        </is>
      </c>
      <c r="P36" s="75" t="inlineStr">
        <is>
          <t>Deterministic refusal before provider; all-six actual refusals and instructor-case regressions pass.</t>
        </is>
      </c>
    </row>
    <row r="37" ht="105" customHeight="1" s="78">
      <c r="A37" s="75" t="inlineStr">
        <is>
          <t>AU-04</t>
        </is>
      </c>
      <c r="B37" s="75" t="inlineStr">
        <is>
          <t>Negative NameError statement falsely rejected</t>
        </is>
      </c>
      <c r="C37" s="75" t="inlineStr">
        <is>
          <t>P2</t>
        </is>
      </c>
      <c r="D37" s="75" t="inlineStr">
        <is>
          <t>Tutor</t>
        </is>
      </c>
      <c r="E37" s="75" t="inlineStr">
        <is>
          <t>Local staging</t>
        </is>
      </c>
      <c r="F37" s="75" t="inlineStr">
        <is>
          <t>No NameError explanation triggered contradiction pattern</t>
        </is>
      </c>
      <c r="G37" s="75" t="inlineStr">
        <is>
          <t>Accurate gradual guidance and validated runtime behavior</t>
        </is>
      </c>
      <c r="H37" s="75" t="inlineStr">
        <is>
          <t>No NameError explanation triggered contradiction pattern</t>
        </is>
      </c>
      <c r="I37" s="75" t="inlineStr">
        <is>
          <t>Fixed</t>
        </is>
      </c>
      <c r="J37" s="75" t="inlineStr">
        <is>
          <t>Development</t>
        </is>
      </c>
      <c r="K37" s="76" t="n">
        <v>46296.5</v>
      </c>
      <c r="L37" s="75" t="inlineStr">
        <is>
          <t>Candidate on 1d88602</t>
        </is>
      </c>
      <c r="M37" s="75" t="inlineStr">
        <is>
          <t>PASS</t>
        </is>
      </c>
      <c r="N37" s="76" t="n">
        <v>46296.5</v>
      </c>
      <c r="O37" s="75" t="inlineStr">
        <is>
          <t>AI-UBUNTU-2026-10-01</t>
        </is>
      </c>
      <c r="P37" s="75" t="inlineStr">
        <is>
          <t>Specific negative statements excluded without accepting a second positive false claim. Regression passes.</t>
        </is>
      </c>
    </row>
    <row r="38" ht="105" customHeight="1" s="78">
      <c r="A38" s="75" t="inlineStr">
        <is>
          <t>AU-05</t>
        </is>
      </c>
      <c r="B38" s="75" t="inlineStr">
        <is>
          <t>Assignment image URLs allow stale cached assets</t>
        </is>
      </c>
      <c r="C38" s="75" t="inlineStr">
        <is>
          <t>P2</t>
        </is>
      </c>
      <c r="D38" s="75" t="inlineStr">
        <is>
          <t>Diagram</t>
        </is>
      </c>
      <c r="E38" s="75" t="inlineStr">
        <is>
          <t>Local staging</t>
        </is>
      </c>
      <c r="F38" s="75" t="inlineStr">
        <is>
          <t>Correct source images but unchanged URL and no revalidation policy</t>
        </is>
      </c>
      <c r="G38" s="75" t="inlineStr">
        <is>
          <t>Accurate gradual guidance and validated runtime behavior</t>
        </is>
      </c>
      <c r="H38" s="75" t="inlineStr">
        <is>
          <t>Correct source images but unchanged URL and no revalidation policy</t>
        </is>
      </c>
      <c r="I38" s="75" t="inlineStr">
        <is>
          <t>Fixed</t>
        </is>
      </c>
      <c r="J38" s="75" t="inlineStr">
        <is>
          <t>Development</t>
        </is>
      </c>
      <c r="K38" s="76" t="n">
        <v>46296.5</v>
      </c>
      <c r="L38" s="75" t="inlineStr">
        <is>
          <t>Candidate on 1d88602</t>
        </is>
      </c>
      <c r="M38" s="75" t="inlineStr">
        <is>
          <t>PASS</t>
        </is>
      </c>
      <c r="N38" s="76" t="n">
        <v>46296.5</v>
      </c>
      <c r="O38" s="75" t="inlineStr">
        <is>
          <t>AI-UBUNTU-2026-10-01</t>
        </is>
      </c>
      <c r="P38" s="75" t="inlineStr">
        <is>
          <t>Version-specific URLs, no-cache header, all-six byte checks and rendered enlarged-diagram review. Exact prior user cache state not confirmed.</t>
        </is>
      </c>
    </row>
    <row r="39" ht="105" customHeight="1" s="78">
      <c r="A39" s="75" t="inlineStr">
        <is>
          <t>AU-06</t>
        </is>
      </c>
      <c r="B39" s="75" t="inlineStr">
        <is>
          <t>Ubuntu startup/stop ShellCheck findings</t>
        </is>
      </c>
      <c r="C39" s="75" t="inlineStr">
        <is>
          <t>P2</t>
        </is>
      </c>
      <c r="D39" s="75" t="inlineStr">
        <is>
          <t>Local scripts</t>
        </is>
      </c>
      <c r="E39" s="75" t="inlineStr">
        <is>
          <t>Local staging</t>
        </is>
      </c>
      <c r="F39" s="75" t="inlineStr">
        <is>
          <t>Two SC2015 conditional cleanup patterns</t>
        </is>
      </c>
      <c r="G39" s="75" t="inlineStr">
        <is>
          <t>Accurate gradual guidance and validated runtime behavior</t>
        </is>
      </c>
      <c r="H39" s="75" t="inlineStr">
        <is>
          <t>Two SC2015 conditional cleanup patterns</t>
        </is>
      </c>
      <c r="I39" s="75" t="inlineStr">
        <is>
          <t>Fixed</t>
        </is>
      </c>
      <c r="J39" s="75" t="inlineStr">
        <is>
          <t>Development</t>
        </is>
      </c>
      <c r="K39" s="76" t="n">
        <v>46296.5</v>
      </c>
      <c r="L39" s="75" t="inlineStr">
        <is>
          <t>Candidate on 1d88602</t>
        </is>
      </c>
      <c r="M39" s="75" t="inlineStr">
        <is>
          <t>PASS</t>
        </is>
      </c>
      <c r="N39" s="76" t="n">
        <v>46296.5</v>
      </c>
      <c r="O39" s="75" t="inlineStr">
        <is>
          <t>AI-UBUNTU-2026-10-01</t>
        </is>
      </c>
      <c r="P39" s="75" t="inlineStr">
        <is>
          <t>Explicit process-identity if guard retained. Bash/ShellCheck and actual22/24 startup/shutdown pass.</t>
        </is>
      </c>
    </row>
    <row r="40" ht="105" customHeight="1" s="78">
      <c r="A40" s="75" t="inlineStr">
        <is>
          <t>AU-07</t>
        </is>
      </c>
      <c r="B40" s="75" t="inlineStr">
        <is>
          <t>Stale instructor mock and assignment-version expectations</t>
        </is>
      </c>
      <c r="C40" s="75" t="inlineStr">
        <is>
          <t>P2</t>
        </is>
      </c>
      <c r="D40" s="75" t="inlineStr">
        <is>
          <t>Tests</t>
        </is>
      </c>
      <c r="E40" s="75" t="inlineStr">
        <is>
          <t>Local staging</t>
        </is>
      </c>
      <c r="F40" s="75" t="inlineStr">
        <is>
          <t>First Ubuntu suite21 failures after new tutor policy plus staleA3 version</t>
        </is>
      </c>
      <c r="G40" s="75" t="inlineStr">
        <is>
          <t>Accurate gradual guidance and validated runtime behavior</t>
        </is>
      </c>
      <c r="H40" s="75" t="inlineStr">
        <is>
          <t>First Ubuntu suite21 failures after new tutor policy plus staleA3 version</t>
        </is>
      </c>
      <c r="I40" s="75" t="inlineStr">
        <is>
          <t>Fixed</t>
        </is>
      </c>
      <c r="J40" s="75" t="inlineStr">
        <is>
          <t>Development</t>
        </is>
      </c>
      <c r="K40" s="76" t="n">
        <v>46296.5</v>
      </c>
      <c r="L40" s="75" t="inlineStr">
        <is>
          <t>Candidate on 1d88602</t>
        </is>
      </c>
      <c r="M40" s="75" t="inlineStr">
        <is>
          <t>PASS</t>
        </is>
      </c>
      <c r="N40" s="76" t="n">
        <v>46296.5</v>
      </c>
      <c r="O40" s="75" t="inlineStr">
        <is>
          <t>AI-UBUNTU-2026-10-01</t>
        </is>
      </c>
      <c r="P40" s="75" t="inlineStr">
        <is>
          <t>Mocks now expect at most2 first-hint steps and deterministic solution refusal. A3 version expectation corrected to10. Final regression passes.</t>
        </is>
      </c>
    </row>
    <row r="41" ht="105" customHeight="1" s="78">
      <c r="A41" s="75" t="inlineStr">
        <is>
          <t>AU-08</t>
        </is>
      </c>
      <c r="B41" s="75" t="inlineStr">
        <is>
          <t>ROS built-in tutor describes route calculations</t>
        </is>
      </c>
      <c r="C41" s="75" t="inlineStr">
        <is>
          <t>P2</t>
        </is>
      </c>
      <c r="D41" s="75" t="inlineStr">
        <is>
          <t>Tutor</t>
        </is>
      </c>
      <c r="E41" s="75" t="inlineStr">
        <is>
          <t>Local staging</t>
        </is>
      </c>
      <c r="F41" s="75" t="inlineStr">
        <is>
          <t>Manual A6 panel referred to formulas and claimed program runs despite node-start failure</t>
        </is>
      </c>
      <c r="G41" s="75" t="inlineStr">
        <is>
          <t>Accurate gradual guidance and validated runtime behavior</t>
        </is>
      </c>
      <c r="H41" s="75" t="inlineStr">
        <is>
          <t>Manual A6 panel referred to formulas and claimed program runs despite node-start failure</t>
        </is>
      </c>
      <c r="I41" s="75" t="inlineStr">
        <is>
          <t>Fixed</t>
        </is>
      </c>
      <c r="J41" s="75" t="inlineStr">
        <is>
          <t>Development</t>
        </is>
      </c>
      <c r="K41" s="76" t="n">
        <v>46296.5</v>
      </c>
      <c r="L41" s="75" t="inlineStr">
        <is>
          <t>Candidate on 1d88602</t>
        </is>
      </c>
      <c r="M41" s="75" t="inlineStr">
        <is>
          <t>PASS</t>
        </is>
      </c>
      <c r="N41" s="76" t="n">
        <v>46296.5</v>
      </c>
      <c r="O41" s="75" t="inlineStr">
        <is>
          <t>AI-UBUNTU-2026-10-01</t>
        </is>
      </c>
      <c r="P41" s="75" t="inlineStr">
        <is>
          <t>ROS-aware behavior hints1-4 and assessment-completed wording. Focused tests and actual API checks pass.</t>
        </is>
      </c>
    </row>
    <row r="42" ht="110.1" customHeight="1" s="78">
      <c r="A42" s="75" t="inlineStr">
        <is>
          <t>ND-01</t>
        </is>
      </c>
      <c r="B42" s="75" t="inlineStr">
        <is>
          <t>Direct start silently defaults to local SQLite</t>
        </is>
      </c>
      <c r="C42" s="75" t="inlineStr">
        <is>
          <t>P2</t>
        </is>
      </c>
      <c r="D42" s="75" t="inlineStr">
        <is>
          <t>Database</t>
        </is>
      </c>
      <c r="E42" s="75" t="inlineStr">
        <is>
          <t>Local staging</t>
        </is>
      </c>
      <c r="F42" s="75" t="inlineStr">
        <is>
          <t>Default settings and unused import-time engine still selected a local SQLite path</t>
        </is>
      </c>
      <c r="G42" s="75" t="inlineStr">
        <is>
          <t>Normal app uses only Neon; isolated tests remain disposable</t>
        </is>
      </c>
      <c r="H42" s="75" t="inlineStr">
        <is>
          <t>Default settings and unused import-time engine still selected a local SQLite path</t>
        </is>
      </c>
      <c r="I42" s="75" t="inlineStr">
        <is>
          <t>Fixed</t>
        </is>
      </c>
      <c r="J42" s="75" t="inlineStr">
        <is>
          <t>Development</t>
        </is>
      </c>
      <c r="K42" s="76" t="n">
        <v>46296.83333333334</v>
      </c>
      <c r="L42" s="75" t="inlineStr">
        <is>
          <t>Candidate on80f4f2d</t>
        </is>
      </c>
      <c r="M42" s="75" t="inlineStr">
        <is>
          <t>PASS</t>
        </is>
      </c>
      <c r="N42" s="76" t="n">
        <v>46296.83333333334</v>
      </c>
      <c r="O42" s="75" t="inlineStr">
        <is>
          <t>NEON-ONLY-2026-10-01</t>
        </is>
      </c>
      <c r="P42" s="75" t="inlineStr">
        <is>
          <t>Neon resolver used by API and Alembic; unused implicit engine removed. Missing/conflicting configuration fails; dedicated tests and runtime probes pass.</t>
        </is>
      </c>
    </row>
    <row r="43" ht="110.1" customHeight="1" s="78">
      <c r="A43" s="75" t="inlineStr">
        <is>
          <t>ND-02</t>
        </is>
      </c>
      <c r="B43" s="75" t="inlineStr">
        <is>
          <t>Obsolete backup/fallback guidance and CI step</t>
        </is>
      </c>
      <c r="C43" s="75" t="inlineStr">
        <is>
          <t>P2</t>
        </is>
      </c>
      <c r="D43" s="75" t="inlineStr">
        <is>
          <t>Documentation/CI</t>
        </is>
      </c>
      <c r="E43" s="75" t="inlineStr">
        <is>
          <t>Local staging</t>
        </is>
      </c>
      <c r="F43" s="75" t="inlineStr">
        <is>
          <t>Some documents still described SQLite/local backup modes; CI invoked a removed handoff script</t>
        </is>
      </c>
      <c r="G43" s="75" t="inlineStr">
        <is>
          <t>Normal app uses only Neon; isolated tests remain disposable</t>
        </is>
      </c>
      <c r="H43" s="75" t="inlineStr">
        <is>
          <t>Some documents still described SQLite/local backup modes; CI invoked a removed handoff script</t>
        </is>
      </c>
      <c r="I43" s="75" t="inlineStr">
        <is>
          <t>Fixed</t>
        </is>
      </c>
      <c r="J43" s="75" t="inlineStr">
        <is>
          <t>Development</t>
        </is>
      </c>
      <c r="K43" s="76" t="n">
        <v>46296.83333333334</v>
      </c>
      <c r="L43" s="75" t="inlineStr">
        <is>
          <t>Candidate on80f4f2d</t>
        </is>
      </c>
      <c r="M43" s="75" t="inlineStr">
        <is>
          <t>PASS</t>
        </is>
      </c>
      <c r="N43" s="76" t="n">
        <v>46296.83333333334</v>
      </c>
      <c r="O43" s="75" t="inlineStr">
        <is>
          <t>NEON-ONLY-2026-10-01</t>
        </is>
      </c>
      <c r="P43" s="75" t="inlineStr">
        <is>
          <t>Guides and example aligned with Neon-only; obsolete CI step removed; isolated CI database explicit. Focused Windows/Ubuntu checks pass.</t>
        </is>
      </c>
    </row>
    <row r="44" ht="26.25" customHeight="1" s="78">
      <c r="A44" s="75" t="inlineStr">
        <is>
          <t>SQ-01</t>
        </is>
      </c>
      <c r="B44" s="75" t="inlineStr">
        <is>
          <t>Run tests reports an empty editor while code is loading</t>
        </is>
      </c>
      <c r="C44" s="75" t="inlineStr">
        <is>
          <t>Medium</t>
        </is>
      </c>
      <c r="D44" s="75" t="inlineStr">
        <is>
          <t>Frontend</t>
        </is>
      </c>
      <c r="E44" s="75" t="inlineStr">
        <is>
          <t>Local staging</t>
        </is>
      </c>
      <c r="F44" s="75" t="inlineStr">
        <is>
          <t>Open an assignment and click Run tests immediately</t>
        </is>
      </c>
      <c r="G44" s="75" t="inlineStr">
        <is>
          <t>Tests run against the displayed code</t>
        </is>
      </c>
      <c r="H44" s="75" t="inlineStr">
        <is>
          <t>The code editor is empty; no attempt</t>
        </is>
      </c>
      <c r="I44" s="75" t="inlineStr">
        <is>
          <t>Fixed</t>
        </is>
      </c>
      <c r="J44" s="75" t="inlineStr">
        <is>
          <t>Development</t>
        </is>
      </c>
      <c r="K44" s="76" t="n">
        <v>46297.5</v>
      </c>
      <c r="L44" s="75" t="inlineStr">
        <is>
          <t>8731a37</t>
        </is>
      </c>
      <c r="M44" s="75" t="inlineStr">
        <is>
          <t>Pass</t>
        </is>
      </c>
      <c r="N44" s="76" t="n">
        <v>46297.5</v>
      </c>
      <c r="O44" s="75" t="inlineStr">
        <is>
          <t>Staging QA 2026-10-02</t>
        </is>
      </c>
      <c r="P44" s="75" t="inlineStr">
        <is>
          <t>Button and Ctrl+Enter disabled until code loads</t>
        </is>
      </c>
    </row>
    <row r="45" ht="26.25" customHeight="1" s="78">
      <c r="A45" s="75" t="inlineStr">
        <is>
          <t>SQ-02</t>
        </is>
      </c>
      <c r="B45" s="75" t="inlineStr">
        <is>
          <t>PowerShell launcher fails when output is redirected</t>
        </is>
      </c>
      <c r="C45" s="75" t="inlineStr">
        <is>
          <t>Low</t>
        </is>
      </c>
      <c r="D45" s="75" t="inlineStr">
        <is>
          <t>Scripts</t>
        </is>
      </c>
      <c r="E45" s="75" t="inlineStr">
        <is>
          <t>Local staging (Windows)</t>
        </is>
      </c>
      <c r="F45" s="75" t="inlineStr">
        <is>
          <t>Run run-local.ps1 or check-ros2-local.ps1 with *&gt; log.txt</t>
        </is>
      </c>
      <c r="G45" s="75" t="inlineStr">
        <is>
          <t>Services start; tool output is logged</t>
        </is>
      </c>
      <c r="H45" s="75" t="inlineStr">
        <is>
          <t>Alembic/Docker stderr became a terminating error</t>
        </is>
      </c>
      <c r="I45" s="75" t="inlineStr">
        <is>
          <t>Fixed</t>
        </is>
      </c>
      <c r="J45" s="75" t="inlineStr">
        <is>
          <t>Development</t>
        </is>
      </c>
      <c r="K45" s="76" t="n">
        <v>46297.5</v>
      </c>
      <c r="L45" s="75" t="inlineStr">
        <is>
          <t>0ebcba4</t>
        </is>
      </c>
      <c r="M45" s="75" t="inlineStr">
        <is>
          <t>Pass</t>
        </is>
      </c>
      <c r="N45" s="76" t="n">
        <v>46297.5</v>
      </c>
      <c r="O45" s="75" t="inlineStr">
        <is>
          <t>Staging QA 2026-10-02</t>
        </is>
      </c>
      <c r="P45" s="75" t="inlineStr">
        <is>
          <t>Invoke-RoboticsNative helper</t>
        </is>
      </c>
    </row>
    <row r="46" ht="26.25" customHeight="1" s="78">
      <c r="A46" s="75" t="inlineStr">
        <is>
          <t>SQ-03</t>
        </is>
      </c>
      <c r="B46" s="75" t="inlineStr">
        <is>
          <t>Default instructor password on shared staging and in docs</t>
        </is>
      </c>
      <c r="C46" s="75" t="inlineStr">
        <is>
          <t>High</t>
        </is>
      </c>
      <c r="D46" s="75" t="inlineStr">
        <is>
          <t>Security</t>
        </is>
      </c>
      <c r="E46" s="75" t="inlineStr">
        <is>
          <t>Neon staging</t>
        </is>
      </c>
      <c r="F46" s="75" t="inlineStr">
        <is>
          <t>Sign in to staging with the formerly published default instructor password</t>
        </is>
      </c>
      <c r="G46" s="75" t="inlineStr">
        <is>
          <t>Default credentials rejected</t>
        </is>
      </c>
      <c r="H46" s="75" t="inlineStr">
        <is>
          <t>Default credentials accepted</t>
        </is>
      </c>
      <c r="I46" s="75" t="inlineStr">
        <is>
          <t>Fixed</t>
        </is>
      </c>
      <c r="J46" s="75" t="inlineStr">
        <is>
          <t>Project owner</t>
        </is>
      </c>
      <c r="K46" s="76" t="n">
        <v>46297.5</v>
      </c>
      <c r="L46" s="75" t="inlineStr">
        <is>
          <t>49e27f8 (guard and docs); staging account reset 2026-10-02</t>
        </is>
      </c>
      <c r="M46" s="75" t="inlineStr">
        <is>
          <t>Pass</t>
        </is>
      </c>
      <c r="N46" s="76" t="n">
        <v>46297.75</v>
      </c>
      <c r="O46" s="75" t="inlineStr">
        <is>
          <t>Staging QA 2026-10-02</t>
        </is>
      </c>
      <c r="P46" s="75" t="inlineStr">
        <is>
          <t>Guard and docs fixed; shared staging instructor password reset with owner approval; default rejected (401). Student account still uses the old default (separate follow-up)</t>
        </is>
      </c>
    </row>
    <row r="47" ht="26.25" customHeight="1" s="78">
      <c r="A47" s="75" t="inlineStr">
        <is>
          <t>SQ-04</t>
        </is>
      </c>
      <c r="B47" s="75" t="inlineStr">
        <is>
          <t>Demo session calls the research API and receives 409</t>
        </is>
      </c>
      <c r="C47" s="75" t="inlineStr">
        <is>
          <t>Low</t>
        </is>
      </c>
      <c r="D47" s="75" t="inlineStr">
        <is>
          <t>Frontend</t>
        </is>
      </c>
      <c r="E47" s="75" t="inlineStr">
        <is>
          <t>Local staging</t>
        </is>
      </c>
      <c r="F47" s="75" t="inlineStr">
        <is>
          <t>Use the student demo and watch network requests</t>
        </is>
      </c>
      <c r="G47" s="75" t="inlineStr">
        <is>
          <t>Demo skips research tracking</t>
        </is>
      </c>
      <c r="H47" s="75" t="inlineStr">
        <is>
          <t>POST /research/sessions returns 409 per event</t>
        </is>
      </c>
      <c r="I47" s="75" t="inlineStr">
        <is>
          <t>Deferred</t>
        </is>
      </c>
      <c r="J47" s="75" t="inlineStr">
        <is>
          <t>Project owner</t>
        </is>
      </c>
      <c r="K47" s="76" t="n">
        <v>46297.5</v>
      </c>
      <c r="L47" s="75" t="n"/>
      <c r="M47" s="75" t="inlineStr">
        <is>
          <t>Not Run</t>
        </is>
      </c>
      <c r="N47" s="76" t="n"/>
      <c r="O47" s="75" t="inlineStr">
        <is>
          <t>Staging QA 2026-10-02</t>
        </is>
      </c>
      <c r="P47" s="75" t="inlineStr">
        <is>
          <t>Server correctly rejects; no data stored. Deferred by owner (Phase 1)</t>
        </is>
      </c>
    </row>
    <row r="48">
      <c r="A48" s="75" t="inlineStr">
        <is>
          <t>AR-01</t>
        </is>
      </c>
      <c r="B48" s="75" t="inlineStr">
        <is>
          <t>A4 hidden cases passed readings as a list, so dict-copy solutions scored 0%</t>
        </is>
      </c>
      <c r="C48" s="75" t="inlineStr">
        <is>
          <t>Critical</t>
        </is>
      </c>
      <c r="D48" s="75" t="inlineStr">
        <is>
          <t>Grading</t>
        </is>
      </c>
      <c r="E48" s="75" t="inlineStr">
        <is>
          <t>Local staging (Windows)</t>
        </is>
      </c>
      <c r="F48" s="75" t="inlineStr">
        <is>
          <t>See the 2026-10-05 Assignments 1-6 review</t>
        </is>
      </c>
      <c r="G48" s="75" t="inlineStr">
        <is>
          <t>Fair, consistent assignment and grading</t>
        </is>
      </c>
      <c r="H48" s="75" t="inlineStr">
        <is>
          <t>A4 hidden cases passed readings as a list, so dict-copy solutions scored 0%</t>
        </is>
      </c>
      <c r="I48" s="75" t="inlineStr">
        <is>
          <t>Fixed</t>
        </is>
      </c>
      <c r="J48" s="75" t="inlineStr">
        <is>
          <t>Development</t>
        </is>
      </c>
      <c r="K48" s="76" t="n">
        <v>46300</v>
      </c>
      <c r="L48" s="75" t="inlineStr">
        <is>
          <t>e939dc3b</t>
        </is>
      </c>
      <c r="M48" s="75" t="inlineStr">
        <is>
          <t>Pass</t>
        </is>
      </c>
      <c r="N48" s="76" t="n">
        <v>46300</v>
      </c>
      <c r="O48" s="75" t="inlineStr">
        <is>
          <t>Assignment Review QA 2026-10-05</t>
        </is>
      </c>
      <c r="P48" s="75" t="n"/>
    </row>
    <row r="49">
      <c r="A49" s="75" t="inlineStr">
        <is>
          <t>AR-02</t>
        </is>
      </c>
      <c r="B49" s="75" t="inlineStr">
        <is>
          <t>Sandbox errors showed worker line numbers; sandbox limits undocumented</t>
        </is>
      </c>
      <c r="C49" s="75" t="inlineStr">
        <is>
          <t>Medium</t>
        </is>
      </c>
      <c r="D49" s="75" t="inlineStr">
        <is>
          <t>Grading</t>
        </is>
      </c>
      <c r="E49" s="75" t="inlineStr">
        <is>
          <t>Local staging (Windows)</t>
        </is>
      </c>
      <c r="F49" s="75" t="inlineStr">
        <is>
          <t>See the 2026-10-05 Assignments 1-6 review</t>
        </is>
      </c>
      <c r="G49" s="75" t="inlineStr">
        <is>
          <t>Fair, consistent assignment and grading</t>
        </is>
      </c>
      <c r="H49" s="75" t="inlineStr">
        <is>
          <t>Sandbox errors showed worker line numbers; sandbox limits undocumented</t>
        </is>
      </c>
      <c r="I49" s="75" t="inlineStr">
        <is>
          <t>Fixed</t>
        </is>
      </c>
      <c r="J49" s="75" t="inlineStr">
        <is>
          <t>Development</t>
        </is>
      </c>
      <c r="K49" s="76" t="n">
        <v>46300</v>
      </c>
      <c r="L49" s="75" t="inlineStr">
        <is>
          <t>e939dc3b</t>
        </is>
      </c>
      <c r="M49" s="75" t="inlineStr">
        <is>
          <t>Pass</t>
        </is>
      </c>
      <c r="N49" s="76" t="n">
        <v>46300</v>
      </c>
      <c r="O49" s="75" t="inlineStr">
        <is>
          <t>Assignment Review QA 2026-10-05</t>
        </is>
      </c>
      <c r="P49" s="75" t="n"/>
    </row>
    <row r="50">
      <c r="A50" s="75" t="inlineStr">
        <is>
          <t>AR-03</t>
        </is>
      </c>
      <c r="B50" s="75" t="inlineStr">
        <is>
          <t>A5 never-moving node earned 50% (straight-motion credit)</t>
        </is>
      </c>
      <c r="C50" s="75" t="inlineStr">
        <is>
          <t>High</t>
        </is>
      </c>
      <c r="D50" s="75" t="inlineStr">
        <is>
          <t>Grading</t>
        </is>
      </c>
      <c r="E50" s="75" t="inlineStr">
        <is>
          <t>Local staging (Windows)</t>
        </is>
      </c>
      <c r="F50" s="75" t="inlineStr">
        <is>
          <t>See the 2026-10-05 Assignments 1-6 review</t>
        </is>
      </c>
      <c r="G50" s="75" t="inlineStr">
        <is>
          <t>Fair, consistent assignment and grading</t>
        </is>
      </c>
      <c r="H50" s="75" t="inlineStr">
        <is>
          <t>A5 never-moving node earned 50% (straight-motion credit)</t>
        </is>
      </c>
      <c r="I50" s="75" t="inlineStr">
        <is>
          <t>Fixed</t>
        </is>
      </c>
      <c r="J50" s="75" t="inlineStr">
        <is>
          <t>Development</t>
        </is>
      </c>
      <c r="K50" s="76" t="n">
        <v>46300</v>
      </c>
      <c r="L50" s="75" t="inlineStr">
        <is>
          <t>e939dc3b</t>
        </is>
      </c>
      <c r="M50" s="75" t="inlineStr">
        <is>
          <t>Pass</t>
        </is>
      </c>
      <c r="N50" s="76" t="n">
        <v>46300</v>
      </c>
      <c r="O50" s="75" t="inlineStr">
        <is>
          <t>Assignment Review QA 2026-10-05</t>
        </is>
      </c>
      <c r="P50" s="75" t="n"/>
    </row>
    <row r="51">
      <c r="A51" s="75" t="inlineStr">
        <is>
          <t>AR-04</t>
        </is>
      </c>
      <c r="B51" s="75" t="inlineStr">
        <is>
          <t>A6 always-stopped node earned 75% (stop and straight credit)</t>
        </is>
      </c>
      <c r="C51" s="75" t="inlineStr">
        <is>
          <t>High</t>
        </is>
      </c>
      <c r="D51" s="75" t="inlineStr">
        <is>
          <t>Grading</t>
        </is>
      </c>
      <c r="E51" s="75" t="inlineStr">
        <is>
          <t>Local staging (Windows)</t>
        </is>
      </c>
      <c r="F51" s="75" t="inlineStr">
        <is>
          <t>See the 2026-10-05 Assignments 1-6 review</t>
        </is>
      </c>
      <c r="G51" s="75" t="inlineStr">
        <is>
          <t>Fair, consistent assignment and grading</t>
        </is>
      </c>
      <c r="H51" s="75" t="inlineStr">
        <is>
          <t>A6 always-stopped node earned 75% (stop and straight credit)</t>
        </is>
      </c>
      <c r="I51" s="75" t="inlineStr">
        <is>
          <t>Fixed</t>
        </is>
      </c>
      <c r="J51" s="75" t="inlineStr">
        <is>
          <t>Development</t>
        </is>
      </c>
      <c r="K51" s="76" t="n">
        <v>46300</v>
      </c>
      <c r="L51" s="75" t="inlineStr">
        <is>
          <t>e939dc3b</t>
        </is>
      </c>
      <c r="M51" s="75" t="inlineStr">
        <is>
          <t>Pass</t>
        </is>
      </c>
      <c r="N51" s="76" t="n">
        <v>46300</v>
      </c>
      <c r="O51" s="75" t="inlineStr">
        <is>
          <t>Assignment Review QA 2026-10-05</t>
        </is>
      </c>
      <c r="P51" s="75" t="n"/>
    </row>
    <row r="52">
      <c r="A52" s="75" t="inlineStr">
        <is>
          <t>AR-05</t>
        </is>
      </c>
      <c r="B52" s="75" t="inlineStr">
        <is>
          <t>VFH course page exposed instructor notes; practice pages conflicted with graded versions</t>
        </is>
      </c>
      <c r="C52" s="75" t="inlineStr">
        <is>
          <t>High</t>
        </is>
      </c>
      <c r="D52" s="75" t="inlineStr">
        <is>
          <t>Content</t>
        </is>
      </c>
      <c r="E52" s="75" t="inlineStr">
        <is>
          <t>Local staging (Windows)</t>
        </is>
      </c>
      <c r="F52" s="75" t="inlineStr">
        <is>
          <t>See the 2026-10-05 Assignments 1-6 review</t>
        </is>
      </c>
      <c r="G52" s="75" t="inlineStr">
        <is>
          <t>Fair, consistent assignment and grading</t>
        </is>
      </c>
      <c r="H52" s="75" t="inlineStr">
        <is>
          <t>VFH course page exposed instructor notes; practice pages conflicted with graded versions</t>
        </is>
      </c>
      <c r="I52" s="75" t="inlineStr">
        <is>
          <t>Fixed</t>
        </is>
      </c>
      <c r="J52" s="75" t="inlineStr">
        <is>
          <t>Development</t>
        </is>
      </c>
      <c r="K52" s="76" t="n">
        <v>46300</v>
      </c>
      <c r="L52" s="75" t="inlineStr">
        <is>
          <t>e939dc3b</t>
        </is>
      </c>
      <c r="M52" s="75" t="inlineStr">
        <is>
          <t>Pass</t>
        </is>
      </c>
      <c r="N52" s="76" t="n">
        <v>46300</v>
      </c>
      <c r="O52" s="75" t="inlineStr">
        <is>
          <t>Assignment Review QA 2026-10-05</t>
        </is>
      </c>
      <c r="P52" s="75" t="n"/>
    </row>
    <row r="53">
      <c r="A53" s="75" t="inlineStr">
        <is>
          <t>AR-06</t>
        </is>
      </c>
      <c r="B53" s="75" t="inlineStr">
        <is>
          <t>A3 half-circle detour model geometrically misleading; barrier undescribed</t>
        </is>
      </c>
      <c r="C53" s="75" t="inlineStr">
        <is>
          <t>Medium</t>
        </is>
      </c>
      <c r="D53" s="75" t="inlineStr">
        <is>
          <t>Content</t>
        </is>
      </c>
      <c r="E53" s="75" t="inlineStr">
        <is>
          <t>Local staging (Windows)</t>
        </is>
      </c>
      <c r="F53" s="75" t="inlineStr">
        <is>
          <t>See the 2026-10-05 Assignments 1-6 review</t>
        </is>
      </c>
      <c r="G53" s="75" t="inlineStr">
        <is>
          <t>Fair, consistent assignment and grading</t>
        </is>
      </c>
      <c r="H53" s="75" t="inlineStr">
        <is>
          <t>A3 half-circle detour model geometrically misleading; barrier undescribed</t>
        </is>
      </c>
      <c r="I53" s="75" t="inlineStr">
        <is>
          <t>Fixed</t>
        </is>
      </c>
      <c r="J53" s="75" t="inlineStr">
        <is>
          <t>Development</t>
        </is>
      </c>
      <c r="K53" s="76" t="n">
        <v>46300</v>
      </c>
      <c r="L53" s="75" t="inlineStr">
        <is>
          <t>e939dc3b</t>
        </is>
      </c>
      <c r="M53" s="75" t="inlineStr">
        <is>
          <t>Pass</t>
        </is>
      </c>
      <c r="N53" s="76" t="n">
        <v>46300</v>
      </c>
      <c r="O53" s="75" t="inlineStr">
        <is>
          <t>Assignment Review QA 2026-10-05</t>
        </is>
      </c>
      <c r="P53" s="75" t="n"/>
    </row>
    <row r="54">
      <c r="A54" s="75" t="inlineStr">
        <is>
          <t>AR-07</t>
        </is>
      </c>
      <c r="B54" s="75" t="inlineStr">
        <is>
          <t>A6 LaserScan infinity semantics and scan field of view unexplained</t>
        </is>
      </c>
      <c r="C54" s="75" t="inlineStr">
        <is>
          <t>Medium</t>
        </is>
      </c>
      <c r="D54" s="75" t="inlineStr">
        <is>
          <t>Content</t>
        </is>
      </c>
      <c r="E54" s="75" t="inlineStr">
        <is>
          <t>Local staging (Windows)</t>
        </is>
      </c>
      <c r="F54" s="75" t="inlineStr">
        <is>
          <t>See the 2026-10-05 Assignments 1-6 review</t>
        </is>
      </c>
      <c r="G54" s="75" t="inlineStr">
        <is>
          <t>Fair, consistent assignment and grading</t>
        </is>
      </c>
      <c r="H54" s="75" t="inlineStr">
        <is>
          <t>A6 LaserScan infinity semantics and scan field of view unexplained</t>
        </is>
      </c>
      <c r="I54" s="75" t="inlineStr">
        <is>
          <t>Fixed</t>
        </is>
      </c>
      <c r="J54" s="75" t="inlineStr">
        <is>
          <t>Development</t>
        </is>
      </c>
      <c r="K54" s="76" t="n">
        <v>46300</v>
      </c>
      <c r="L54" s="75" t="inlineStr">
        <is>
          <t>e939dc3b</t>
        </is>
      </c>
      <c r="M54" s="75" t="inlineStr">
        <is>
          <t>Pass</t>
        </is>
      </c>
      <c r="N54" s="76" t="n">
        <v>46300</v>
      </c>
      <c r="O54" s="75" t="inlineStr">
        <is>
          <t>Assignment Review QA 2026-10-05</t>
        </is>
      </c>
      <c r="P54" s="75" t="n"/>
    </row>
    <row r="55">
      <c r="A55" s="75" t="inlineStr">
        <is>
          <t>AR-08</t>
        </is>
      </c>
      <c r="B55" s="75" t="inlineStr">
        <is>
          <t>A1/A2 objectives not assessed; turn-direction and diagram glyph issues</t>
        </is>
      </c>
      <c r="C55" s="75" t="inlineStr">
        <is>
          <t>Low</t>
        </is>
      </c>
      <c r="D55" s="75" t="inlineStr">
        <is>
          <t>Content</t>
        </is>
      </c>
      <c r="E55" s="75" t="inlineStr">
        <is>
          <t>Local staging (Windows)</t>
        </is>
      </c>
      <c r="F55" s="75" t="inlineStr">
        <is>
          <t>See the 2026-10-05 Assignments 1-6 review</t>
        </is>
      </c>
      <c r="G55" s="75" t="inlineStr">
        <is>
          <t>Fair, consistent assignment and grading</t>
        </is>
      </c>
      <c r="H55" s="75" t="inlineStr">
        <is>
          <t>A1/A2 objectives not assessed; turn-direction and diagram glyph issues</t>
        </is>
      </c>
      <c r="I55" s="75" t="inlineStr">
        <is>
          <t>Fixed</t>
        </is>
      </c>
      <c r="J55" s="75" t="inlineStr">
        <is>
          <t>Development</t>
        </is>
      </c>
      <c r="K55" s="76" t="n">
        <v>46300</v>
      </c>
      <c r="L55" s="75" t="inlineStr">
        <is>
          <t>e939dc3b</t>
        </is>
      </c>
      <c r="M55" s="75" t="inlineStr">
        <is>
          <t>Pass</t>
        </is>
      </c>
      <c r="N55" s="76" t="n">
        <v>46300</v>
      </c>
      <c r="O55" s="75" t="inlineStr">
        <is>
          <t>Assignment Review QA 2026-10-05</t>
        </is>
      </c>
      <c r="P55" s="75" t="n"/>
    </row>
    <row r="56">
      <c r="A56" s="75" t="inlineStr">
        <is>
          <t>AR-09</t>
        </is>
      </c>
      <c r="B56" s="75" t="inlineStr">
        <is>
          <t>Untouched A5/A6 starters earned 20% and 10%; no ROS 2 primer</t>
        </is>
      </c>
      <c r="C56" s="75" t="inlineStr">
        <is>
          <t>Medium</t>
        </is>
      </c>
      <c r="D56" s="75" t="inlineStr">
        <is>
          <t>Grading</t>
        </is>
      </c>
      <c r="E56" s="75" t="inlineStr">
        <is>
          <t>Local staging (Windows)</t>
        </is>
      </c>
      <c r="F56" s="75" t="inlineStr">
        <is>
          <t>See the 2026-10-05 Assignments 1-6 review</t>
        </is>
      </c>
      <c r="G56" s="75" t="inlineStr">
        <is>
          <t>Fair, consistent assignment and grading</t>
        </is>
      </c>
      <c r="H56" s="75" t="inlineStr">
        <is>
          <t>Untouched A5/A6 starters earned 20% and 10%; no ROS 2 primer</t>
        </is>
      </c>
      <c r="I56" s="75" t="inlineStr">
        <is>
          <t>Fixed</t>
        </is>
      </c>
      <c r="J56" s="75" t="inlineStr">
        <is>
          <t>Development</t>
        </is>
      </c>
      <c r="K56" s="76" t="n">
        <v>46300</v>
      </c>
      <c r="L56" s="75" t="inlineStr">
        <is>
          <t>40de925c</t>
        </is>
      </c>
      <c r="M56" s="75" t="inlineStr">
        <is>
          <t>Pass</t>
        </is>
      </c>
      <c r="N56" s="76" t="n">
        <v>46300</v>
      </c>
      <c r="O56" s="75" t="inlineStr">
        <is>
          <t>Assignment Review QA 2026-10-05</t>
        </is>
      </c>
      <c r="P56" s="75" t="n"/>
    </row>
    <row r="57">
      <c r="A57" s="75" t="inlineStr">
        <is>
          <t>AR-10</t>
        </is>
      </c>
      <c r="B57" s="75" t="inlineStr">
        <is>
          <t>Sandbox rejected common numpy and Python spellings (np.deg2rad, np.array, np.where, math.pow, dict.update, _)</t>
        </is>
      </c>
      <c r="C57" s="75" t="inlineStr">
        <is>
          <t>Medium</t>
        </is>
      </c>
      <c r="D57" s="75" t="inlineStr">
        <is>
          <t>Grading</t>
        </is>
      </c>
      <c r="E57" s="75" t="inlineStr">
        <is>
          <t>Local staging (Windows)</t>
        </is>
      </c>
      <c r="F57" s="75" t="inlineStr">
        <is>
          <t>See the 2026-10-05 in-depth assignment review</t>
        </is>
      </c>
      <c r="G57" s="75" t="inlineStr">
        <is>
          <t>Fair, clear grading and instructions</t>
        </is>
      </c>
      <c r="H57" s="75" t="inlineStr">
        <is>
          <t>Sandbox rejected common numpy and Python spellings (np.deg2rad, np.array, np.where, math.pow, dict.update, _)</t>
        </is>
      </c>
      <c r="I57" s="75" t="inlineStr">
        <is>
          <t>Fixed</t>
        </is>
      </c>
      <c r="J57" s="75" t="inlineStr">
        <is>
          <t>Development</t>
        </is>
      </c>
      <c r="K57" s="76" t="n">
        <v>46300</v>
      </c>
      <c r="L57" s="75" t="inlineStr">
        <is>
          <t>1af50897</t>
        </is>
      </c>
      <c r="M57" s="75" t="inlineStr">
        <is>
          <t>Pass</t>
        </is>
      </c>
      <c r="N57" s="76" t="n">
        <v>46300</v>
      </c>
      <c r="O57" s="75" t="inlineStr">
        <is>
          <t>Review Fixes QA 2026-10-05</t>
        </is>
      </c>
      <c r="P57" s="75" t="n"/>
    </row>
    <row r="58">
      <c r="A58" s="75" t="inlineStr">
        <is>
          <t>AR-11</t>
        </is>
      </c>
      <c r="B58" s="75" t="inlineStr">
        <is>
          <t>ROS crash text was raw rclpy traceback naming the grader instrumentation file</t>
        </is>
      </c>
      <c r="C58" s="75" t="inlineStr">
        <is>
          <t>High</t>
        </is>
      </c>
      <c r="D58" s="75" t="inlineStr">
        <is>
          <t>Grading</t>
        </is>
      </c>
      <c r="E58" s="75" t="inlineStr">
        <is>
          <t>Local staging (Windows)</t>
        </is>
      </c>
      <c r="F58" s="75" t="inlineStr">
        <is>
          <t>See the 2026-10-05 in-depth assignment review</t>
        </is>
      </c>
      <c r="G58" s="75" t="inlineStr">
        <is>
          <t>Fair, clear grading and instructions</t>
        </is>
      </c>
      <c r="H58" s="75" t="inlineStr">
        <is>
          <t>ROS crash text was raw rclpy traceback naming the grader instrumentation file</t>
        </is>
      </c>
      <c r="I58" s="75" t="inlineStr">
        <is>
          <t>Fixed</t>
        </is>
      </c>
      <c r="J58" s="75" t="inlineStr">
        <is>
          <t>Development</t>
        </is>
      </c>
      <c r="K58" s="76" t="n">
        <v>46300</v>
      </c>
      <c r="L58" s="75" t="inlineStr">
        <is>
          <t>1af50897</t>
        </is>
      </c>
      <c r="M58" s="75" t="inlineStr">
        <is>
          <t>Pass</t>
        </is>
      </c>
      <c r="N58" s="76" t="n">
        <v>46300</v>
      </c>
      <c r="O58" s="75" t="inlineStr">
        <is>
          <t>Review Fixes QA 2026-10-05</t>
        </is>
      </c>
      <c r="P58" s="75" t="n"/>
    </row>
    <row r="59">
      <c r="A59" s="75" t="inlineStr">
        <is>
          <t>AR-12</t>
        </is>
      </c>
      <c r="B59" s="75" t="inlineStr">
        <is>
          <t>ROS checks showed no points; scaffold pass looked contradictory with 0%</t>
        </is>
      </c>
      <c r="C59" s="75" t="inlineStr">
        <is>
          <t>Low</t>
        </is>
      </c>
      <c r="D59" s="75" t="inlineStr">
        <is>
          <t>Frontend</t>
        </is>
      </c>
      <c r="E59" s="75" t="inlineStr">
        <is>
          <t>Local staging (Windows)</t>
        </is>
      </c>
      <c r="F59" s="75" t="inlineStr">
        <is>
          <t>See the 2026-10-05 in-depth assignment review</t>
        </is>
      </c>
      <c r="G59" s="75" t="inlineStr">
        <is>
          <t>Fair, clear grading and instructions</t>
        </is>
      </c>
      <c r="H59" s="75" t="inlineStr">
        <is>
          <t>ROS checks showed no points; scaffold pass looked contradictory with 0%</t>
        </is>
      </c>
      <c r="I59" s="75" t="inlineStr">
        <is>
          <t>Fixed</t>
        </is>
      </c>
      <c r="J59" s="75" t="inlineStr">
        <is>
          <t>Development</t>
        </is>
      </c>
      <c r="K59" s="76" t="n">
        <v>46300</v>
      </c>
      <c r="L59" s="75" t="inlineStr">
        <is>
          <t>1af50897</t>
        </is>
      </c>
      <c r="M59" s="75" t="inlineStr">
        <is>
          <t>Pass</t>
        </is>
      </c>
      <c r="N59" s="76" t="n">
        <v>46300</v>
      </c>
      <c r="O59" s="75" t="inlineStr">
        <is>
          <t>Review Fixes QA 2026-10-05</t>
        </is>
      </c>
      <c r="P59" s="75" t="n"/>
    </row>
    <row r="60">
      <c r="A60" s="75" t="inlineStr">
        <is>
          <t>AR-13</t>
        </is>
      </c>
      <c r="B60" s="75" t="inlineStr">
        <is>
          <t>Cancelled ROS timer got a generic queue-depth message</t>
        </is>
      </c>
      <c r="C60" s="75" t="inlineStr">
        <is>
          <t>Low</t>
        </is>
      </c>
      <c r="D60" s="75" t="inlineStr">
        <is>
          <t>Grading</t>
        </is>
      </c>
      <c r="E60" s="75" t="inlineStr">
        <is>
          <t>Local staging (Windows)</t>
        </is>
      </c>
      <c r="F60" s="75" t="inlineStr">
        <is>
          <t>See the 2026-10-05 in-depth assignment review</t>
        </is>
      </c>
      <c r="G60" s="75" t="inlineStr">
        <is>
          <t>Fair, clear grading and instructions</t>
        </is>
      </c>
      <c r="H60" s="75" t="inlineStr">
        <is>
          <t>Cancelled ROS timer got a generic queue-depth message</t>
        </is>
      </c>
      <c r="I60" s="75" t="inlineStr">
        <is>
          <t>Fixed</t>
        </is>
      </c>
      <c r="J60" s="75" t="inlineStr">
        <is>
          <t>Development</t>
        </is>
      </c>
      <c r="K60" s="76" t="n">
        <v>46300</v>
      </c>
      <c r="L60" s="75" t="inlineStr">
        <is>
          <t>1af50897</t>
        </is>
      </c>
      <c r="M60" s="75" t="inlineStr">
        <is>
          <t>Pass</t>
        </is>
      </c>
      <c r="N60" s="76" t="n">
        <v>46300</v>
      </c>
      <c r="O60" s="75" t="inlineStr">
        <is>
          <t>Review Fixes QA 2026-10-05</t>
        </is>
      </c>
      <c r="P60" s="75" t="n"/>
    </row>
    <row r="61">
      <c r="A61" s="75" t="inlineStr">
        <is>
          <t>AR-14</t>
        </is>
      </c>
      <c r="B61" s="75" t="inlineStr">
        <is>
          <t>A4 did not say search_half_width can be 0; off-by-one window scored 0%</t>
        </is>
      </c>
      <c r="C61" s="75" t="inlineStr">
        <is>
          <t>High</t>
        </is>
      </c>
      <c r="D61" s="75" t="inlineStr">
        <is>
          <t>Content</t>
        </is>
      </c>
      <c r="E61" s="75" t="inlineStr">
        <is>
          <t>Local staging (Windows)</t>
        </is>
      </c>
      <c r="F61" s="75" t="inlineStr">
        <is>
          <t>See the 2026-10-05 in-depth assignment review</t>
        </is>
      </c>
      <c r="G61" s="75" t="inlineStr">
        <is>
          <t>Fair, clear grading and instructions</t>
        </is>
      </c>
      <c r="H61" s="75" t="inlineStr">
        <is>
          <t>A4 did not say search_half_width can be 0; off-by-one window scored 0%</t>
        </is>
      </c>
      <c r="I61" s="75" t="inlineStr">
        <is>
          <t>Fixed</t>
        </is>
      </c>
      <c r="J61" s="75" t="inlineStr">
        <is>
          <t>Development</t>
        </is>
      </c>
      <c r="K61" s="76" t="n">
        <v>46300</v>
      </c>
      <c r="L61" s="75" t="inlineStr">
        <is>
          <t>1af50897</t>
        </is>
      </c>
      <c r="M61" s="75" t="inlineStr">
        <is>
          <t>Pass</t>
        </is>
      </c>
      <c r="N61" s="76" t="n">
        <v>46300</v>
      </c>
      <c r="O61" s="75" t="inlineStr">
        <is>
          <t>Review Fixes QA 2026-10-05</t>
        </is>
      </c>
      <c r="P61" s="75" t="n"/>
    </row>
    <row r="62">
      <c r="A62" s="75" t="inlineStr">
        <is>
          <t>AR-15</t>
        </is>
      </c>
      <c r="B62" s="75" t="inlineStr">
        <is>
          <t>Results panel hid printed output whenever execution failed</t>
        </is>
      </c>
      <c r="C62" s="75" t="inlineStr">
        <is>
          <t>Medium</t>
        </is>
      </c>
      <c r="D62" s="75" t="inlineStr">
        <is>
          <t>Frontend</t>
        </is>
      </c>
      <c r="E62" s="75" t="inlineStr">
        <is>
          <t>Local staging (Windows)</t>
        </is>
      </c>
      <c r="F62" s="75" t="inlineStr">
        <is>
          <t>See the 2026-10-05 in-depth assignment review</t>
        </is>
      </c>
      <c r="G62" s="75" t="inlineStr">
        <is>
          <t>Fair, clear grading and instructions</t>
        </is>
      </c>
      <c r="H62" s="75" t="inlineStr">
        <is>
          <t>Results panel hid printed output whenever execution failed</t>
        </is>
      </c>
      <c r="I62" s="75" t="inlineStr">
        <is>
          <t>Fixed</t>
        </is>
      </c>
      <c r="J62" s="75" t="inlineStr">
        <is>
          <t>Development</t>
        </is>
      </c>
      <c r="K62" s="76" t="n">
        <v>46300</v>
      </c>
      <c r="L62" s="75" t="inlineStr">
        <is>
          <t>1af50897</t>
        </is>
      </c>
      <c r="M62" s="75" t="inlineStr">
        <is>
          <t>Pass</t>
        </is>
      </c>
      <c r="N62" s="76" t="n">
        <v>46300</v>
      </c>
      <c r="O62" s="75" t="inlineStr">
        <is>
          <t>Review Fixes QA 2026-10-05</t>
        </is>
      </c>
      <c r="P62" s="75" t="n"/>
    </row>
    <row r="63">
      <c r="A63" s="75" t="inlineStr">
        <is>
          <t>AR-16</t>
        </is>
      </c>
      <c r="B63" s="75" t="inlineStr">
        <is>
          <t>Built-in tutor never received grader misconception tags</t>
        </is>
      </c>
      <c r="C63" s="75" t="inlineStr">
        <is>
          <t>Low</t>
        </is>
      </c>
      <c r="D63" s="75" t="inlineStr">
        <is>
          <t>Grading</t>
        </is>
      </c>
      <c r="E63" s="75" t="inlineStr">
        <is>
          <t>Local staging (Windows)</t>
        </is>
      </c>
      <c r="F63" s="75" t="inlineStr">
        <is>
          <t>See the 2026-10-05 in-depth assignment review</t>
        </is>
      </c>
      <c r="G63" s="75" t="inlineStr">
        <is>
          <t>Fair, clear grading and instructions</t>
        </is>
      </c>
      <c r="H63" s="75" t="inlineStr">
        <is>
          <t>Built-in tutor never received grader misconception tags</t>
        </is>
      </c>
      <c r="I63" s="75" t="inlineStr">
        <is>
          <t>Fixed</t>
        </is>
      </c>
      <c r="J63" s="75" t="inlineStr">
        <is>
          <t>Development</t>
        </is>
      </c>
      <c r="K63" s="76" t="n">
        <v>46300</v>
      </c>
      <c r="L63" s="75" t="inlineStr">
        <is>
          <t>1af50897</t>
        </is>
      </c>
      <c r="M63" s="75" t="inlineStr">
        <is>
          <t>Pass</t>
        </is>
      </c>
      <c r="N63" s="76" t="n">
        <v>46300</v>
      </c>
      <c r="O63" s="75" t="inlineStr">
        <is>
          <t>Review Fixes QA 2026-10-05</t>
        </is>
      </c>
      <c r="P63" s="75" t="n"/>
    </row>
    <row r="64">
      <c r="A64" s="75" t="inlineStr">
        <is>
          <t>AR-17</t>
        </is>
      </c>
      <c r="B64" s="75" t="inlineStr">
        <is>
          <t>Instruction layout and wording issues across A1-A6 and the VFH lesson</t>
        </is>
      </c>
      <c r="C64" s="75" t="inlineStr">
        <is>
          <t>Low</t>
        </is>
      </c>
      <c r="D64" s="75" t="inlineStr">
        <is>
          <t>Content</t>
        </is>
      </c>
      <c r="E64" s="75" t="inlineStr">
        <is>
          <t>Local staging (Windows)</t>
        </is>
      </c>
      <c r="F64" s="75" t="inlineStr">
        <is>
          <t>See the 2026-10-05 in-depth assignment review</t>
        </is>
      </c>
      <c r="G64" s="75" t="inlineStr">
        <is>
          <t>Fair, clear grading and instructions</t>
        </is>
      </c>
      <c r="H64" s="75" t="inlineStr">
        <is>
          <t>Instruction layout and wording issues across A1-A6 and the VFH lesson</t>
        </is>
      </c>
      <c r="I64" s="75" t="inlineStr">
        <is>
          <t>Fixed</t>
        </is>
      </c>
      <c r="J64" s="75" t="inlineStr">
        <is>
          <t>Development</t>
        </is>
      </c>
      <c r="K64" s="76" t="n">
        <v>46300</v>
      </c>
      <c r="L64" s="75" t="inlineStr">
        <is>
          <t>1af50897</t>
        </is>
      </c>
      <c r="M64" s="75" t="inlineStr">
        <is>
          <t>Pass</t>
        </is>
      </c>
      <c r="N64" s="76" t="n">
        <v>46300</v>
      </c>
      <c r="O64" s="75" t="inlineStr">
        <is>
          <t>Review Fixes QA 2026-10-05</t>
        </is>
      </c>
      <c r="P64" s="75" t="n"/>
    </row>
    <row r="65">
      <c r="A65" s="23" t="n"/>
      <c r="B65" s="23" t="n"/>
      <c r="C65" s="23" t="n"/>
      <c r="D65" s="23" t="n"/>
      <c r="E65" s="23" t="n"/>
      <c r="F65" s="23" t="n"/>
      <c r="G65" s="23" t="n"/>
      <c r="H65" s="23" t="n"/>
      <c r="I65" s="23" t="n"/>
      <c r="J65" s="23" t="n"/>
      <c r="K65" s="24" t="n"/>
      <c r="L65" s="23" t="n"/>
      <c r="M65" s="23" t="n"/>
      <c r="N65" s="24" t="n"/>
      <c r="O65" s="23" t="n"/>
      <c r="P65" s="23" t="n"/>
    </row>
    <row r="66">
      <c r="A66" s="23" t="n"/>
      <c r="B66" s="23" t="n"/>
      <c r="C66" s="23" t="n"/>
      <c r="D66" s="23" t="n"/>
      <c r="E66" s="23" t="n"/>
      <c r="F66" s="23" t="n"/>
      <c r="G66" s="23" t="n"/>
      <c r="H66" s="23" t="n"/>
      <c r="I66" s="23" t="n"/>
      <c r="J66" s="23" t="n"/>
      <c r="K66" s="24" t="n"/>
      <c r="L66" s="23" t="n"/>
      <c r="M66" s="23" t="n"/>
      <c r="N66" s="24" t="n"/>
      <c r="O66" s="23" t="n"/>
      <c r="P66" s="23" t="n"/>
    </row>
    <row r="67">
      <c r="A67" s="23" t="n"/>
      <c r="B67" s="23" t="n"/>
      <c r="C67" s="23" t="n"/>
      <c r="D67" s="23" t="n"/>
      <c r="E67" s="23" t="n"/>
      <c r="F67" s="23" t="n"/>
      <c r="G67" s="23" t="n"/>
      <c r="H67" s="23" t="n"/>
      <c r="I67" s="23" t="n"/>
      <c r="J67" s="23" t="n"/>
      <c r="K67" s="24" t="n"/>
      <c r="L67" s="23" t="n"/>
      <c r="M67" s="23" t="n"/>
      <c r="N67" s="24" t="n"/>
      <c r="O67" s="23" t="n"/>
      <c r="P67" s="23" t="n"/>
    </row>
    <row r="68">
      <c r="A68" s="23" t="n"/>
      <c r="B68" s="23" t="n"/>
      <c r="C68" s="23" t="n"/>
      <c r="D68" s="23" t="n"/>
      <c r="E68" s="23" t="n"/>
      <c r="F68" s="23" t="n"/>
      <c r="G68" s="23" t="n"/>
      <c r="H68" s="23" t="n"/>
      <c r="I68" s="23" t="n"/>
      <c r="J68" s="23" t="n"/>
      <c r="K68" s="24" t="n"/>
      <c r="L68" s="23" t="n"/>
      <c r="M68" s="23" t="n"/>
      <c r="N68" s="24" t="n"/>
      <c r="O68" s="23" t="n"/>
      <c r="P68" s="23" t="n"/>
    </row>
    <row r="69">
      <c r="A69" s="23" t="n"/>
      <c r="B69" s="23" t="n"/>
      <c r="C69" s="23" t="n"/>
      <c r="D69" s="23" t="n"/>
      <c r="E69" s="23" t="n"/>
      <c r="F69" s="23" t="n"/>
      <c r="G69" s="23" t="n"/>
      <c r="H69" s="23" t="n"/>
      <c r="I69" s="23" t="n"/>
      <c r="J69" s="23" t="n"/>
      <c r="K69" s="24" t="n"/>
      <c r="L69" s="23" t="n"/>
      <c r="M69" s="23" t="n"/>
      <c r="N69" s="24" t="n"/>
      <c r="O69" s="23" t="n"/>
      <c r="P69" s="23" t="n"/>
    </row>
    <row r="70">
      <c r="A70" s="23" t="n"/>
      <c r="B70" s="23" t="n"/>
      <c r="C70" s="23" t="n"/>
      <c r="D70" s="23" t="n"/>
      <c r="E70" s="23" t="n"/>
      <c r="F70" s="23" t="n"/>
      <c r="G70" s="23" t="n"/>
      <c r="H70" s="23" t="n"/>
      <c r="I70" s="23" t="n"/>
      <c r="J70" s="23" t="n"/>
      <c r="K70" s="24" t="n"/>
      <c r="L70" s="23" t="n"/>
      <c r="M70" s="23" t="n"/>
      <c r="N70" s="24" t="n"/>
      <c r="O70" s="23" t="n"/>
      <c r="P70" s="23" t="n"/>
    </row>
    <row r="71">
      <c r="A71" s="23" t="n"/>
      <c r="B71" s="23" t="n"/>
      <c r="C71" s="23" t="n"/>
      <c r="D71" s="23" t="n"/>
      <c r="E71" s="23" t="n"/>
      <c r="F71" s="23" t="n"/>
      <c r="G71" s="23" t="n"/>
      <c r="H71" s="23" t="n"/>
      <c r="I71" s="23" t="n"/>
      <c r="J71" s="23" t="n"/>
      <c r="K71" s="24" t="n"/>
      <c r="L71" s="23" t="n"/>
      <c r="M71" s="23" t="n"/>
      <c r="N71" s="24" t="n"/>
      <c r="O71" s="23" t="n"/>
      <c r="P71" s="23" t="n"/>
    </row>
    <row r="72">
      <c r="A72" s="23" t="n"/>
      <c r="B72" s="23" t="n"/>
      <c r="C72" s="23" t="n"/>
      <c r="D72" s="23" t="n"/>
      <c r="E72" s="23" t="n"/>
      <c r="F72" s="23" t="n"/>
      <c r="G72" s="23" t="n"/>
      <c r="H72" s="23" t="n"/>
      <c r="I72" s="23" t="n"/>
      <c r="J72" s="23" t="n"/>
      <c r="K72" s="24" t="n"/>
      <c r="L72" s="23" t="n"/>
      <c r="M72" s="23" t="n"/>
      <c r="N72" s="24" t="n"/>
      <c r="O72" s="23" t="n"/>
      <c r="P72" s="23" t="n"/>
    </row>
    <row r="73">
      <c r="A73" s="23" t="n"/>
      <c r="B73" s="23" t="n"/>
      <c r="C73" s="23" t="n"/>
      <c r="D73" s="23" t="n"/>
      <c r="E73" s="23" t="n"/>
      <c r="F73" s="23" t="n"/>
      <c r="G73" s="23" t="n"/>
      <c r="H73" s="23" t="n"/>
      <c r="I73" s="23" t="n"/>
      <c r="J73" s="23" t="n"/>
      <c r="K73" s="24" t="n"/>
      <c r="L73" s="23" t="n"/>
      <c r="M73" s="23" t="n"/>
      <c r="N73" s="24" t="n"/>
      <c r="O73" s="23" t="n"/>
      <c r="P73" s="23" t="n"/>
    </row>
    <row r="74">
      <c r="A74" s="23" t="n"/>
      <c r="B74" s="23" t="n"/>
      <c r="C74" s="23" t="n"/>
      <c r="D74" s="23" t="n"/>
      <c r="E74" s="23" t="n"/>
      <c r="F74" s="23" t="n"/>
      <c r="G74" s="23" t="n"/>
      <c r="H74" s="23" t="n"/>
      <c r="I74" s="23" t="n"/>
      <c r="J74" s="23" t="n"/>
      <c r="K74" s="24" t="n"/>
      <c r="L74" s="23" t="n"/>
      <c r="M74" s="23" t="n"/>
      <c r="N74" s="24" t="n"/>
      <c r="O74" s="23" t="n"/>
      <c r="P74" s="23" t="n"/>
    </row>
    <row r="75">
      <c r="A75" s="23" t="n"/>
      <c r="B75" s="23" t="n"/>
      <c r="C75" s="23" t="n"/>
      <c r="D75" s="23" t="n"/>
      <c r="E75" s="23" t="n"/>
      <c r="F75" s="23" t="n"/>
      <c r="G75" s="23" t="n"/>
      <c r="H75" s="23" t="n"/>
      <c r="I75" s="23" t="n"/>
      <c r="J75" s="23" t="n"/>
      <c r="K75" s="24" t="n"/>
      <c r="L75" s="23" t="n"/>
      <c r="M75" s="23" t="n"/>
      <c r="N75" s="24" t="n"/>
      <c r="O75" s="23" t="n"/>
      <c r="P75" s="23" t="n"/>
    </row>
    <row r="76">
      <c r="A76" s="23" t="n"/>
      <c r="B76" s="23" t="n"/>
      <c r="C76" s="23" t="n"/>
      <c r="D76" s="23" t="n"/>
      <c r="E76" s="23" t="n"/>
      <c r="F76" s="23" t="n"/>
      <c r="G76" s="23" t="n"/>
      <c r="H76" s="23" t="n"/>
      <c r="I76" s="23" t="n"/>
      <c r="J76" s="23" t="n"/>
      <c r="K76" s="24" t="n"/>
      <c r="L76" s="23" t="n"/>
      <c r="M76" s="23" t="n"/>
      <c r="N76" s="24" t="n"/>
      <c r="O76" s="23" t="n"/>
      <c r="P76" s="23" t="n"/>
    </row>
    <row r="77">
      <c r="A77" s="23" t="n"/>
      <c r="B77" s="23" t="n"/>
      <c r="C77" s="23" t="n"/>
      <c r="D77" s="23" t="n"/>
      <c r="E77" s="23" t="n"/>
      <c r="F77" s="23" t="n"/>
      <c r="G77" s="23" t="n"/>
      <c r="H77" s="23" t="n"/>
      <c r="I77" s="23" t="n"/>
      <c r="J77" s="23" t="n"/>
      <c r="K77" s="24" t="n"/>
      <c r="L77" s="23" t="n"/>
      <c r="M77" s="23" t="n"/>
      <c r="N77" s="24" t="n"/>
      <c r="O77" s="23" t="n"/>
      <c r="P77" s="23" t="n"/>
    </row>
    <row r="78">
      <c r="A78" s="23" t="n"/>
      <c r="B78" s="23" t="n"/>
      <c r="C78" s="23" t="n"/>
      <c r="D78" s="23" t="n"/>
      <c r="E78" s="23" t="n"/>
      <c r="F78" s="23" t="n"/>
      <c r="G78" s="23" t="n"/>
      <c r="H78" s="23" t="n"/>
      <c r="I78" s="23" t="n"/>
      <c r="J78" s="23" t="n"/>
      <c r="K78" s="24" t="n"/>
      <c r="L78" s="23" t="n"/>
      <c r="M78" s="23" t="n"/>
      <c r="N78" s="24" t="n"/>
      <c r="O78" s="23" t="n"/>
      <c r="P78" s="23" t="n"/>
    </row>
    <row r="79">
      <c r="A79" s="23" t="n"/>
      <c r="B79" s="23" t="n"/>
      <c r="C79" s="23" t="n"/>
      <c r="D79" s="23" t="n"/>
      <c r="E79" s="23" t="n"/>
      <c r="F79" s="23" t="n"/>
      <c r="G79" s="23" t="n"/>
      <c r="H79" s="23" t="n"/>
      <c r="I79" s="23" t="n"/>
      <c r="J79" s="23" t="n"/>
      <c r="K79" s="24" t="n"/>
      <c r="L79" s="23" t="n"/>
      <c r="M79" s="23" t="n"/>
      <c r="N79" s="24" t="n"/>
      <c r="O79" s="23" t="n"/>
      <c r="P79" s="23" t="n"/>
    </row>
    <row r="80">
      <c r="A80" s="23" t="n"/>
      <c r="B80" s="23" t="n"/>
      <c r="C80" s="23" t="n"/>
      <c r="D80" s="23" t="n"/>
      <c r="E80" s="23" t="n"/>
      <c r="F80" s="23" t="n"/>
      <c r="G80" s="23" t="n"/>
      <c r="H80" s="23" t="n"/>
      <c r="I80" s="23" t="n"/>
      <c r="J80" s="23" t="n"/>
      <c r="K80" s="24" t="n"/>
      <c r="L80" s="23" t="n"/>
      <c r="M80" s="23" t="n"/>
      <c r="N80" s="24" t="n"/>
      <c r="O80" s="23" t="n"/>
      <c r="P80" s="23" t="n"/>
    </row>
    <row r="81">
      <c r="A81" s="23" t="n"/>
      <c r="B81" s="23" t="n"/>
      <c r="C81" s="23" t="n"/>
      <c r="D81" s="23" t="n"/>
      <c r="E81" s="23" t="n"/>
      <c r="F81" s="23" t="n"/>
      <c r="G81" s="23" t="n"/>
      <c r="H81" s="23" t="n"/>
      <c r="I81" s="23" t="n"/>
      <c r="J81" s="23" t="n"/>
      <c r="K81" s="24" t="n"/>
      <c r="L81" s="23" t="n"/>
      <c r="M81" s="23" t="n"/>
      <c r="N81" s="24" t="n"/>
      <c r="O81" s="23" t="n"/>
      <c r="P81" s="23" t="n"/>
    </row>
    <row r="82">
      <c r="A82" s="23" t="n"/>
      <c r="B82" s="23" t="n"/>
      <c r="C82" s="23" t="n"/>
      <c r="D82" s="23" t="n"/>
      <c r="E82" s="23" t="n"/>
      <c r="F82" s="23" t="n"/>
      <c r="G82" s="23" t="n"/>
      <c r="H82" s="23" t="n"/>
      <c r="I82" s="23" t="n"/>
      <c r="J82" s="23" t="n"/>
      <c r="K82" s="24" t="n"/>
      <c r="L82" s="23" t="n"/>
      <c r="M82" s="23" t="n"/>
      <c r="N82" s="24" t="n"/>
      <c r="O82" s="23" t="n"/>
      <c r="P82" s="23" t="n"/>
    </row>
    <row r="83">
      <c r="A83" s="23" t="n"/>
      <c r="B83" s="23" t="n"/>
      <c r="C83" s="23" t="n"/>
      <c r="D83" s="23" t="n"/>
      <c r="E83" s="23" t="n"/>
      <c r="F83" s="23" t="n"/>
      <c r="G83" s="23" t="n"/>
      <c r="H83" s="23" t="n"/>
      <c r="I83" s="23" t="n"/>
      <c r="J83" s="23" t="n"/>
      <c r="K83" s="24" t="n"/>
      <c r="L83" s="23" t="n"/>
      <c r="M83" s="23" t="n"/>
      <c r="N83" s="24" t="n"/>
      <c r="O83" s="23" t="n"/>
      <c r="P83" s="23" t="n"/>
    </row>
    <row r="84">
      <c r="A84" s="23" t="n"/>
      <c r="B84" s="23" t="n"/>
      <c r="C84" s="23" t="n"/>
      <c r="D84" s="23" t="n"/>
      <c r="E84" s="23" t="n"/>
      <c r="F84" s="23" t="n"/>
      <c r="G84" s="23" t="n"/>
      <c r="H84" s="23" t="n"/>
      <c r="I84" s="23" t="n"/>
      <c r="J84" s="23" t="n"/>
      <c r="K84" s="24" t="n"/>
      <c r="L84" s="23" t="n"/>
      <c r="M84" s="23" t="n"/>
      <c r="N84" s="24" t="n"/>
      <c r="O84" s="23" t="n"/>
      <c r="P84" s="23" t="n"/>
    </row>
    <row r="85">
      <c r="A85" s="23" t="n"/>
      <c r="B85" s="23" t="n"/>
      <c r="C85" s="23" t="n"/>
      <c r="D85" s="23" t="n"/>
      <c r="E85" s="23" t="n"/>
      <c r="F85" s="23" t="n"/>
      <c r="G85" s="23" t="n"/>
      <c r="H85" s="23" t="n"/>
      <c r="I85" s="23" t="n"/>
      <c r="J85" s="23" t="n"/>
      <c r="K85" s="24" t="n"/>
      <c r="L85" s="23" t="n"/>
      <c r="M85" s="23" t="n"/>
      <c r="N85" s="24" t="n"/>
      <c r="O85" s="23" t="n"/>
      <c r="P85" s="23" t="n"/>
    </row>
    <row r="86">
      <c r="A86" s="23" t="n"/>
      <c r="B86" s="23" t="n"/>
      <c r="C86" s="23" t="n"/>
      <c r="D86" s="23" t="n"/>
      <c r="E86" s="23" t="n"/>
      <c r="F86" s="23" t="n"/>
      <c r="G86" s="23" t="n"/>
      <c r="H86" s="23" t="n"/>
      <c r="I86" s="23" t="n"/>
      <c r="J86" s="23" t="n"/>
      <c r="K86" s="24" t="n"/>
      <c r="L86" s="23" t="n"/>
      <c r="M86" s="23" t="n"/>
      <c r="N86" s="24" t="n"/>
      <c r="O86" s="23" t="n"/>
      <c r="P86" s="23" t="n"/>
    </row>
    <row r="87">
      <c r="A87" s="23" t="n"/>
      <c r="B87" s="23" t="n"/>
      <c r="C87" s="23" t="n"/>
      <c r="D87" s="23" t="n"/>
      <c r="E87" s="23" t="n"/>
      <c r="F87" s="23" t="n"/>
      <c r="G87" s="23" t="n"/>
      <c r="H87" s="23" t="n"/>
      <c r="I87" s="23" t="n"/>
      <c r="J87" s="23" t="n"/>
      <c r="K87" s="24" t="n"/>
      <c r="L87" s="23" t="n"/>
      <c r="M87" s="23" t="n"/>
      <c r="N87" s="24" t="n"/>
      <c r="O87" s="23" t="n"/>
      <c r="P87" s="23" t="n"/>
    </row>
    <row r="88">
      <c r="A88" s="23" t="n"/>
      <c r="B88" s="23" t="n"/>
      <c r="C88" s="23" t="n"/>
      <c r="D88" s="23" t="n"/>
      <c r="E88" s="23" t="n"/>
      <c r="F88" s="23" t="n"/>
      <c r="G88" s="23" t="n"/>
      <c r="H88" s="23" t="n"/>
      <c r="I88" s="23" t="n"/>
      <c r="J88" s="23" t="n"/>
      <c r="K88" s="24" t="n"/>
      <c r="L88" s="23" t="n"/>
      <c r="M88" s="23" t="n"/>
      <c r="N88" s="24" t="n"/>
      <c r="O88" s="23" t="n"/>
      <c r="P88" s="23" t="n"/>
    </row>
    <row r="89">
      <c r="A89" s="23" t="n"/>
      <c r="B89" s="23" t="n"/>
      <c r="C89" s="23" t="n"/>
      <c r="D89" s="23" t="n"/>
      <c r="E89" s="23" t="n"/>
      <c r="F89" s="23" t="n"/>
      <c r="G89" s="23" t="n"/>
      <c r="H89" s="23" t="n"/>
      <c r="I89" s="23" t="n"/>
      <c r="J89" s="23" t="n"/>
      <c r="K89" s="24" t="n"/>
      <c r="L89" s="23" t="n"/>
      <c r="M89" s="23" t="n"/>
      <c r="N89" s="24" t="n"/>
      <c r="O89" s="23" t="n"/>
      <c r="P89" s="23" t="n"/>
    </row>
    <row r="90">
      <c r="A90" s="23" t="n"/>
      <c r="B90" s="23" t="n"/>
      <c r="C90" s="23" t="n"/>
      <c r="D90" s="23" t="n"/>
      <c r="E90" s="23" t="n"/>
      <c r="F90" s="23" t="n"/>
      <c r="G90" s="23" t="n"/>
      <c r="H90" s="23" t="n"/>
      <c r="I90" s="23" t="n"/>
      <c r="J90" s="23" t="n"/>
      <c r="K90" s="24" t="n"/>
      <c r="L90" s="23" t="n"/>
      <c r="M90" s="23" t="n"/>
      <c r="N90" s="24" t="n"/>
      <c r="O90" s="23" t="n"/>
      <c r="P90" s="23" t="n"/>
    </row>
    <row r="91">
      <c r="A91" s="23" t="n"/>
      <c r="B91" s="23" t="n"/>
      <c r="C91" s="23" t="n"/>
      <c r="D91" s="23" t="n"/>
      <c r="E91" s="23" t="n"/>
      <c r="F91" s="23" t="n"/>
      <c r="G91" s="23" t="n"/>
      <c r="H91" s="23" t="n"/>
      <c r="I91" s="23" t="n"/>
      <c r="J91" s="23" t="n"/>
      <c r="K91" s="24" t="n"/>
      <c r="L91" s="23" t="n"/>
      <c r="M91" s="23" t="n"/>
      <c r="N91" s="24" t="n"/>
      <c r="O91" s="23" t="n"/>
      <c r="P91" s="23" t="n"/>
    </row>
    <row r="92">
      <c r="A92" s="23" t="n"/>
      <c r="B92" s="23" t="n"/>
      <c r="C92" s="23" t="n"/>
      <c r="D92" s="23" t="n"/>
      <c r="E92" s="23" t="n"/>
      <c r="F92" s="23" t="n"/>
      <c r="G92" s="23" t="n"/>
      <c r="H92" s="23" t="n"/>
      <c r="I92" s="23" t="n"/>
      <c r="J92" s="23" t="n"/>
      <c r="K92" s="24" t="n"/>
      <c r="L92" s="23" t="n"/>
      <c r="M92" s="23" t="n"/>
      <c r="N92" s="24" t="n"/>
      <c r="O92" s="23" t="n"/>
      <c r="P92" s="23" t="n"/>
    </row>
    <row r="93">
      <c r="A93" s="23" t="n"/>
      <c r="B93" s="23" t="n"/>
      <c r="C93" s="23" t="n"/>
      <c r="D93" s="23" t="n"/>
      <c r="E93" s="23" t="n"/>
      <c r="F93" s="23" t="n"/>
      <c r="G93" s="23" t="n"/>
      <c r="H93" s="23" t="n"/>
      <c r="I93" s="23" t="n"/>
      <c r="J93" s="23" t="n"/>
      <c r="K93" s="24" t="n"/>
      <c r="L93" s="23" t="n"/>
      <c r="M93" s="23" t="n"/>
      <c r="N93" s="24" t="n"/>
      <c r="O93" s="23" t="n"/>
      <c r="P93" s="23" t="n"/>
    </row>
    <row r="94">
      <c r="A94" s="23" t="n"/>
      <c r="B94" s="23" t="n"/>
      <c r="C94" s="23" t="n"/>
      <c r="D94" s="23" t="n"/>
      <c r="E94" s="23" t="n"/>
      <c r="F94" s="23" t="n"/>
      <c r="G94" s="23" t="n"/>
      <c r="H94" s="23" t="n"/>
      <c r="I94" s="23" t="n"/>
      <c r="J94" s="23" t="n"/>
      <c r="K94" s="24" t="n"/>
      <c r="L94" s="23" t="n"/>
      <c r="M94" s="23" t="n"/>
      <c r="N94" s="24" t="n"/>
      <c r="O94" s="23" t="n"/>
      <c r="P94" s="23" t="n"/>
    </row>
    <row r="95">
      <c r="A95" s="23" t="n"/>
      <c r="B95" s="23" t="n"/>
      <c r="C95" s="23" t="n"/>
      <c r="D95" s="23" t="n"/>
      <c r="E95" s="23" t="n"/>
      <c r="F95" s="23" t="n"/>
      <c r="G95" s="23" t="n"/>
      <c r="H95" s="23" t="n"/>
      <c r="I95" s="23" t="n"/>
      <c r="J95" s="23" t="n"/>
      <c r="K95" s="24" t="n"/>
      <c r="L95" s="23" t="n"/>
      <c r="M95" s="23" t="n"/>
      <c r="N95" s="24" t="n"/>
      <c r="O95" s="23" t="n"/>
      <c r="P95" s="23" t="n"/>
    </row>
    <row r="96">
      <c r="A96" s="23" t="n"/>
      <c r="B96" s="23" t="n"/>
      <c r="C96" s="23" t="n"/>
      <c r="D96" s="23" t="n"/>
      <c r="E96" s="23" t="n"/>
      <c r="F96" s="23" t="n"/>
      <c r="G96" s="23" t="n"/>
      <c r="H96" s="23" t="n"/>
      <c r="I96" s="23" t="n"/>
      <c r="J96" s="23" t="n"/>
      <c r="K96" s="24" t="n"/>
      <c r="L96" s="23" t="n"/>
      <c r="M96" s="23" t="n"/>
      <c r="N96" s="24" t="n"/>
      <c r="O96" s="23" t="n"/>
      <c r="P96" s="23" t="n"/>
    </row>
    <row r="97">
      <c r="A97" s="23" t="n"/>
      <c r="B97" s="23" t="n"/>
      <c r="C97" s="23" t="n"/>
      <c r="D97" s="23" t="n"/>
      <c r="E97" s="23" t="n"/>
      <c r="F97" s="23" t="n"/>
      <c r="G97" s="23" t="n"/>
      <c r="H97" s="23" t="n"/>
      <c r="I97" s="23" t="n"/>
      <c r="J97" s="23" t="n"/>
      <c r="K97" s="24" t="n"/>
      <c r="L97" s="23" t="n"/>
      <c r="M97" s="23" t="n"/>
      <c r="N97" s="24" t="n"/>
      <c r="O97" s="23" t="n"/>
      <c r="P97" s="23" t="n"/>
    </row>
    <row r="98">
      <c r="A98" s="23" t="n"/>
      <c r="B98" s="23" t="n"/>
      <c r="C98" s="23" t="n"/>
      <c r="D98" s="23" t="n"/>
      <c r="E98" s="23" t="n"/>
      <c r="F98" s="23" t="n"/>
      <c r="G98" s="23" t="n"/>
      <c r="H98" s="23" t="n"/>
      <c r="I98" s="23" t="n"/>
      <c r="J98" s="23" t="n"/>
      <c r="K98" s="24" t="n"/>
      <c r="L98" s="23" t="n"/>
      <c r="M98" s="23" t="n"/>
      <c r="N98" s="24" t="n"/>
      <c r="O98" s="23" t="n"/>
      <c r="P98" s="23" t="n"/>
    </row>
    <row r="99">
      <c r="A99" s="23" t="n"/>
      <c r="B99" s="23" t="n"/>
      <c r="C99" s="23" t="n"/>
      <c r="D99" s="23" t="n"/>
      <c r="E99" s="23" t="n"/>
      <c r="F99" s="23" t="n"/>
      <c r="G99" s="23" t="n"/>
      <c r="H99" s="23" t="n"/>
      <c r="I99" s="23" t="n"/>
      <c r="J99" s="23" t="n"/>
      <c r="K99" s="24" t="n"/>
      <c r="L99" s="23" t="n"/>
      <c r="M99" s="23" t="n"/>
      <c r="N99" s="24" t="n"/>
      <c r="O99" s="23" t="n"/>
      <c r="P99" s="23" t="n"/>
    </row>
    <row r="100">
      <c r="A100" s="23" t="n"/>
      <c r="B100" s="23" t="n"/>
      <c r="C100" s="23" t="n"/>
      <c r="D100" s="23" t="n"/>
      <c r="E100" s="23" t="n"/>
      <c r="F100" s="23" t="n"/>
      <c r="G100" s="23" t="n"/>
      <c r="H100" s="23" t="n"/>
      <c r="I100" s="23" t="n"/>
      <c r="J100" s="23" t="n"/>
      <c r="K100" s="24" t="n"/>
      <c r="L100" s="23" t="n"/>
      <c r="M100" s="23" t="n"/>
      <c r="N100" s="24" t="n"/>
      <c r="O100" s="23" t="n"/>
      <c r="P100" s="23" t="n"/>
    </row>
    <row r="101">
      <c r="A101" s="23" t="n"/>
      <c r="B101" s="23" t="n"/>
      <c r="C101" s="23" t="n"/>
      <c r="D101" s="23" t="n"/>
      <c r="E101" s="23" t="n"/>
      <c r="F101" s="23" t="n"/>
      <c r="G101" s="23" t="n"/>
      <c r="H101" s="23" t="n"/>
      <c r="I101" s="23" t="n"/>
      <c r="J101" s="23" t="n"/>
      <c r="K101" s="24" t="n"/>
      <c r="L101" s="23" t="n"/>
      <c r="M101" s="23" t="n"/>
      <c r="N101" s="24" t="n"/>
      <c r="O101" s="23" t="n"/>
      <c r="P101" s="23" t="n"/>
    </row>
    <row r="102">
      <c r="A102" s="23" t="n"/>
      <c r="B102" s="23" t="n"/>
      <c r="C102" s="23" t="n"/>
      <c r="D102" s="23" t="n"/>
      <c r="E102" s="23" t="n"/>
      <c r="F102" s="23" t="n"/>
      <c r="G102" s="23" t="n"/>
      <c r="H102" s="23" t="n"/>
      <c r="I102" s="23" t="n"/>
      <c r="J102" s="23" t="n"/>
      <c r="K102" s="24" t="n"/>
      <c r="L102" s="23" t="n"/>
      <c r="M102" s="23" t="n"/>
      <c r="N102" s="24" t="n"/>
      <c r="O102" s="23" t="n"/>
      <c r="P102" s="23" t="n"/>
    </row>
    <row r="103">
      <c r="A103" s="23" t="n"/>
      <c r="B103" s="23" t="n"/>
      <c r="C103" s="23" t="n"/>
      <c r="D103" s="23" t="n"/>
      <c r="E103" s="23" t="n"/>
      <c r="F103" s="23" t="n"/>
      <c r="G103" s="23" t="n"/>
      <c r="H103" s="23" t="n"/>
      <c r="I103" s="23" t="n"/>
      <c r="J103" s="23" t="n"/>
      <c r="K103" s="24" t="n"/>
      <c r="L103" s="23" t="n"/>
      <c r="M103" s="23" t="n"/>
      <c r="N103" s="24" t="n"/>
      <c r="O103" s="23" t="n"/>
      <c r="P103" s="23" t="n"/>
    </row>
    <row r="104">
      <c r="A104" s="23" t="n"/>
      <c r="B104" s="23" t="n"/>
      <c r="C104" s="23" t="n"/>
      <c r="D104" s="23" t="n"/>
      <c r="E104" s="23" t="n"/>
      <c r="F104" s="23" t="n"/>
      <c r="G104" s="23" t="n"/>
      <c r="H104" s="23" t="n"/>
      <c r="I104" s="23" t="n"/>
      <c r="J104" s="23" t="n"/>
      <c r="K104" s="24" t="n"/>
      <c r="L104" s="23" t="n"/>
      <c r="M104" s="23" t="n"/>
      <c r="N104" s="24" t="n"/>
      <c r="O104" s="23" t="n"/>
      <c r="P104" s="23" t="n"/>
    </row>
    <row r="105">
      <c r="A105" s="23" t="n"/>
      <c r="B105" s="23" t="n"/>
      <c r="C105" s="23" t="n"/>
      <c r="D105" s="23" t="n"/>
      <c r="E105" s="23" t="n"/>
      <c r="F105" s="23" t="n"/>
      <c r="G105" s="23" t="n"/>
      <c r="H105" s="23" t="n"/>
      <c r="I105" s="23" t="n"/>
      <c r="J105" s="23" t="n"/>
      <c r="K105" s="24" t="n"/>
      <c r="L105" s="23" t="n"/>
      <c r="M105" s="23" t="n"/>
      <c r="N105" s="24" t="n"/>
      <c r="O105" s="23" t="n"/>
      <c r="P105" s="23" t="n"/>
    </row>
    <row r="106">
      <c r="A106" s="23" t="n"/>
      <c r="B106" s="23" t="n"/>
      <c r="C106" s="23" t="n"/>
      <c r="D106" s="23" t="n"/>
      <c r="E106" s="23" t="n"/>
      <c r="F106" s="23" t="n"/>
      <c r="G106" s="23" t="n"/>
      <c r="H106" s="23" t="n"/>
      <c r="I106" s="23" t="n"/>
      <c r="J106" s="23" t="n"/>
      <c r="K106" s="24" t="n"/>
      <c r="L106" s="23" t="n"/>
      <c r="M106" s="23" t="n"/>
      <c r="N106" s="24" t="n"/>
      <c r="O106" s="23" t="n"/>
      <c r="P106" s="23" t="n"/>
    </row>
    <row r="107">
      <c r="A107" s="23" t="n"/>
      <c r="B107" s="23" t="n"/>
      <c r="C107" s="23" t="n"/>
      <c r="D107" s="23" t="n"/>
      <c r="E107" s="23" t="n"/>
      <c r="F107" s="23" t="n"/>
      <c r="G107" s="23" t="n"/>
      <c r="H107" s="23" t="n"/>
      <c r="I107" s="23" t="n"/>
      <c r="J107" s="23" t="n"/>
      <c r="K107" s="24" t="n"/>
      <c r="L107" s="23" t="n"/>
      <c r="M107" s="23" t="n"/>
      <c r="N107" s="24" t="n"/>
      <c r="O107" s="23" t="n"/>
      <c r="P107" s="23" t="n"/>
    </row>
    <row r="108">
      <c r="A108" s="23" t="n"/>
      <c r="B108" s="23" t="n"/>
      <c r="C108" s="23" t="n"/>
      <c r="D108" s="23" t="n"/>
      <c r="E108" s="23" t="n"/>
      <c r="F108" s="23" t="n"/>
      <c r="G108" s="23" t="n"/>
      <c r="H108" s="23" t="n"/>
      <c r="I108" s="23" t="n"/>
      <c r="J108" s="23" t="n"/>
      <c r="K108" s="24" t="n"/>
      <c r="L108" s="23" t="n"/>
      <c r="M108" s="23" t="n"/>
      <c r="N108" s="24" t="n"/>
      <c r="O108" s="23" t="n"/>
      <c r="P108" s="23" t="n"/>
    </row>
    <row r="109">
      <c r="A109" s="23" t="n"/>
      <c r="B109" s="23" t="n"/>
      <c r="C109" s="23" t="n"/>
      <c r="D109" s="23" t="n"/>
      <c r="E109" s="23" t="n"/>
      <c r="F109" s="23" t="n"/>
      <c r="G109" s="23" t="n"/>
      <c r="H109" s="23" t="n"/>
      <c r="I109" s="23" t="n"/>
      <c r="J109" s="23" t="n"/>
      <c r="K109" s="24" t="n"/>
      <c r="L109" s="23" t="n"/>
      <c r="M109" s="23" t="n"/>
      <c r="N109" s="24" t="n"/>
      <c r="O109" s="23" t="n"/>
      <c r="P109" s="23" t="n"/>
    </row>
    <row r="110">
      <c r="A110" s="23" t="n"/>
      <c r="B110" s="23" t="n"/>
      <c r="C110" s="23" t="n"/>
      <c r="D110" s="23" t="n"/>
      <c r="E110" s="23" t="n"/>
      <c r="F110" s="23" t="n"/>
      <c r="G110" s="23" t="n"/>
      <c r="H110" s="23" t="n"/>
      <c r="I110" s="23" t="n"/>
      <c r="J110" s="23" t="n"/>
      <c r="K110" s="24" t="n"/>
      <c r="L110" s="23" t="n"/>
      <c r="M110" s="23" t="n"/>
      <c r="N110" s="24" t="n"/>
      <c r="O110" s="23" t="n"/>
      <c r="P110" s="23" t="n"/>
    </row>
    <row r="111">
      <c r="A111" s="23" t="n"/>
      <c r="B111" s="23" t="n"/>
      <c r="C111" s="23" t="n"/>
      <c r="D111" s="23" t="n"/>
      <c r="E111" s="23" t="n"/>
      <c r="F111" s="23" t="n"/>
      <c r="G111" s="23" t="n"/>
      <c r="H111" s="23" t="n"/>
      <c r="I111" s="23" t="n"/>
      <c r="J111" s="23" t="n"/>
      <c r="K111" s="24" t="n"/>
      <c r="L111" s="23" t="n"/>
      <c r="M111" s="23" t="n"/>
      <c r="N111" s="24" t="n"/>
      <c r="O111" s="23" t="n"/>
      <c r="P111" s="23" t="n"/>
    </row>
    <row r="112">
      <c r="A112" s="23" t="n"/>
      <c r="B112" s="23" t="n"/>
      <c r="C112" s="23" t="n"/>
      <c r="D112" s="23" t="n"/>
      <c r="E112" s="23" t="n"/>
      <c r="F112" s="23" t="n"/>
      <c r="G112" s="23" t="n"/>
      <c r="H112" s="23" t="n"/>
      <c r="I112" s="23" t="n"/>
      <c r="J112" s="23" t="n"/>
      <c r="K112" s="24" t="n"/>
      <c r="L112" s="23" t="n"/>
      <c r="M112" s="23" t="n"/>
      <c r="N112" s="24" t="n"/>
      <c r="O112" s="23" t="n"/>
      <c r="P112" s="23" t="n"/>
    </row>
    <row r="113">
      <c r="A113" s="23" t="n"/>
      <c r="B113" s="23" t="n"/>
      <c r="C113" s="23" t="n"/>
      <c r="D113" s="23" t="n"/>
      <c r="E113" s="23" t="n"/>
      <c r="F113" s="23" t="n"/>
      <c r="G113" s="23" t="n"/>
      <c r="H113" s="23" t="n"/>
      <c r="I113" s="23" t="n"/>
      <c r="J113" s="23" t="n"/>
      <c r="K113" s="24" t="n"/>
      <c r="L113" s="23" t="n"/>
      <c r="M113" s="23" t="n"/>
      <c r="N113" s="24" t="n"/>
      <c r="O113" s="23" t="n"/>
      <c r="P113" s="23" t="n"/>
    </row>
    <row r="114">
      <c r="A114" s="23" t="n"/>
      <c r="B114" s="23" t="n"/>
      <c r="C114" s="23" t="n"/>
      <c r="D114" s="23" t="n"/>
      <c r="E114" s="23" t="n"/>
      <c r="F114" s="23" t="n"/>
      <c r="G114" s="23" t="n"/>
      <c r="H114" s="23" t="n"/>
      <c r="I114" s="23" t="n"/>
      <c r="J114" s="23" t="n"/>
      <c r="K114" s="24" t="n"/>
      <c r="L114" s="23" t="n"/>
      <c r="M114" s="23" t="n"/>
      <c r="N114" s="24" t="n"/>
      <c r="O114" s="23" t="n"/>
      <c r="P114" s="23" t="n"/>
    </row>
    <row r="115">
      <c r="A115" s="23" t="n"/>
      <c r="B115" s="23" t="n"/>
      <c r="C115" s="23" t="n"/>
      <c r="D115" s="23" t="n"/>
      <c r="E115" s="23" t="n"/>
      <c r="F115" s="23" t="n"/>
      <c r="G115" s="23" t="n"/>
      <c r="H115" s="23" t="n"/>
      <c r="I115" s="23" t="n"/>
      <c r="J115" s="23" t="n"/>
      <c r="K115" s="24" t="n"/>
      <c r="L115" s="23" t="n"/>
      <c r="M115" s="23" t="n"/>
      <c r="N115" s="24" t="n"/>
      <c r="O115" s="23" t="n"/>
      <c r="P115" s="23" t="n"/>
    </row>
    <row r="116">
      <c r="A116" s="23" t="n"/>
      <c r="B116" s="23" t="n"/>
      <c r="C116" s="23" t="n"/>
      <c r="D116" s="23" t="n"/>
      <c r="E116" s="23" t="n"/>
      <c r="F116" s="23" t="n"/>
      <c r="G116" s="23" t="n"/>
      <c r="H116" s="23" t="n"/>
      <c r="I116" s="23" t="n"/>
      <c r="J116" s="23" t="n"/>
      <c r="K116" s="24" t="n"/>
      <c r="L116" s="23" t="n"/>
      <c r="M116" s="23" t="n"/>
      <c r="N116" s="24" t="n"/>
      <c r="O116" s="23" t="n"/>
      <c r="P116" s="23" t="n"/>
    </row>
    <row r="117">
      <c r="A117" s="23" t="n"/>
      <c r="B117" s="23" t="n"/>
      <c r="C117" s="23" t="n"/>
      <c r="D117" s="23" t="n"/>
      <c r="E117" s="23" t="n"/>
      <c r="F117" s="23" t="n"/>
      <c r="G117" s="23" t="n"/>
      <c r="H117" s="23" t="n"/>
      <c r="I117" s="23" t="n"/>
      <c r="J117" s="23" t="n"/>
      <c r="K117" s="24" t="n"/>
      <c r="L117" s="23" t="n"/>
      <c r="M117" s="23" t="n"/>
      <c r="N117" s="24" t="n"/>
      <c r="O117" s="23" t="n"/>
      <c r="P117" s="23" t="n"/>
    </row>
    <row r="118">
      <c r="A118" s="23" t="n"/>
      <c r="B118" s="23" t="n"/>
      <c r="C118" s="23" t="n"/>
      <c r="D118" s="23" t="n"/>
      <c r="E118" s="23" t="n"/>
      <c r="F118" s="23" t="n"/>
      <c r="G118" s="23" t="n"/>
      <c r="H118" s="23" t="n"/>
      <c r="I118" s="23" t="n"/>
      <c r="J118" s="23" t="n"/>
      <c r="K118" s="24" t="n"/>
      <c r="L118" s="23" t="n"/>
      <c r="M118" s="23" t="n"/>
      <c r="N118" s="24" t="n"/>
      <c r="O118" s="23" t="n"/>
      <c r="P118" s="23" t="n"/>
    </row>
    <row r="119">
      <c r="A119" s="23" t="n"/>
      <c r="B119" s="23" t="n"/>
      <c r="C119" s="23" t="n"/>
      <c r="D119" s="23" t="n"/>
      <c r="E119" s="23" t="n"/>
      <c r="F119" s="23" t="n"/>
      <c r="G119" s="23" t="n"/>
      <c r="H119" s="23" t="n"/>
      <c r="I119" s="23" t="n"/>
      <c r="J119" s="23" t="n"/>
      <c r="K119" s="24" t="n"/>
      <c r="L119" s="23" t="n"/>
      <c r="M119" s="23" t="n"/>
      <c r="N119" s="24" t="n"/>
      <c r="O119" s="23" t="n"/>
      <c r="P119" s="23" t="n"/>
    </row>
    <row r="120">
      <c r="A120" s="23" t="n"/>
      <c r="B120" s="23" t="n"/>
      <c r="C120" s="23" t="n"/>
      <c r="D120" s="23" t="n"/>
      <c r="E120" s="23" t="n"/>
      <c r="F120" s="23" t="n"/>
      <c r="G120" s="23" t="n"/>
      <c r="H120" s="23" t="n"/>
      <c r="I120" s="23" t="n"/>
      <c r="J120" s="23" t="n"/>
      <c r="K120" s="24" t="n"/>
      <c r="L120" s="23" t="n"/>
      <c r="M120" s="23" t="n"/>
      <c r="N120" s="24" t="n"/>
      <c r="O120" s="23" t="n"/>
      <c r="P120" s="23" t="n"/>
    </row>
    <row r="121">
      <c r="A121" s="23" t="n"/>
      <c r="B121" s="23" t="n"/>
      <c r="C121" s="23" t="n"/>
      <c r="D121" s="23" t="n"/>
      <c r="E121" s="23" t="n"/>
      <c r="F121" s="23" t="n"/>
      <c r="G121" s="23" t="n"/>
      <c r="H121" s="23" t="n"/>
      <c r="I121" s="23" t="n"/>
      <c r="J121" s="23" t="n"/>
      <c r="K121" s="24" t="n"/>
      <c r="L121" s="23" t="n"/>
      <c r="M121" s="23" t="n"/>
      <c r="N121" s="24" t="n"/>
      <c r="O121" s="23" t="n"/>
      <c r="P121" s="23" t="n"/>
    </row>
    <row r="122">
      <c r="A122" s="23" t="n"/>
      <c r="B122" s="23" t="n"/>
      <c r="C122" s="23" t="n"/>
      <c r="D122" s="23" t="n"/>
      <c r="E122" s="23" t="n"/>
      <c r="F122" s="23" t="n"/>
      <c r="G122" s="23" t="n"/>
      <c r="H122" s="23" t="n"/>
      <c r="I122" s="23" t="n"/>
      <c r="J122" s="23" t="n"/>
      <c r="K122" s="24" t="n"/>
      <c r="L122" s="23" t="n"/>
      <c r="M122" s="23" t="n"/>
      <c r="N122" s="24" t="n"/>
      <c r="O122" s="23" t="n"/>
      <c r="P122" s="23" t="n"/>
    </row>
    <row r="123">
      <c r="A123" s="23" t="n"/>
      <c r="B123" s="23" t="n"/>
      <c r="C123" s="23" t="n"/>
      <c r="D123" s="23" t="n"/>
      <c r="E123" s="23" t="n"/>
      <c r="F123" s="23" t="n"/>
      <c r="G123" s="23" t="n"/>
      <c r="H123" s="23" t="n"/>
      <c r="I123" s="23" t="n"/>
      <c r="J123" s="23" t="n"/>
      <c r="K123" s="24" t="n"/>
      <c r="L123" s="23" t="n"/>
      <c r="M123" s="23" t="n"/>
      <c r="N123" s="24" t="n"/>
      <c r="O123" s="23" t="n"/>
      <c r="P123" s="23" t="n"/>
    </row>
    <row r="124">
      <c r="A124" s="23" t="n"/>
      <c r="B124" s="23" t="n"/>
      <c r="C124" s="23" t="n"/>
      <c r="D124" s="23" t="n"/>
      <c r="E124" s="23" t="n"/>
      <c r="F124" s="23" t="n"/>
      <c r="G124" s="23" t="n"/>
      <c r="H124" s="23" t="n"/>
      <c r="I124" s="23" t="n"/>
      <c r="J124" s="23" t="n"/>
      <c r="K124" s="24" t="n"/>
      <c r="L124" s="23" t="n"/>
      <c r="M124" s="23" t="n"/>
      <c r="N124" s="24" t="n"/>
      <c r="O124" s="23" t="n"/>
      <c r="P124" s="23" t="n"/>
    </row>
    <row r="125">
      <c r="A125" s="23" t="n"/>
      <c r="B125" s="23" t="n"/>
      <c r="C125" s="23" t="n"/>
      <c r="D125" s="23" t="n"/>
      <c r="E125" s="23" t="n"/>
      <c r="F125" s="23" t="n"/>
      <c r="G125" s="23" t="n"/>
      <c r="H125" s="23" t="n"/>
      <c r="I125" s="23" t="n"/>
      <c r="J125" s="23" t="n"/>
      <c r="K125" s="24" t="n"/>
      <c r="L125" s="23" t="n"/>
      <c r="M125" s="23" t="n"/>
      <c r="N125" s="24" t="n"/>
      <c r="O125" s="23" t="n"/>
      <c r="P125" s="23" t="n"/>
    </row>
    <row r="126">
      <c r="A126" s="23" t="n"/>
      <c r="B126" s="23" t="n"/>
      <c r="C126" s="23" t="n"/>
      <c r="D126" s="23" t="n"/>
      <c r="E126" s="23" t="n"/>
      <c r="F126" s="23" t="n"/>
      <c r="G126" s="23" t="n"/>
      <c r="H126" s="23" t="n"/>
      <c r="I126" s="23" t="n"/>
      <c r="J126" s="23" t="n"/>
      <c r="K126" s="24" t="n"/>
      <c r="L126" s="23" t="n"/>
      <c r="M126" s="23" t="n"/>
      <c r="N126" s="24" t="n"/>
      <c r="O126" s="23" t="n"/>
      <c r="P126" s="23" t="n"/>
    </row>
    <row r="127">
      <c r="A127" s="23" t="n"/>
      <c r="B127" s="23" t="n"/>
      <c r="C127" s="23" t="n"/>
      <c r="D127" s="23" t="n"/>
      <c r="E127" s="23" t="n"/>
      <c r="F127" s="23" t="n"/>
      <c r="G127" s="23" t="n"/>
      <c r="H127" s="23" t="n"/>
      <c r="I127" s="23" t="n"/>
      <c r="J127" s="23" t="n"/>
      <c r="K127" s="24" t="n"/>
      <c r="L127" s="23" t="n"/>
      <c r="M127" s="23" t="n"/>
      <c r="N127" s="24" t="n"/>
      <c r="O127" s="23" t="n"/>
      <c r="P127" s="23" t="n"/>
    </row>
    <row r="128">
      <c r="A128" s="23" t="n"/>
      <c r="B128" s="23" t="n"/>
      <c r="C128" s="23" t="n"/>
      <c r="D128" s="23" t="n"/>
      <c r="E128" s="23" t="n"/>
      <c r="F128" s="23" t="n"/>
      <c r="G128" s="23" t="n"/>
      <c r="H128" s="23" t="n"/>
      <c r="I128" s="23" t="n"/>
      <c r="J128" s="23" t="n"/>
      <c r="K128" s="24" t="n"/>
      <c r="L128" s="23" t="n"/>
      <c r="M128" s="23" t="n"/>
      <c r="N128" s="24" t="n"/>
      <c r="O128" s="23" t="n"/>
      <c r="P128" s="23" t="n"/>
    </row>
    <row r="129">
      <c r="A129" s="23" t="n"/>
      <c r="B129" s="23" t="n"/>
      <c r="C129" s="23" t="n"/>
      <c r="D129" s="23" t="n"/>
      <c r="E129" s="23" t="n"/>
      <c r="F129" s="23" t="n"/>
      <c r="G129" s="23" t="n"/>
      <c r="H129" s="23" t="n"/>
      <c r="I129" s="23" t="n"/>
      <c r="J129" s="23" t="n"/>
      <c r="K129" s="24" t="n"/>
      <c r="L129" s="23" t="n"/>
      <c r="M129" s="23" t="n"/>
      <c r="N129" s="24" t="n"/>
      <c r="O129" s="23" t="n"/>
      <c r="P129" s="23" t="n"/>
    </row>
    <row r="130">
      <c r="A130" s="23" t="n"/>
      <c r="B130" s="23" t="n"/>
      <c r="C130" s="23" t="n"/>
      <c r="D130" s="23" t="n"/>
      <c r="E130" s="23" t="n"/>
      <c r="F130" s="23" t="n"/>
      <c r="G130" s="23" t="n"/>
      <c r="H130" s="23" t="n"/>
      <c r="I130" s="23" t="n"/>
      <c r="J130" s="23" t="n"/>
      <c r="K130" s="24" t="n"/>
      <c r="L130" s="23" t="n"/>
      <c r="M130" s="23" t="n"/>
      <c r="N130" s="24" t="n"/>
      <c r="O130" s="23" t="n"/>
      <c r="P130" s="23" t="n"/>
    </row>
    <row r="131">
      <c r="A131" s="23" t="n"/>
      <c r="B131" s="23" t="n"/>
      <c r="C131" s="23" t="n"/>
      <c r="D131" s="23" t="n"/>
      <c r="E131" s="23" t="n"/>
      <c r="F131" s="23" t="n"/>
      <c r="G131" s="23" t="n"/>
      <c r="H131" s="23" t="n"/>
      <c r="I131" s="23" t="n"/>
      <c r="J131" s="23" t="n"/>
      <c r="K131" s="24" t="n"/>
      <c r="L131" s="23" t="n"/>
      <c r="M131" s="23" t="n"/>
      <c r="N131" s="24" t="n"/>
      <c r="O131" s="23" t="n"/>
      <c r="P131" s="23" t="n"/>
    </row>
    <row r="132">
      <c r="A132" s="23" t="n"/>
      <c r="B132" s="23" t="n"/>
      <c r="C132" s="23" t="n"/>
      <c r="D132" s="23" t="n"/>
      <c r="E132" s="23" t="n"/>
      <c r="F132" s="23" t="n"/>
      <c r="G132" s="23" t="n"/>
      <c r="H132" s="23" t="n"/>
      <c r="I132" s="23" t="n"/>
      <c r="J132" s="23" t="n"/>
      <c r="K132" s="24" t="n"/>
      <c r="L132" s="23" t="n"/>
      <c r="M132" s="23" t="n"/>
      <c r="N132" s="24" t="n"/>
      <c r="O132" s="23" t="n"/>
      <c r="P132" s="23" t="n"/>
    </row>
    <row r="133">
      <c r="A133" s="23" t="n"/>
      <c r="B133" s="23" t="n"/>
      <c r="C133" s="23" t="n"/>
      <c r="D133" s="23" t="n"/>
      <c r="E133" s="23" t="n"/>
      <c r="F133" s="23" t="n"/>
      <c r="G133" s="23" t="n"/>
      <c r="H133" s="23" t="n"/>
      <c r="I133" s="23" t="n"/>
      <c r="J133" s="23" t="n"/>
      <c r="K133" s="24" t="n"/>
      <c r="L133" s="23" t="n"/>
      <c r="M133" s="23" t="n"/>
      <c r="N133" s="24" t="n"/>
      <c r="O133" s="23" t="n"/>
      <c r="P133" s="23" t="n"/>
    </row>
    <row r="134">
      <c r="A134" s="23" t="n"/>
      <c r="B134" s="23" t="n"/>
      <c r="C134" s="23" t="n"/>
      <c r="D134" s="23" t="n"/>
      <c r="E134" s="23" t="n"/>
      <c r="F134" s="23" t="n"/>
      <c r="G134" s="23" t="n"/>
      <c r="H134" s="23" t="n"/>
      <c r="I134" s="23" t="n"/>
      <c r="J134" s="23" t="n"/>
      <c r="K134" s="24" t="n"/>
      <c r="L134" s="23" t="n"/>
      <c r="M134" s="23" t="n"/>
      <c r="N134" s="24" t="n"/>
      <c r="O134" s="23" t="n"/>
      <c r="P134" s="23" t="n"/>
    </row>
    <row r="135">
      <c r="A135" s="23" t="n"/>
      <c r="B135" s="23" t="n"/>
      <c r="C135" s="23" t="n"/>
      <c r="D135" s="23" t="n"/>
      <c r="E135" s="23" t="n"/>
      <c r="F135" s="23" t="n"/>
      <c r="G135" s="23" t="n"/>
      <c r="H135" s="23" t="n"/>
      <c r="I135" s="23" t="n"/>
      <c r="J135" s="23" t="n"/>
      <c r="K135" s="24" t="n"/>
      <c r="L135" s="23" t="n"/>
      <c r="M135" s="23" t="n"/>
      <c r="N135" s="24" t="n"/>
      <c r="O135" s="23" t="n"/>
      <c r="P135" s="23" t="n"/>
    </row>
    <row r="136">
      <c r="A136" s="23" t="n"/>
      <c r="B136" s="23" t="n"/>
      <c r="C136" s="23" t="n"/>
      <c r="D136" s="23" t="n"/>
      <c r="E136" s="23" t="n"/>
      <c r="F136" s="23" t="n"/>
      <c r="G136" s="23" t="n"/>
      <c r="H136" s="23" t="n"/>
      <c r="I136" s="23" t="n"/>
      <c r="J136" s="23" t="n"/>
      <c r="K136" s="24" t="n"/>
      <c r="L136" s="23" t="n"/>
      <c r="M136" s="23" t="n"/>
      <c r="N136" s="24" t="n"/>
      <c r="O136" s="23" t="n"/>
      <c r="P136" s="23" t="n"/>
    </row>
    <row r="137">
      <c r="A137" s="23" t="n"/>
      <c r="B137" s="23" t="n"/>
      <c r="C137" s="23" t="n"/>
      <c r="D137" s="23" t="n"/>
      <c r="E137" s="23" t="n"/>
      <c r="F137" s="23" t="n"/>
      <c r="G137" s="23" t="n"/>
      <c r="H137" s="23" t="n"/>
      <c r="I137" s="23" t="n"/>
      <c r="J137" s="23" t="n"/>
      <c r="K137" s="24" t="n"/>
      <c r="L137" s="23" t="n"/>
      <c r="M137" s="23" t="n"/>
      <c r="N137" s="24" t="n"/>
      <c r="O137" s="23" t="n"/>
      <c r="P137" s="23" t="n"/>
    </row>
    <row r="138">
      <c r="A138" s="23" t="n"/>
      <c r="B138" s="23" t="n"/>
      <c r="C138" s="23" t="n"/>
      <c r="D138" s="23" t="n"/>
      <c r="E138" s="23" t="n"/>
      <c r="F138" s="23" t="n"/>
      <c r="G138" s="23" t="n"/>
      <c r="H138" s="23" t="n"/>
      <c r="I138" s="23" t="n"/>
      <c r="J138" s="23" t="n"/>
      <c r="K138" s="24" t="n"/>
      <c r="L138" s="23" t="n"/>
      <c r="M138" s="23" t="n"/>
      <c r="N138" s="24" t="n"/>
      <c r="O138" s="23" t="n"/>
      <c r="P138" s="23" t="n"/>
    </row>
    <row r="139">
      <c r="A139" s="23" t="n"/>
      <c r="B139" s="23" t="n"/>
      <c r="C139" s="23" t="n"/>
      <c r="D139" s="23" t="n"/>
      <c r="E139" s="23" t="n"/>
      <c r="F139" s="23" t="n"/>
      <c r="G139" s="23" t="n"/>
      <c r="H139" s="23" t="n"/>
      <c r="I139" s="23" t="n"/>
      <c r="J139" s="23" t="n"/>
      <c r="K139" s="24" t="n"/>
      <c r="L139" s="23" t="n"/>
      <c r="M139" s="23" t="n"/>
      <c r="N139" s="24" t="n"/>
      <c r="O139" s="23" t="n"/>
      <c r="P139" s="23" t="n"/>
    </row>
    <row r="140">
      <c r="A140" s="23" t="n"/>
      <c r="B140" s="23" t="n"/>
      <c r="C140" s="23" t="n"/>
      <c r="D140" s="23" t="n"/>
      <c r="E140" s="23" t="n"/>
      <c r="F140" s="23" t="n"/>
      <c r="G140" s="23" t="n"/>
      <c r="H140" s="23" t="n"/>
      <c r="I140" s="23" t="n"/>
      <c r="J140" s="23" t="n"/>
      <c r="K140" s="24" t="n"/>
      <c r="L140" s="23" t="n"/>
      <c r="M140" s="23" t="n"/>
      <c r="N140" s="24" t="n"/>
      <c r="O140" s="23" t="n"/>
      <c r="P140" s="23" t="n"/>
    </row>
    <row r="141">
      <c r="A141" s="23" t="n"/>
      <c r="B141" s="23" t="n"/>
      <c r="C141" s="23" t="n"/>
      <c r="D141" s="23" t="n"/>
      <c r="E141" s="23" t="n"/>
      <c r="F141" s="23" t="n"/>
      <c r="G141" s="23" t="n"/>
      <c r="H141" s="23" t="n"/>
      <c r="I141" s="23" t="n"/>
      <c r="J141" s="23" t="n"/>
      <c r="K141" s="24" t="n"/>
      <c r="L141" s="23" t="n"/>
      <c r="M141" s="23" t="n"/>
      <c r="N141" s="24" t="n"/>
      <c r="O141" s="23" t="n"/>
      <c r="P141" s="23" t="n"/>
    </row>
    <row r="142">
      <c r="A142" s="23" t="n"/>
      <c r="B142" s="23" t="n"/>
      <c r="C142" s="23" t="n"/>
      <c r="D142" s="23" t="n"/>
      <c r="E142" s="23" t="n"/>
      <c r="F142" s="23" t="n"/>
      <c r="G142" s="23" t="n"/>
      <c r="H142" s="23" t="n"/>
      <c r="I142" s="23" t="n"/>
      <c r="J142" s="23" t="n"/>
      <c r="K142" s="24" t="n"/>
      <c r="L142" s="23" t="n"/>
      <c r="M142" s="23" t="n"/>
      <c r="N142" s="24" t="n"/>
      <c r="O142" s="23" t="n"/>
      <c r="P142" s="23" t="n"/>
    </row>
    <row r="143">
      <c r="A143" s="23" t="n"/>
      <c r="B143" s="23" t="n"/>
      <c r="C143" s="23" t="n"/>
      <c r="D143" s="23" t="n"/>
      <c r="E143" s="23" t="n"/>
      <c r="F143" s="23" t="n"/>
      <c r="G143" s="23" t="n"/>
      <c r="H143" s="23" t="n"/>
      <c r="I143" s="23" t="n"/>
      <c r="J143" s="23" t="n"/>
      <c r="K143" s="24" t="n"/>
      <c r="L143" s="23" t="n"/>
      <c r="M143" s="23" t="n"/>
      <c r="N143" s="24" t="n"/>
      <c r="O143" s="23" t="n"/>
      <c r="P143" s="23" t="n"/>
    </row>
    <row r="144">
      <c r="A144" s="23" t="n"/>
      <c r="B144" s="23" t="n"/>
      <c r="C144" s="23" t="n"/>
      <c r="D144" s="23" t="n"/>
      <c r="E144" s="23" t="n"/>
      <c r="F144" s="23" t="n"/>
      <c r="G144" s="23" t="n"/>
      <c r="H144" s="23" t="n"/>
      <c r="I144" s="23" t="n"/>
      <c r="J144" s="23" t="n"/>
      <c r="K144" s="24" t="n"/>
      <c r="L144" s="23" t="n"/>
      <c r="M144" s="23" t="n"/>
      <c r="N144" s="24" t="n"/>
      <c r="O144" s="23" t="n"/>
      <c r="P144" s="23" t="n"/>
    </row>
    <row r="145">
      <c r="A145" s="23" t="n"/>
      <c r="B145" s="23" t="n"/>
      <c r="C145" s="23" t="n"/>
      <c r="D145" s="23" t="n"/>
      <c r="E145" s="23" t="n"/>
      <c r="F145" s="23" t="n"/>
      <c r="G145" s="23" t="n"/>
      <c r="H145" s="23" t="n"/>
      <c r="I145" s="23" t="n"/>
      <c r="J145" s="23" t="n"/>
      <c r="K145" s="24" t="n"/>
      <c r="L145" s="23" t="n"/>
      <c r="M145" s="23" t="n"/>
      <c r="N145" s="24" t="n"/>
      <c r="O145" s="23" t="n"/>
      <c r="P145" s="23" t="n"/>
    </row>
    <row r="146">
      <c r="A146" s="23" t="n"/>
      <c r="B146" s="23" t="n"/>
      <c r="C146" s="23" t="n"/>
      <c r="D146" s="23" t="n"/>
      <c r="E146" s="23" t="n"/>
      <c r="F146" s="23" t="n"/>
      <c r="G146" s="23" t="n"/>
      <c r="H146" s="23" t="n"/>
      <c r="I146" s="23" t="n"/>
      <c r="J146" s="23" t="n"/>
      <c r="K146" s="24" t="n"/>
      <c r="L146" s="23" t="n"/>
      <c r="M146" s="23" t="n"/>
      <c r="N146" s="24" t="n"/>
      <c r="O146" s="23" t="n"/>
      <c r="P146" s="23" t="n"/>
    </row>
    <row r="147">
      <c r="A147" s="23" t="n"/>
      <c r="B147" s="23" t="n"/>
      <c r="C147" s="23" t="n"/>
      <c r="D147" s="23" t="n"/>
      <c r="E147" s="23" t="n"/>
      <c r="F147" s="23" t="n"/>
      <c r="G147" s="23" t="n"/>
      <c r="H147" s="23" t="n"/>
      <c r="I147" s="23" t="n"/>
      <c r="J147" s="23" t="n"/>
      <c r="K147" s="24" t="n"/>
      <c r="L147" s="23" t="n"/>
      <c r="M147" s="23" t="n"/>
      <c r="N147" s="24" t="n"/>
      <c r="O147" s="23" t="n"/>
      <c r="P147" s="23" t="n"/>
    </row>
    <row r="148">
      <c r="A148" s="23" t="n"/>
      <c r="B148" s="23" t="n"/>
      <c r="C148" s="23" t="n"/>
      <c r="D148" s="23" t="n"/>
      <c r="E148" s="23" t="n"/>
      <c r="F148" s="23" t="n"/>
      <c r="G148" s="23" t="n"/>
      <c r="H148" s="23" t="n"/>
      <c r="I148" s="23" t="n"/>
      <c r="J148" s="23" t="n"/>
      <c r="K148" s="24" t="n"/>
      <c r="L148" s="23" t="n"/>
      <c r="M148" s="23" t="n"/>
      <c r="N148" s="24" t="n"/>
      <c r="O148" s="23" t="n"/>
      <c r="P148" s="23" t="n"/>
    </row>
    <row r="149">
      <c r="A149" s="23" t="n"/>
      <c r="B149" s="23" t="n"/>
      <c r="C149" s="23" t="n"/>
      <c r="D149" s="23" t="n"/>
      <c r="E149" s="23" t="n"/>
      <c r="F149" s="23" t="n"/>
      <c r="G149" s="23" t="n"/>
      <c r="H149" s="23" t="n"/>
      <c r="I149" s="23" t="n"/>
      <c r="J149" s="23" t="n"/>
      <c r="K149" s="24" t="n"/>
      <c r="L149" s="23" t="n"/>
      <c r="M149" s="23" t="n"/>
      <c r="N149" s="24" t="n"/>
      <c r="O149" s="23" t="n"/>
      <c r="P149" s="23" t="n"/>
    </row>
    <row r="150">
      <c r="A150" s="23" t="n"/>
      <c r="B150" s="23" t="n"/>
      <c r="C150" s="23" t="n"/>
      <c r="D150" s="23" t="n"/>
      <c r="E150" s="23" t="n"/>
      <c r="F150" s="23" t="n"/>
      <c r="G150" s="23" t="n"/>
      <c r="H150" s="23" t="n"/>
      <c r="I150" s="23" t="n"/>
      <c r="J150" s="23" t="n"/>
      <c r="K150" s="24" t="n"/>
      <c r="L150" s="23" t="n"/>
      <c r="M150" s="23" t="n"/>
      <c r="N150" s="24" t="n"/>
      <c r="O150" s="23" t="n"/>
      <c r="P150" s="23" t="n"/>
    </row>
    <row r="151">
      <c r="A151" s="23" t="n"/>
      <c r="B151" s="23" t="n"/>
      <c r="C151" s="23" t="n"/>
      <c r="D151" s="23" t="n"/>
      <c r="E151" s="23" t="n"/>
      <c r="F151" s="23" t="n"/>
      <c r="G151" s="23" t="n"/>
      <c r="H151" s="23" t="n"/>
      <c r="I151" s="23" t="n"/>
      <c r="J151" s="23" t="n"/>
      <c r="K151" s="24" t="n"/>
      <c r="L151" s="23" t="n"/>
      <c r="M151" s="23" t="n"/>
      <c r="N151" s="24" t="n"/>
      <c r="O151" s="23" t="n"/>
      <c r="P151" s="23" t="n"/>
    </row>
    <row r="152">
      <c r="A152" s="23" t="n"/>
      <c r="B152" s="23" t="n"/>
      <c r="C152" s="23" t="n"/>
      <c r="D152" s="23" t="n"/>
      <c r="E152" s="23" t="n"/>
      <c r="F152" s="23" t="n"/>
      <c r="G152" s="23" t="n"/>
      <c r="H152" s="23" t="n"/>
      <c r="I152" s="23" t="n"/>
      <c r="J152" s="23" t="n"/>
      <c r="K152" s="24" t="n"/>
      <c r="L152" s="23" t="n"/>
      <c r="M152" s="23" t="n"/>
      <c r="N152" s="24" t="n"/>
      <c r="O152" s="23" t="n"/>
      <c r="P152" s="23" t="n"/>
    </row>
    <row r="153">
      <c r="A153" s="23" t="n"/>
      <c r="B153" s="23" t="n"/>
      <c r="C153" s="23" t="n"/>
      <c r="D153" s="23" t="n"/>
      <c r="E153" s="23" t="n"/>
      <c r="F153" s="23" t="n"/>
      <c r="G153" s="23" t="n"/>
      <c r="H153" s="23" t="n"/>
      <c r="I153" s="23" t="n"/>
      <c r="J153" s="23" t="n"/>
      <c r="K153" s="24" t="n"/>
      <c r="L153" s="23" t="n"/>
      <c r="M153" s="23" t="n"/>
      <c r="N153" s="24" t="n"/>
      <c r="O153" s="23" t="n"/>
      <c r="P153" s="23" t="n"/>
    </row>
    <row r="154">
      <c r="A154" s="23" t="n"/>
      <c r="B154" s="23" t="n"/>
      <c r="C154" s="23" t="n"/>
      <c r="D154" s="23" t="n"/>
      <c r="E154" s="23" t="n"/>
      <c r="F154" s="23" t="n"/>
      <c r="G154" s="23" t="n"/>
      <c r="H154" s="23" t="n"/>
      <c r="I154" s="23" t="n"/>
      <c r="J154" s="23" t="n"/>
      <c r="K154" s="24" t="n"/>
      <c r="L154" s="23" t="n"/>
      <c r="M154" s="23" t="n"/>
      <c r="N154" s="24" t="n"/>
      <c r="O154" s="23" t="n"/>
      <c r="P154" s="23" t="n"/>
    </row>
    <row r="155">
      <c r="A155" s="23" t="n"/>
      <c r="B155" s="23" t="n"/>
      <c r="C155" s="23" t="n"/>
      <c r="D155" s="23" t="n"/>
      <c r="E155" s="23" t="n"/>
      <c r="F155" s="23" t="n"/>
      <c r="G155" s="23" t="n"/>
      <c r="H155" s="23" t="n"/>
      <c r="I155" s="23" t="n"/>
      <c r="J155" s="23" t="n"/>
      <c r="K155" s="24" t="n"/>
      <c r="L155" s="23" t="n"/>
      <c r="M155" s="23" t="n"/>
      <c r="N155" s="24" t="n"/>
      <c r="O155" s="23" t="n"/>
      <c r="P155" s="23" t="n"/>
    </row>
    <row r="156">
      <c r="A156" s="23" t="n"/>
      <c r="B156" s="23" t="n"/>
      <c r="C156" s="23" t="n"/>
      <c r="D156" s="23" t="n"/>
      <c r="E156" s="23" t="n"/>
      <c r="F156" s="23" t="n"/>
      <c r="G156" s="23" t="n"/>
      <c r="H156" s="23" t="n"/>
      <c r="I156" s="23" t="n"/>
      <c r="J156" s="23" t="n"/>
      <c r="K156" s="24" t="n"/>
      <c r="L156" s="23" t="n"/>
      <c r="M156" s="23" t="n"/>
      <c r="N156" s="24" t="n"/>
      <c r="O156" s="23" t="n"/>
      <c r="P156" s="23" t="n"/>
    </row>
    <row r="157">
      <c r="A157" s="23" t="n"/>
      <c r="B157" s="23" t="n"/>
      <c r="C157" s="23" t="n"/>
      <c r="D157" s="23" t="n"/>
      <c r="E157" s="23" t="n"/>
      <c r="F157" s="23" t="n"/>
      <c r="G157" s="23" t="n"/>
      <c r="H157" s="23" t="n"/>
      <c r="I157" s="23" t="n"/>
      <c r="J157" s="23" t="n"/>
      <c r="K157" s="24" t="n"/>
      <c r="L157" s="23" t="n"/>
      <c r="M157" s="23" t="n"/>
      <c r="N157" s="24" t="n"/>
      <c r="O157" s="23" t="n"/>
      <c r="P157" s="23" t="n"/>
    </row>
    <row r="158">
      <c r="A158" s="23" t="n"/>
      <c r="B158" s="23" t="n"/>
      <c r="C158" s="23" t="n"/>
      <c r="D158" s="23" t="n"/>
      <c r="E158" s="23" t="n"/>
      <c r="F158" s="23" t="n"/>
      <c r="G158" s="23" t="n"/>
      <c r="H158" s="23" t="n"/>
      <c r="I158" s="23" t="n"/>
      <c r="J158" s="23" t="n"/>
      <c r="K158" s="24" t="n"/>
      <c r="L158" s="23" t="n"/>
      <c r="M158" s="23" t="n"/>
      <c r="N158" s="24" t="n"/>
      <c r="O158" s="23" t="n"/>
      <c r="P158" s="23" t="n"/>
    </row>
    <row r="159">
      <c r="A159" s="23" t="n"/>
      <c r="B159" s="23" t="n"/>
      <c r="C159" s="23" t="n"/>
      <c r="D159" s="23" t="n"/>
      <c r="E159" s="23" t="n"/>
      <c r="F159" s="23" t="n"/>
      <c r="G159" s="23" t="n"/>
      <c r="H159" s="23" t="n"/>
      <c r="I159" s="23" t="n"/>
      <c r="J159" s="23" t="n"/>
      <c r="K159" s="24" t="n"/>
      <c r="L159" s="23" t="n"/>
      <c r="M159" s="23" t="n"/>
      <c r="N159" s="24" t="n"/>
      <c r="O159" s="23" t="n"/>
      <c r="P159" s="23" t="n"/>
    </row>
    <row r="160">
      <c r="A160" s="23" t="n"/>
      <c r="B160" s="23" t="n"/>
      <c r="C160" s="23" t="n"/>
      <c r="D160" s="23" t="n"/>
      <c r="E160" s="23" t="n"/>
      <c r="F160" s="23" t="n"/>
      <c r="G160" s="23" t="n"/>
      <c r="H160" s="23" t="n"/>
      <c r="I160" s="23" t="n"/>
      <c r="J160" s="23" t="n"/>
      <c r="K160" s="24" t="n"/>
      <c r="L160" s="23" t="n"/>
      <c r="M160" s="23" t="n"/>
      <c r="N160" s="24" t="n"/>
      <c r="O160" s="23" t="n"/>
      <c r="P160" s="23" t="n"/>
    </row>
    <row r="161">
      <c r="A161" s="23" t="n"/>
      <c r="B161" s="23" t="n"/>
      <c r="C161" s="23" t="n"/>
      <c r="D161" s="23" t="n"/>
      <c r="E161" s="23" t="n"/>
      <c r="F161" s="23" t="n"/>
      <c r="G161" s="23" t="n"/>
      <c r="H161" s="23" t="n"/>
      <c r="I161" s="23" t="n"/>
      <c r="J161" s="23" t="n"/>
      <c r="K161" s="24" t="n"/>
      <c r="L161" s="23" t="n"/>
      <c r="M161" s="23" t="n"/>
      <c r="N161" s="24" t="n"/>
      <c r="O161" s="23" t="n"/>
      <c r="P161" s="23" t="n"/>
    </row>
    <row r="162">
      <c r="A162" s="23" t="n"/>
      <c r="B162" s="23" t="n"/>
      <c r="C162" s="23" t="n"/>
      <c r="D162" s="23" t="n"/>
      <c r="E162" s="23" t="n"/>
      <c r="F162" s="23" t="n"/>
      <c r="G162" s="23" t="n"/>
      <c r="H162" s="23" t="n"/>
      <c r="I162" s="23" t="n"/>
      <c r="J162" s="23" t="n"/>
      <c r="K162" s="24" t="n"/>
      <c r="L162" s="23" t="n"/>
      <c r="M162" s="23" t="n"/>
      <c r="N162" s="24" t="n"/>
      <c r="O162" s="23" t="n"/>
      <c r="P162" s="23" t="n"/>
    </row>
    <row r="163">
      <c r="A163" s="23" t="n"/>
      <c r="B163" s="23" t="n"/>
      <c r="C163" s="23" t="n"/>
      <c r="D163" s="23" t="n"/>
      <c r="E163" s="23" t="n"/>
      <c r="F163" s="23" t="n"/>
      <c r="G163" s="23" t="n"/>
      <c r="H163" s="23" t="n"/>
      <c r="I163" s="23" t="n"/>
      <c r="J163" s="23" t="n"/>
      <c r="K163" s="24" t="n"/>
      <c r="L163" s="23" t="n"/>
      <c r="M163" s="23" t="n"/>
      <c r="N163" s="24" t="n"/>
      <c r="O163" s="23" t="n"/>
      <c r="P163" s="23" t="n"/>
    </row>
    <row r="164">
      <c r="A164" s="23" t="n"/>
      <c r="B164" s="23" t="n"/>
      <c r="C164" s="23" t="n"/>
      <c r="D164" s="23" t="n"/>
      <c r="E164" s="23" t="n"/>
      <c r="F164" s="23" t="n"/>
      <c r="G164" s="23" t="n"/>
      <c r="H164" s="23" t="n"/>
      <c r="I164" s="23" t="n"/>
      <c r="J164" s="23" t="n"/>
      <c r="K164" s="24" t="n"/>
      <c r="L164" s="23" t="n"/>
      <c r="M164" s="23" t="n"/>
      <c r="N164" s="24" t="n"/>
      <c r="O164" s="23" t="n"/>
      <c r="P164" s="23" t="n"/>
    </row>
    <row r="165">
      <c r="A165" s="23" t="n"/>
      <c r="B165" s="23" t="n"/>
      <c r="C165" s="23" t="n"/>
      <c r="D165" s="23" t="n"/>
      <c r="E165" s="23" t="n"/>
      <c r="F165" s="23" t="n"/>
      <c r="G165" s="23" t="n"/>
      <c r="H165" s="23" t="n"/>
      <c r="I165" s="23" t="n"/>
      <c r="J165" s="23" t="n"/>
      <c r="K165" s="24" t="n"/>
      <c r="L165" s="23" t="n"/>
      <c r="M165" s="23" t="n"/>
      <c r="N165" s="24" t="n"/>
      <c r="O165" s="23" t="n"/>
      <c r="P165" s="23" t="n"/>
    </row>
    <row r="166">
      <c r="A166" s="23" t="n"/>
      <c r="B166" s="23" t="n"/>
      <c r="C166" s="23" t="n"/>
      <c r="D166" s="23" t="n"/>
      <c r="E166" s="23" t="n"/>
      <c r="F166" s="23" t="n"/>
      <c r="G166" s="23" t="n"/>
      <c r="H166" s="23" t="n"/>
      <c r="I166" s="23" t="n"/>
      <c r="J166" s="23" t="n"/>
      <c r="K166" s="24" t="n"/>
      <c r="L166" s="23" t="n"/>
      <c r="M166" s="23" t="n"/>
      <c r="N166" s="24" t="n"/>
      <c r="O166" s="23" t="n"/>
      <c r="P166" s="23" t="n"/>
    </row>
    <row r="167">
      <c r="A167" s="23" t="n"/>
      <c r="B167" s="23" t="n"/>
      <c r="C167" s="23" t="n"/>
      <c r="D167" s="23" t="n"/>
      <c r="E167" s="23" t="n"/>
      <c r="F167" s="23" t="n"/>
      <c r="G167" s="23" t="n"/>
      <c r="H167" s="23" t="n"/>
      <c r="I167" s="23" t="n"/>
      <c r="J167" s="23" t="n"/>
      <c r="K167" s="24" t="n"/>
      <c r="L167" s="23" t="n"/>
      <c r="M167" s="23" t="n"/>
      <c r="N167" s="24" t="n"/>
      <c r="O167" s="23" t="n"/>
      <c r="P167" s="23" t="n"/>
    </row>
    <row r="168">
      <c r="A168" s="23" t="n"/>
      <c r="B168" s="23" t="n"/>
      <c r="C168" s="23" t="n"/>
      <c r="D168" s="23" t="n"/>
      <c r="E168" s="23" t="n"/>
      <c r="F168" s="23" t="n"/>
      <c r="G168" s="23" t="n"/>
      <c r="H168" s="23" t="n"/>
      <c r="I168" s="23" t="n"/>
      <c r="J168" s="23" t="n"/>
      <c r="K168" s="24" t="n"/>
      <c r="L168" s="23" t="n"/>
      <c r="M168" s="23" t="n"/>
      <c r="N168" s="24" t="n"/>
      <c r="O168" s="23" t="n"/>
      <c r="P168" s="23" t="n"/>
    </row>
    <row r="169">
      <c r="A169" s="23" t="n"/>
      <c r="B169" s="23" t="n"/>
      <c r="C169" s="23" t="n"/>
      <c r="D169" s="23" t="n"/>
      <c r="E169" s="23" t="n"/>
      <c r="F169" s="23" t="n"/>
      <c r="G169" s="23" t="n"/>
      <c r="H169" s="23" t="n"/>
      <c r="I169" s="23" t="n"/>
      <c r="J169" s="23" t="n"/>
      <c r="K169" s="24" t="n"/>
      <c r="L169" s="23" t="n"/>
      <c r="M169" s="23" t="n"/>
      <c r="N169" s="24" t="n"/>
      <c r="O169" s="23" t="n"/>
      <c r="P169" s="23" t="n"/>
    </row>
    <row r="170">
      <c r="A170" s="23" t="n"/>
      <c r="B170" s="23" t="n"/>
      <c r="C170" s="23" t="n"/>
      <c r="D170" s="23" t="n"/>
      <c r="E170" s="23" t="n"/>
      <c r="F170" s="23" t="n"/>
      <c r="G170" s="23" t="n"/>
      <c r="H170" s="23" t="n"/>
      <c r="I170" s="23" t="n"/>
      <c r="J170" s="23" t="n"/>
      <c r="K170" s="24" t="n"/>
      <c r="L170" s="23" t="n"/>
      <c r="M170" s="23" t="n"/>
      <c r="N170" s="24" t="n"/>
      <c r="O170" s="23" t="n"/>
      <c r="P170" s="23" t="n"/>
    </row>
    <row r="171">
      <c r="A171" s="23" t="n"/>
      <c r="B171" s="23" t="n"/>
      <c r="C171" s="23" t="n"/>
      <c r="D171" s="23" t="n"/>
      <c r="E171" s="23" t="n"/>
      <c r="F171" s="23" t="n"/>
      <c r="G171" s="23" t="n"/>
      <c r="H171" s="23" t="n"/>
      <c r="I171" s="23" t="n"/>
      <c r="J171" s="23" t="n"/>
      <c r="K171" s="24" t="n"/>
      <c r="L171" s="23" t="n"/>
      <c r="M171" s="23" t="n"/>
      <c r="N171" s="24" t="n"/>
      <c r="O171" s="23" t="n"/>
      <c r="P171" s="23" t="n"/>
    </row>
    <row r="172">
      <c r="A172" s="23" t="n"/>
      <c r="B172" s="23" t="n"/>
      <c r="C172" s="23" t="n"/>
      <c r="D172" s="23" t="n"/>
      <c r="E172" s="23" t="n"/>
      <c r="F172" s="23" t="n"/>
      <c r="G172" s="23" t="n"/>
      <c r="H172" s="23" t="n"/>
      <c r="I172" s="23" t="n"/>
      <c r="J172" s="23" t="n"/>
      <c r="K172" s="24" t="n"/>
      <c r="L172" s="23" t="n"/>
      <c r="M172" s="23" t="n"/>
      <c r="N172" s="24" t="n"/>
      <c r="O172" s="23" t="n"/>
      <c r="P172" s="23" t="n"/>
    </row>
    <row r="173">
      <c r="A173" s="23" t="n"/>
      <c r="B173" s="23" t="n"/>
      <c r="C173" s="23" t="n"/>
      <c r="D173" s="23" t="n"/>
      <c r="E173" s="23" t="n"/>
      <c r="F173" s="23" t="n"/>
      <c r="G173" s="23" t="n"/>
      <c r="H173" s="23" t="n"/>
      <c r="I173" s="23" t="n"/>
      <c r="J173" s="23" t="n"/>
      <c r="K173" s="24" t="n"/>
      <c r="L173" s="23" t="n"/>
      <c r="M173" s="23" t="n"/>
      <c r="N173" s="24" t="n"/>
      <c r="O173" s="23" t="n"/>
      <c r="P173" s="23" t="n"/>
    </row>
    <row r="174">
      <c r="A174" s="23" t="n"/>
      <c r="B174" s="23" t="n"/>
      <c r="C174" s="23" t="n"/>
      <c r="D174" s="23" t="n"/>
      <c r="E174" s="23" t="n"/>
      <c r="F174" s="23" t="n"/>
      <c r="G174" s="23" t="n"/>
      <c r="H174" s="23" t="n"/>
      <c r="I174" s="23" t="n"/>
      <c r="J174" s="23" t="n"/>
      <c r="K174" s="24" t="n"/>
      <c r="L174" s="23" t="n"/>
      <c r="M174" s="23" t="n"/>
      <c r="N174" s="24" t="n"/>
      <c r="O174" s="23" t="n"/>
      <c r="P174" s="23" t="n"/>
    </row>
    <row r="175">
      <c r="A175" s="23" t="n"/>
      <c r="B175" s="23" t="n"/>
      <c r="C175" s="23" t="n"/>
      <c r="D175" s="23" t="n"/>
      <c r="E175" s="23" t="n"/>
      <c r="F175" s="23" t="n"/>
      <c r="G175" s="23" t="n"/>
      <c r="H175" s="23" t="n"/>
      <c r="I175" s="23" t="n"/>
      <c r="J175" s="23" t="n"/>
      <c r="K175" s="24" t="n"/>
      <c r="L175" s="23" t="n"/>
      <c r="M175" s="23" t="n"/>
      <c r="N175" s="24" t="n"/>
      <c r="O175" s="23" t="n"/>
      <c r="P175" s="23" t="n"/>
    </row>
    <row r="176">
      <c r="A176" s="23" t="n"/>
      <c r="B176" s="23" t="n"/>
      <c r="C176" s="23" t="n"/>
      <c r="D176" s="23" t="n"/>
      <c r="E176" s="23" t="n"/>
      <c r="F176" s="23" t="n"/>
      <c r="G176" s="23" t="n"/>
      <c r="H176" s="23" t="n"/>
      <c r="I176" s="23" t="n"/>
      <c r="J176" s="23" t="n"/>
      <c r="K176" s="24" t="n"/>
      <c r="L176" s="23" t="n"/>
      <c r="M176" s="23" t="n"/>
      <c r="N176" s="24" t="n"/>
      <c r="O176" s="23" t="n"/>
      <c r="P176" s="23" t="n"/>
    </row>
    <row r="177">
      <c r="A177" s="23" t="n"/>
      <c r="B177" s="23" t="n"/>
      <c r="C177" s="23" t="n"/>
      <c r="D177" s="23" t="n"/>
      <c r="E177" s="23" t="n"/>
      <c r="F177" s="23" t="n"/>
      <c r="G177" s="23" t="n"/>
      <c r="H177" s="23" t="n"/>
      <c r="I177" s="23" t="n"/>
      <c r="J177" s="23" t="n"/>
      <c r="K177" s="24" t="n"/>
      <c r="L177" s="23" t="n"/>
      <c r="M177" s="23" t="n"/>
      <c r="N177" s="24" t="n"/>
      <c r="O177" s="23" t="n"/>
      <c r="P177" s="23" t="n"/>
    </row>
    <row r="178">
      <c r="A178" s="23" t="n"/>
      <c r="B178" s="23" t="n"/>
      <c r="C178" s="23" t="n"/>
      <c r="D178" s="23" t="n"/>
      <c r="E178" s="23" t="n"/>
      <c r="F178" s="23" t="n"/>
      <c r="G178" s="23" t="n"/>
      <c r="H178" s="23" t="n"/>
      <c r="I178" s="23" t="n"/>
      <c r="J178" s="23" t="n"/>
      <c r="K178" s="24" t="n"/>
      <c r="L178" s="23" t="n"/>
      <c r="M178" s="23" t="n"/>
      <c r="N178" s="24" t="n"/>
      <c r="O178" s="23" t="n"/>
      <c r="P178" s="23" t="n"/>
    </row>
    <row r="179">
      <c r="A179" s="23" t="n"/>
      <c r="B179" s="23" t="n"/>
      <c r="C179" s="23" t="n"/>
      <c r="D179" s="23" t="n"/>
      <c r="E179" s="23" t="n"/>
      <c r="F179" s="23" t="n"/>
      <c r="G179" s="23" t="n"/>
      <c r="H179" s="23" t="n"/>
      <c r="I179" s="23" t="n"/>
      <c r="J179" s="23" t="n"/>
      <c r="K179" s="24" t="n"/>
      <c r="L179" s="23" t="n"/>
      <c r="M179" s="23" t="n"/>
      <c r="N179" s="24" t="n"/>
      <c r="O179" s="23" t="n"/>
      <c r="P179" s="23" t="n"/>
    </row>
    <row r="180">
      <c r="A180" s="23" t="n"/>
      <c r="B180" s="23" t="n"/>
      <c r="C180" s="23" t="n"/>
      <c r="D180" s="23" t="n"/>
      <c r="E180" s="23" t="n"/>
      <c r="F180" s="23" t="n"/>
      <c r="G180" s="23" t="n"/>
      <c r="H180" s="23" t="n"/>
      <c r="I180" s="23" t="n"/>
      <c r="J180" s="23" t="n"/>
      <c r="K180" s="24" t="n"/>
      <c r="L180" s="23" t="n"/>
      <c r="M180" s="23" t="n"/>
      <c r="N180" s="24" t="n"/>
      <c r="O180" s="23" t="n"/>
      <c r="P180" s="23" t="n"/>
    </row>
    <row r="181">
      <c r="A181" s="23" t="n"/>
      <c r="B181" s="23" t="n"/>
      <c r="C181" s="23" t="n"/>
      <c r="D181" s="23" t="n"/>
      <c r="E181" s="23" t="n"/>
      <c r="F181" s="23" t="n"/>
      <c r="G181" s="23" t="n"/>
      <c r="H181" s="23" t="n"/>
      <c r="I181" s="23" t="n"/>
      <c r="J181" s="23" t="n"/>
      <c r="K181" s="24" t="n"/>
      <c r="L181" s="23" t="n"/>
      <c r="M181" s="23" t="n"/>
      <c r="N181" s="24" t="n"/>
      <c r="O181" s="23" t="n"/>
      <c r="P181" s="23" t="n"/>
    </row>
    <row r="182">
      <c r="A182" s="23" t="n"/>
      <c r="B182" s="23" t="n"/>
      <c r="C182" s="23" t="n"/>
      <c r="D182" s="23" t="n"/>
      <c r="E182" s="23" t="n"/>
      <c r="F182" s="23" t="n"/>
      <c r="G182" s="23" t="n"/>
      <c r="H182" s="23" t="n"/>
      <c r="I182" s="23" t="n"/>
      <c r="J182" s="23" t="n"/>
      <c r="K182" s="24" t="n"/>
      <c r="L182" s="23" t="n"/>
      <c r="M182" s="23" t="n"/>
      <c r="N182" s="24" t="n"/>
      <c r="O182" s="23" t="n"/>
      <c r="P182" s="23" t="n"/>
    </row>
    <row r="183">
      <c r="A183" s="23" t="n"/>
      <c r="B183" s="23" t="n"/>
      <c r="C183" s="23" t="n"/>
      <c r="D183" s="23" t="n"/>
      <c r="E183" s="23" t="n"/>
      <c r="F183" s="23" t="n"/>
      <c r="G183" s="23" t="n"/>
      <c r="H183" s="23" t="n"/>
      <c r="I183" s="23" t="n"/>
      <c r="J183" s="23" t="n"/>
      <c r="K183" s="24" t="n"/>
      <c r="L183" s="23" t="n"/>
      <c r="M183" s="23" t="n"/>
      <c r="N183" s="24" t="n"/>
      <c r="O183" s="23" t="n"/>
      <c r="P183" s="23" t="n"/>
    </row>
    <row r="184">
      <c r="A184" s="23" t="n"/>
      <c r="B184" s="23" t="n"/>
      <c r="C184" s="23" t="n"/>
      <c r="D184" s="23" t="n"/>
      <c r="E184" s="23" t="n"/>
      <c r="F184" s="23" t="n"/>
      <c r="G184" s="23" t="n"/>
      <c r="H184" s="23" t="n"/>
      <c r="I184" s="23" t="n"/>
      <c r="J184" s="23" t="n"/>
      <c r="K184" s="24" t="n"/>
      <c r="L184" s="23" t="n"/>
      <c r="M184" s="23" t="n"/>
      <c r="N184" s="24" t="n"/>
      <c r="O184" s="23" t="n"/>
      <c r="P184" s="23" t="n"/>
    </row>
    <row r="185">
      <c r="A185" s="23" t="n"/>
      <c r="B185" s="23" t="n"/>
      <c r="C185" s="23" t="n"/>
      <c r="D185" s="23" t="n"/>
      <c r="E185" s="23" t="n"/>
      <c r="F185" s="23" t="n"/>
      <c r="G185" s="23" t="n"/>
      <c r="H185" s="23" t="n"/>
      <c r="I185" s="23" t="n"/>
      <c r="J185" s="23" t="n"/>
      <c r="K185" s="24" t="n"/>
      <c r="L185" s="23" t="n"/>
      <c r="M185" s="23" t="n"/>
      <c r="N185" s="24" t="n"/>
      <c r="O185" s="23" t="n"/>
      <c r="P185" s="23" t="n"/>
    </row>
    <row r="186">
      <c r="A186" s="23" t="n"/>
      <c r="B186" s="23" t="n"/>
      <c r="C186" s="23" t="n"/>
      <c r="D186" s="23" t="n"/>
      <c r="E186" s="23" t="n"/>
      <c r="F186" s="23" t="n"/>
      <c r="G186" s="23" t="n"/>
      <c r="H186" s="23" t="n"/>
      <c r="I186" s="23" t="n"/>
      <c r="J186" s="23" t="n"/>
      <c r="K186" s="24" t="n"/>
      <c r="L186" s="23" t="n"/>
      <c r="M186" s="23" t="n"/>
      <c r="N186" s="24" t="n"/>
      <c r="O186" s="23" t="n"/>
      <c r="P186" s="23" t="n"/>
    </row>
    <row r="187">
      <c r="A187" s="23" t="n"/>
      <c r="B187" s="23" t="n"/>
      <c r="C187" s="23" t="n"/>
      <c r="D187" s="23" t="n"/>
      <c r="E187" s="23" t="n"/>
      <c r="F187" s="23" t="n"/>
      <c r="G187" s="23" t="n"/>
      <c r="H187" s="23" t="n"/>
      <c r="I187" s="23" t="n"/>
      <c r="J187" s="23" t="n"/>
      <c r="K187" s="24" t="n"/>
      <c r="L187" s="23" t="n"/>
      <c r="M187" s="23" t="n"/>
      <c r="N187" s="24" t="n"/>
      <c r="O187" s="23" t="n"/>
      <c r="P187" s="23" t="n"/>
    </row>
    <row r="188">
      <c r="A188" s="23" t="n"/>
      <c r="B188" s="23" t="n"/>
      <c r="C188" s="23" t="n"/>
      <c r="D188" s="23" t="n"/>
      <c r="E188" s="23" t="n"/>
      <c r="F188" s="23" t="n"/>
      <c r="G188" s="23" t="n"/>
      <c r="H188" s="23" t="n"/>
      <c r="I188" s="23" t="n"/>
      <c r="J188" s="23" t="n"/>
      <c r="K188" s="24" t="n"/>
      <c r="L188" s="23" t="n"/>
      <c r="M188" s="23" t="n"/>
      <c r="N188" s="24" t="n"/>
      <c r="O188" s="23" t="n"/>
      <c r="P188" s="23" t="n"/>
    </row>
    <row r="189">
      <c r="A189" s="23" t="n"/>
      <c r="B189" s="23" t="n"/>
      <c r="C189" s="23" t="n"/>
      <c r="D189" s="23" t="n"/>
      <c r="E189" s="23" t="n"/>
      <c r="F189" s="23" t="n"/>
      <c r="G189" s="23" t="n"/>
      <c r="H189" s="23" t="n"/>
      <c r="I189" s="23" t="n"/>
      <c r="J189" s="23" t="n"/>
      <c r="K189" s="24" t="n"/>
      <c r="L189" s="23" t="n"/>
      <c r="M189" s="23" t="n"/>
      <c r="N189" s="24" t="n"/>
      <c r="O189" s="23" t="n"/>
      <c r="P189" s="23" t="n"/>
    </row>
    <row r="190">
      <c r="A190" s="23" t="n"/>
      <c r="B190" s="23" t="n"/>
      <c r="C190" s="23" t="n"/>
      <c r="D190" s="23" t="n"/>
      <c r="E190" s="23" t="n"/>
      <c r="F190" s="23" t="n"/>
      <c r="G190" s="23" t="n"/>
      <c r="H190" s="23" t="n"/>
      <c r="I190" s="23" t="n"/>
      <c r="J190" s="23" t="n"/>
      <c r="K190" s="24" t="n"/>
      <c r="L190" s="23" t="n"/>
      <c r="M190" s="23" t="n"/>
      <c r="N190" s="24" t="n"/>
      <c r="O190" s="23" t="n"/>
      <c r="P190" s="23" t="n"/>
    </row>
    <row r="191">
      <c r="A191" s="23" t="n"/>
      <c r="B191" s="23" t="n"/>
      <c r="C191" s="23" t="n"/>
      <c r="D191" s="23" t="n"/>
      <c r="E191" s="23" t="n"/>
      <c r="F191" s="23" t="n"/>
      <c r="G191" s="23" t="n"/>
      <c r="H191" s="23" t="n"/>
      <c r="I191" s="23" t="n"/>
      <c r="J191" s="23" t="n"/>
      <c r="K191" s="24" t="n"/>
      <c r="L191" s="23" t="n"/>
      <c r="M191" s="23" t="n"/>
      <c r="N191" s="24" t="n"/>
      <c r="O191" s="23" t="n"/>
      <c r="P191" s="23" t="n"/>
    </row>
    <row r="192">
      <c r="A192" s="23" t="n"/>
      <c r="B192" s="23" t="n"/>
      <c r="C192" s="23" t="n"/>
      <c r="D192" s="23" t="n"/>
      <c r="E192" s="23" t="n"/>
      <c r="F192" s="23" t="n"/>
      <c r="G192" s="23" t="n"/>
      <c r="H192" s="23" t="n"/>
      <c r="I192" s="23" t="n"/>
      <c r="J192" s="23" t="n"/>
      <c r="K192" s="24" t="n"/>
      <c r="L192" s="23" t="n"/>
      <c r="M192" s="23" t="n"/>
      <c r="N192" s="24" t="n"/>
      <c r="O192" s="23" t="n"/>
      <c r="P192" s="23" t="n"/>
    </row>
    <row r="193">
      <c r="A193" s="23" t="n"/>
      <c r="B193" s="23" t="n"/>
      <c r="C193" s="23" t="n"/>
      <c r="D193" s="23" t="n"/>
      <c r="E193" s="23" t="n"/>
      <c r="F193" s="23" t="n"/>
      <c r="G193" s="23" t="n"/>
      <c r="H193" s="23" t="n"/>
      <c r="I193" s="23" t="n"/>
      <c r="J193" s="23" t="n"/>
      <c r="K193" s="24" t="n"/>
      <c r="L193" s="23" t="n"/>
      <c r="M193" s="23" t="n"/>
      <c r="N193" s="24" t="n"/>
      <c r="O193" s="23" t="n"/>
      <c r="P193" s="23" t="n"/>
    </row>
    <row r="194">
      <c r="A194" s="23" t="n"/>
      <c r="B194" s="23" t="n"/>
      <c r="C194" s="23" t="n"/>
      <c r="D194" s="23" t="n"/>
      <c r="E194" s="23" t="n"/>
      <c r="F194" s="23" t="n"/>
      <c r="G194" s="23" t="n"/>
      <c r="H194" s="23" t="n"/>
      <c r="I194" s="23" t="n"/>
      <c r="J194" s="23" t="n"/>
      <c r="K194" s="24" t="n"/>
      <c r="L194" s="23" t="n"/>
      <c r="M194" s="23" t="n"/>
      <c r="N194" s="24" t="n"/>
      <c r="O194" s="23" t="n"/>
      <c r="P194" s="23" t="n"/>
    </row>
    <row r="195">
      <c r="A195" s="23" t="n"/>
      <c r="B195" s="23" t="n"/>
      <c r="C195" s="23" t="n"/>
      <c r="D195" s="23" t="n"/>
      <c r="E195" s="23" t="n"/>
      <c r="F195" s="23" t="n"/>
      <c r="G195" s="23" t="n"/>
      <c r="H195" s="23" t="n"/>
      <c r="I195" s="23" t="n"/>
      <c r="J195" s="23" t="n"/>
      <c r="K195" s="24" t="n"/>
      <c r="L195" s="23" t="n"/>
      <c r="M195" s="23" t="n"/>
      <c r="N195" s="24" t="n"/>
      <c r="O195" s="23" t="n"/>
      <c r="P195" s="23" t="n"/>
    </row>
    <row r="196">
      <c r="A196" s="23" t="n"/>
      <c r="B196" s="23" t="n"/>
      <c r="C196" s="23" t="n"/>
      <c r="D196" s="23" t="n"/>
      <c r="E196" s="23" t="n"/>
      <c r="F196" s="23" t="n"/>
      <c r="G196" s="23" t="n"/>
      <c r="H196" s="23" t="n"/>
      <c r="I196" s="23" t="n"/>
      <c r="J196" s="23" t="n"/>
      <c r="K196" s="24" t="n"/>
      <c r="L196" s="23" t="n"/>
      <c r="M196" s="23" t="n"/>
      <c r="N196" s="24" t="n"/>
      <c r="O196" s="23" t="n"/>
      <c r="P196" s="23" t="n"/>
    </row>
    <row r="197">
      <c r="A197" s="23" t="n"/>
      <c r="B197" s="23" t="n"/>
      <c r="C197" s="23" t="n"/>
      <c r="D197" s="23" t="n"/>
      <c r="E197" s="23" t="n"/>
      <c r="F197" s="23" t="n"/>
      <c r="G197" s="23" t="n"/>
      <c r="H197" s="23" t="n"/>
      <c r="I197" s="23" t="n"/>
      <c r="J197" s="23" t="n"/>
      <c r="K197" s="24" t="n"/>
      <c r="L197" s="23" t="n"/>
      <c r="M197" s="23" t="n"/>
      <c r="N197" s="24" t="n"/>
      <c r="O197" s="23" t="n"/>
      <c r="P197" s="23" t="n"/>
    </row>
    <row r="198">
      <c r="A198" s="23" t="n"/>
      <c r="B198" s="23" t="n"/>
      <c r="C198" s="23" t="n"/>
      <c r="D198" s="23" t="n"/>
      <c r="E198" s="23" t="n"/>
      <c r="F198" s="23" t="n"/>
      <c r="G198" s="23" t="n"/>
      <c r="H198" s="23" t="n"/>
      <c r="I198" s="23" t="n"/>
      <c r="J198" s="23" t="n"/>
      <c r="K198" s="24" t="n"/>
      <c r="L198" s="23" t="n"/>
      <c r="M198" s="23" t="n"/>
      <c r="N198" s="24" t="n"/>
      <c r="O198" s="23" t="n"/>
      <c r="P198" s="23" t="n"/>
    </row>
    <row r="199">
      <c r="A199" s="23" t="n"/>
      <c r="B199" s="23" t="n"/>
      <c r="C199" s="23" t="n"/>
      <c r="D199" s="23" t="n"/>
      <c r="E199" s="23" t="n"/>
      <c r="F199" s="23" t="n"/>
      <c r="G199" s="23" t="n"/>
      <c r="H199" s="23" t="n"/>
      <c r="I199" s="23" t="n"/>
      <c r="J199" s="23" t="n"/>
      <c r="K199" s="24" t="n"/>
      <c r="L199" s="23" t="n"/>
      <c r="M199" s="23" t="n"/>
      <c r="N199" s="24" t="n"/>
      <c r="O199" s="23" t="n"/>
      <c r="P199" s="23" t="n"/>
    </row>
    <row r="200">
      <c r="A200" s="23" t="n"/>
      <c r="B200" s="23" t="n"/>
      <c r="C200" s="23" t="n"/>
      <c r="D200" s="23" t="n"/>
      <c r="E200" s="23" t="n"/>
      <c r="F200" s="23" t="n"/>
      <c r="G200" s="23" t="n"/>
      <c r="H200" s="23" t="n"/>
      <c r="I200" s="23" t="n"/>
      <c r="J200" s="23" t="n"/>
      <c r="K200" s="24" t="n"/>
      <c r="L200" s="23" t="n"/>
      <c r="M200" s="23" t="n"/>
      <c r="N200" s="24" t="n"/>
      <c r="O200" s="23" t="n"/>
      <c r="P200" s="23" t="n"/>
    </row>
    <row r="201">
      <c r="A201" s="23" t="n"/>
      <c r="B201" s="23" t="n"/>
      <c r="C201" s="23" t="n"/>
      <c r="D201" s="23" t="n"/>
      <c r="E201" s="23" t="n"/>
      <c r="F201" s="23" t="n"/>
      <c r="G201" s="23" t="n"/>
      <c r="H201" s="23" t="n"/>
      <c r="I201" s="23" t="n"/>
      <c r="J201" s="23" t="n"/>
      <c r="K201" s="24" t="n"/>
      <c r="L201" s="23" t="n"/>
      <c r="M201" s="23" t="n"/>
      <c r="N201" s="24" t="n"/>
      <c r="O201" s="23" t="n"/>
      <c r="P201" s="23" t="n"/>
    </row>
    <row r="202">
      <c r="A202" s="23" t="n"/>
      <c r="B202" s="23" t="n"/>
      <c r="C202" s="23" t="n"/>
      <c r="D202" s="23" t="n"/>
      <c r="E202" s="23" t="n"/>
      <c r="F202" s="23" t="n"/>
      <c r="G202" s="23" t="n"/>
      <c r="H202" s="23" t="n"/>
      <c r="I202" s="23" t="n"/>
      <c r="J202" s="23" t="n"/>
      <c r="K202" s="24" t="n"/>
      <c r="L202" s="23" t="n"/>
      <c r="M202" s="23" t="n"/>
      <c r="N202" s="24" t="n"/>
      <c r="O202" s="23" t="n"/>
      <c r="P202" s="23" t="n"/>
    </row>
    <row r="203">
      <c r="A203" s="23" t="n"/>
      <c r="B203" s="23" t="n"/>
      <c r="C203" s="23" t="n"/>
      <c r="D203" s="23" t="n"/>
      <c r="E203" s="23" t="n"/>
      <c r="F203" s="23" t="n"/>
      <c r="G203" s="23" t="n"/>
      <c r="H203" s="23" t="n"/>
      <c r="I203" s="23" t="n"/>
      <c r="J203" s="23" t="n"/>
      <c r="K203" s="24" t="n"/>
      <c r="L203" s="23" t="n"/>
      <c r="M203" s="23" t="n"/>
      <c r="N203" s="24" t="n"/>
      <c r="O203" s="23" t="n"/>
      <c r="P203" s="23" t="n"/>
    </row>
    <row r="204">
      <c r="A204" s="23" t="n"/>
      <c r="B204" s="23" t="n"/>
      <c r="C204" s="23" t="n"/>
      <c r="D204" s="23" t="n"/>
      <c r="E204" s="23" t="n"/>
      <c r="F204" s="23" t="n"/>
      <c r="G204" s="23" t="n"/>
      <c r="H204" s="23" t="n"/>
      <c r="I204" s="23" t="n"/>
      <c r="J204" s="23" t="n"/>
      <c r="K204" s="24" t="n"/>
      <c r="L204" s="23" t="n"/>
      <c r="M204" s="23" t="n"/>
      <c r="N204" s="24" t="n"/>
      <c r="O204" s="23" t="n"/>
      <c r="P204" s="23" t="n"/>
    </row>
    <row r="205">
      <c r="A205" s="23" t="n"/>
      <c r="B205" s="23" t="n"/>
      <c r="C205" s="23" t="n"/>
      <c r="D205" s="23" t="n"/>
      <c r="E205" s="23" t="n"/>
      <c r="F205" s="23" t="n"/>
      <c r="G205" s="23" t="n"/>
      <c r="H205" s="23" t="n"/>
      <c r="I205" s="23" t="n"/>
      <c r="J205" s="23" t="n"/>
      <c r="K205" s="24" t="n"/>
      <c r="L205" s="23" t="n"/>
      <c r="M205" s="23" t="n"/>
      <c r="N205" s="24" t="n"/>
      <c r="O205" s="23" t="n"/>
      <c r="P205" s="23" t="n"/>
    </row>
    <row r="206">
      <c r="A206" s="23" t="n"/>
      <c r="B206" s="23" t="n"/>
      <c r="C206" s="23" t="n"/>
      <c r="D206" s="23" t="n"/>
      <c r="E206" s="23" t="n"/>
      <c r="F206" s="23" t="n"/>
      <c r="G206" s="23" t="n"/>
      <c r="H206" s="23" t="n"/>
      <c r="I206" s="23" t="n"/>
      <c r="J206" s="23" t="n"/>
      <c r="K206" s="24" t="n"/>
      <c r="L206" s="23" t="n"/>
      <c r="M206" s="23" t="n"/>
      <c r="N206" s="24" t="n"/>
      <c r="O206" s="23" t="n"/>
      <c r="P206" s="23" t="n"/>
    </row>
    <row r="207">
      <c r="A207" s="23" t="n"/>
      <c r="B207" s="23" t="n"/>
      <c r="C207" s="23" t="n"/>
      <c r="D207" s="23" t="n"/>
      <c r="E207" s="23" t="n"/>
      <c r="F207" s="23" t="n"/>
      <c r="G207" s="23" t="n"/>
      <c r="H207" s="23" t="n"/>
      <c r="I207" s="23" t="n"/>
      <c r="J207" s="23" t="n"/>
      <c r="K207" s="24" t="n"/>
      <c r="L207" s="23" t="n"/>
      <c r="M207" s="23" t="n"/>
      <c r="N207" s="24" t="n"/>
      <c r="O207" s="23" t="n"/>
      <c r="P207" s="23" t="n"/>
    </row>
    <row r="208">
      <c r="A208" s="23" t="n"/>
      <c r="B208" s="23" t="n"/>
      <c r="C208" s="23" t="n"/>
      <c r="D208" s="23" t="n"/>
      <c r="E208" s="23" t="n"/>
      <c r="F208" s="23" t="n"/>
      <c r="G208" s="23" t="n"/>
      <c r="H208" s="23" t="n"/>
      <c r="I208" s="23" t="n"/>
      <c r="J208" s="23" t="n"/>
      <c r="K208" s="24" t="n"/>
      <c r="L208" s="23" t="n"/>
      <c r="M208" s="23" t="n"/>
      <c r="N208" s="24" t="n"/>
      <c r="O208" s="23" t="n"/>
      <c r="P208" s="23" t="n"/>
    </row>
    <row r="209">
      <c r="A209" s="23" t="n"/>
      <c r="B209" s="23" t="n"/>
      <c r="C209" s="23" t="n"/>
      <c r="D209" s="23" t="n"/>
      <c r="E209" s="23" t="n"/>
      <c r="F209" s="23" t="n"/>
      <c r="G209" s="23" t="n"/>
      <c r="H209" s="23" t="n"/>
      <c r="I209" s="23" t="n"/>
      <c r="J209" s="23" t="n"/>
      <c r="K209" s="24" t="n"/>
      <c r="L209" s="23" t="n"/>
      <c r="M209" s="23" t="n"/>
      <c r="N209" s="24" t="n"/>
      <c r="O209" s="23" t="n"/>
      <c r="P209" s="23" t="n"/>
    </row>
    <row r="210">
      <c r="A210" s="23" t="n"/>
      <c r="B210" s="23" t="n"/>
      <c r="C210" s="23" t="n"/>
      <c r="D210" s="23" t="n"/>
      <c r="E210" s="23" t="n"/>
      <c r="F210" s="23" t="n"/>
      <c r="G210" s="23" t="n"/>
      <c r="H210" s="23" t="n"/>
      <c r="I210" s="23" t="n"/>
      <c r="J210" s="23" t="n"/>
      <c r="K210" s="24" t="n"/>
      <c r="L210" s="23" t="n"/>
      <c r="M210" s="23" t="n"/>
      <c r="N210" s="24" t="n"/>
      <c r="O210" s="23" t="n"/>
      <c r="P210" s="23" t="n"/>
    </row>
    <row r="211">
      <c r="A211" s="23" t="n"/>
      <c r="B211" s="23" t="n"/>
      <c r="C211" s="23" t="n"/>
      <c r="D211" s="23" t="n"/>
      <c r="E211" s="23" t="n"/>
      <c r="F211" s="23" t="n"/>
      <c r="G211" s="23" t="n"/>
      <c r="H211" s="23" t="n"/>
      <c r="I211" s="23" t="n"/>
      <c r="J211" s="23" t="n"/>
      <c r="K211" s="24" t="n"/>
      <c r="L211" s="23" t="n"/>
      <c r="M211" s="23" t="n"/>
      <c r="N211" s="24" t="n"/>
      <c r="O211" s="23" t="n"/>
      <c r="P211" s="23" t="n"/>
    </row>
    <row r="212">
      <c r="A212" s="23" t="n"/>
      <c r="B212" s="23" t="n"/>
      <c r="C212" s="23" t="n"/>
      <c r="D212" s="23" t="n"/>
      <c r="E212" s="23" t="n"/>
      <c r="F212" s="23" t="n"/>
      <c r="G212" s="23" t="n"/>
      <c r="H212" s="23" t="n"/>
      <c r="I212" s="23" t="n"/>
      <c r="J212" s="23" t="n"/>
      <c r="K212" s="24" t="n"/>
      <c r="L212" s="23" t="n"/>
      <c r="M212" s="23" t="n"/>
      <c r="N212" s="24" t="n"/>
      <c r="O212" s="23" t="n"/>
      <c r="P212" s="23" t="n"/>
    </row>
    <row r="213">
      <c r="A213" s="23" t="n"/>
      <c r="B213" s="23" t="n"/>
      <c r="C213" s="23" t="n"/>
      <c r="D213" s="23" t="n"/>
      <c r="E213" s="23" t="n"/>
      <c r="F213" s="23" t="n"/>
      <c r="G213" s="23" t="n"/>
      <c r="H213" s="23" t="n"/>
      <c r="I213" s="23" t="n"/>
      <c r="J213" s="23" t="n"/>
      <c r="K213" s="24" t="n"/>
      <c r="L213" s="23" t="n"/>
      <c r="M213" s="23" t="n"/>
      <c r="N213" s="24" t="n"/>
      <c r="O213" s="23" t="n"/>
      <c r="P213" s="23" t="n"/>
    </row>
    <row r="214">
      <c r="A214" s="23" t="n"/>
      <c r="B214" s="23" t="n"/>
      <c r="C214" s="23" t="n"/>
      <c r="D214" s="23" t="n"/>
      <c r="E214" s="23" t="n"/>
      <c r="F214" s="23" t="n"/>
      <c r="G214" s="23" t="n"/>
      <c r="H214" s="23" t="n"/>
      <c r="I214" s="23" t="n"/>
      <c r="J214" s="23" t="n"/>
      <c r="K214" s="24" t="n"/>
      <c r="L214" s="23" t="n"/>
      <c r="M214" s="23" t="n"/>
      <c r="N214" s="24" t="n"/>
      <c r="O214" s="23" t="n"/>
      <c r="P214" s="23" t="n"/>
    </row>
    <row r="215">
      <c r="A215" s="23" t="n"/>
      <c r="B215" s="23" t="n"/>
      <c r="C215" s="23" t="n"/>
      <c r="D215" s="23" t="n"/>
      <c r="E215" s="23" t="n"/>
      <c r="F215" s="23" t="n"/>
      <c r="G215" s="23" t="n"/>
      <c r="H215" s="23" t="n"/>
      <c r="I215" s="23" t="n"/>
      <c r="J215" s="23" t="n"/>
      <c r="K215" s="24" t="n"/>
      <c r="L215" s="23" t="n"/>
      <c r="M215" s="23" t="n"/>
      <c r="N215" s="24" t="n"/>
      <c r="O215" s="23" t="n"/>
      <c r="P215" s="23" t="n"/>
    </row>
    <row r="216">
      <c r="A216" s="23" t="n"/>
      <c r="B216" s="23" t="n"/>
      <c r="C216" s="23" t="n"/>
      <c r="D216" s="23" t="n"/>
      <c r="E216" s="23" t="n"/>
      <c r="F216" s="23" t="n"/>
      <c r="G216" s="23" t="n"/>
      <c r="H216" s="23" t="n"/>
      <c r="I216" s="23" t="n"/>
      <c r="J216" s="23" t="n"/>
      <c r="K216" s="24" t="n"/>
      <c r="L216" s="23" t="n"/>
      <c r="M216" s="23" t="n"/>
      <c r="N216" s="24" t="n"/>
      <c r="O216" s="23" t="n"/>
      <c r="P216" s="23" t="n"/>
    </row>
    <row r="217">
      <c r="A217" s="23" t="n"/>
      <c r="B217" s="23" t="n"/>
      <c r="C217" s="23" t="n"/>
      <c r="D217" s="23" t="n"/>
      <c r="E217" s="23" t="n"/>
      <c r="F217" s="23" t="n"/>
      <c r="G217" s="23" t="n"/>
      <c r="H217" s="23" t="n"/>
      <c r="I217" s="23" t="n"/>
      <c r="J217" s="23" t="n"/>
      <c r="K217" s="24" t="n"/>
      <c r="L217" s="23" t="n"/>
      <c r="M217" s="23" t="n"/>
      <c r="N217" s="24" t="n"/>
      <c r="O217" s="23" t="n"/>
      <c r="P217" s="23" t="n"/>
    </row>
    <row r="218">
      <c r="A218" s="23" t="n"/>
      <c r="B218" s="23" t="n"/>
      <c r="C218" s="23" t="n"/>
      <c r="D218" s="23" t="n"/>
      <c r="E218" s="23" t="n"/>
      <c r="F218" s="23" t="n"/>
      <c r="G218" s="23" t="n"/>
      <c r="H218" s="23" t="n"/>
      <c r="I218" s="23" t="n"/>
      <c r="J218" s="23" t="n"/>
      <c r="K218" s="24" t="n"/>
      <c r="L218" s="23" t="n"/>
      <c r="M218" s="23" t="n"/>
      <c r="N218" s="24" t="n"/>
      <c r="O218" s="23" t="n"/>
      <c r="P218" s="23" t="n"/>
    </row>
    <row r="219">
      <c r="A219" s="23" t="n"/>
      <c r="B219" s="23" t="n"/>
      <c r="C219" s="23" t="n"/>
      <c r="D219" s="23" t="n"/>
      <c r="E219" s="23" t="n"/>
      <c r="F219" s="23" t="n"/>
      <c r="G219" s="23" t="n"/>
      <c r="H219" s="23" t="n"/>
      <c r="I219" s="23" t="n"/>
      <c r="J219" s="23" t="n"/>
      <c r="K219" s="24" t="n"/>
      <c r="L219" s="23" t="n"/>
      <c r="M219" s="23" t="n"/>
      <c r="N219" s="24" t="n"/>
      <c r="O219" s="23" t="n"/>
      <c r="P219" s="23" t="n"/>
    </row>
    <row r="220">
      <c r="A220" s="23" t="n"/>
      <c r="B220" s="23" t="n"/>
      <c r="C220" s="23" t="n"/>
      <c r="D220" s="23" t="n"/>
      <c r="E220" s="23" t="n"/>
      <c r="F220" s="23" t="n"/>
      <c r="G220" s="23" t="n"/>
      <c r="H220" s="23" t="n"/>
      <c r="I220" s="23" t="n"/>
      <c r="J220" s="23" t="n"/>
      <c r="K220" s="24" t="n"/>
      <c r="L220" s="23" t="n"/>
      <c r="M220" s="23" t="n"/>
      <c r="N220" s="24" t="n"/>
      <c r="O220" s="23" t="n"/>
      <c r="P220" s="23" t="n"/>
    </row>
    <row r="221">
      <c r="A221" s="23" t="n"/>
      <c r="B221" s="23" t="n"/>
      <c r="C221" s="23" t="n"/>
      <c r="D221" s="23" t="n"/>
      <c r="E221" s="23" t="n"/>
      <c r="F221" s="23" t="n"/>
      <c r="G221" s="23" t="n"/>
      <c r="H221" s="23" t="n"/>
      <c r="I221" s="23" t="n"/>
      <c r="J221" s="23" t="n"/>
      <c r="K221" s="24" t="n"/>
      <c r="L221" s="23" t="n"/>
      <c r="M221" s="23" t="n"/>
      <c r="N221" s="24" t="n"/>
      <c r="O221" s="23" t="n"/>
      <c r="P221" s="23" t="n"/>
    </row>
    <row r="222">
      <c r="A222" s="23" t="n"/>
      <c r="B222" s="23" t="n"/>
      <c r="C222" s="23" t="n"/>
      <c r="D222" s="23" t="n"/>
      <c r="E222" s="23" t="n"/>
      <c r="F222" s="23" t="n"/>
      <c r="G222" s="23" t="n"/>
      <c r="H222" s="23" t="n"/>
      <c r="I222" s="23" t="n"/>
      <c r="J222" s="23" t="n"/>
      <c r="K222" s="24" t="n"/>
      <c r="L222" s="23" t="n"/>
      <c r="M222" s="23" t="n"/>
      <c r="N222" s="24" t="n"/>
      <c r="O222" s="23" t="n"/>
      <c r="P222" s="23" t="n"/>
    </row>
    <row r="223">
      <c r="A223" s="23" t="n"/>
      <c r="B223" s="23" t="n"/>
      <c r="C223" s="23" t="n"/>
      <c r="D223" s="23" t="n"/>
      <c r="E223" s="23" t="n"/>
      <c r="F223" s="23" t="n"/>
      <c r="G223" s="23" t="n"/>
      <c r="H223" s="23" t="n"/>
      <c r="I223" s="23" t="n"/>
      <c r="J223" s="23" t="n"/>
      <c r="K223" s="24" t="n"/>
      <c r="L223" s="23" t="n"/>
      <c r="M223" s="23" t="n"/>
      <c r="N223" s="24" t="n"/>
      <c r="O223" s="23" t="n"/>
      <c r="P223" s="23" t="n"/>
    </row>
    <row r="224">
      <c r="A224" s="23" t="n"/>
      <c r="B224" s="23" t="n"/>
      <c r="C224" s="23" t="n"/>
      <c r="D224" s="23" t="n"/>
      <c r="E224" s="23" t="n"/>
      <c r="F224" s="23" t="n"/>
      <c r="G224" s="23" t="n"/>
      <c r="H224" s="23" t="n"/>
      <c r="I224" s="23" t="n"/>
      <c r="J224" s="23" t="n"/>
      <c r="K224" s="24" t="n"/>
      <c r="L224" s="23" t="n"/>
      <c r="M224" s="23" t="n"/>
      <c r="N224" s="24" t="n"/>
      <c r="O224" s="23" t="n"/>
      <c r="P224" s="23" t="n"/>
    </row>
    <row r="225">
      <c r="A225" s="23" t="n"/>
      <c r="B225" s="23" t="n"/>
      <c r="C225" s="23" t="n"/>
      <c r="D225" s="23" t="n"/>
      <c r="E225" s="23" t="n"/>
      <c r="F225" s="23" t="n"/>
      <c r="G225" s="23" t="n"/>
      <c r="H225" s="23" t="n"/>
      <c r="I225" s="23" t="n"/>
      <c r="J225" s="23" t="n"/>
      <c r="K225" s="24" t="n"/>
      <c r="L225" s="23" t="n"/>
      <c r="M225" s="23" t="n"/>
      <c r="N225" s="24" t="n"/>
      <c r="O225" s="23" t="n"/>
      <c r="P225" s="23" t="n"/>
    </row>
    <row r="226">
      <c r="A226" s="23" t="n"/>
      <c r="B226" s="23" t="n"/>
      <c r="C226" s="23" t="n"/>
      <c r="D226" s="23" t="n"/>
      <c r="E226" s="23" t="n"/>
      <c r="F226" s="23" t="n"/>
      <c r="G226" s="23" t="n"/>
      <c r="H226" s="23" t="n"/>
      <c r="I226" s="23" t="n"/>
      <c r="J226" s="23" t="n"/>
      <c r="K226" s="24" t="n"/>
      <c r="L226" s="23" t="n"/>
      <c r="M226" s="23" t="n"/>
      <c r="N226" s="24" t="n"/>
      <c r="O226" s="23" t="n"/>
      <c r="P226" s="23" t="n"/>
    </row>
    <row r="227">
      <c r="A227" s="23" t="n"/>
      <c r="B227" s="23" t="n"/>
      <c r="C227" s="23" t="n"/>
      <c r="D227" s="23" t="n"/>
      <c r="E227" s="23" t="n"/>
      <c r="F227" s="23" t="n"/>
      <c r="G227" s="23" t="n"/>
      <c r="H227" s="23" t="n"/>
      <c r="I227" s="23" t="n"/>
      <c r="J227" s="23" t="n"/>
      <c r="K227" s="24" t="n"/>
      <c r="L227" s="23" t="n"/>
      <c r="M227" s="23" t="n"/>
      <c r="N227" s="24" t="n"/>
      <c r="O227" s="23" t="n"/>
      <c r="P227" s="23" t="n"/>
    </row>
    <row r="228">
      <c r="A228" s="23" t="n"/>
      <c r="B228" s="23" t="n"/>
      <c r="C228" s="23" t="n"/>
      <c r="D228" s="23" t="n"/>
      <c r="E228" s="23" t="n"/>
      <c r="F228" s="23" t="n"/>
      <c r="G228" s="23" t="n"/>
      <c r="H228" s="23" t="n"/>
      <c r="I228" s="23" t="n"/>
      <c r="J228" s="23" t="n"/>
      <c r="K228" s="24" t="n"/>
      <c r="L228" s="23" t="n"/>
      <c r="M228" s="23" t="n"/>
      <c r="N228" s="24" t="n"/>
      <c r="O228" s="23" t="n"/>
      <c r="P228" s="23" t="n"/>
    </row>
    <row r="229">
      <c r="A229" s="23" t="n"/>
      <c r="B229" s="23" t="n"/>
      <c r="C229" s="23" t="n"/>
      <c r="D229" s="23" t="n"/>
      <c r="E229" s="23" t="n"/>
      <c r="F229" s="23" t="n"/>
      <c r="G229" s="23" t="n"/>
      <c r="H229" s="23" t="n"/>
      <c r="I229" s="23" t="n"/>
      <c r="J229" s="23" t="n"/>
      <c r="K229" s="24" t="n"/>
      <c r="L229" s="23" t="n"/>
      <c r="M229" s="23" t="n"/>
      <c r="N229" s="24" t="n"/>
      <c r="O229" s="23" t="n"/>
      <c r="P229" s="23" t="n"/>
    </row>
    <row r="230">
      <c r="A230" s="23" t="n"/>
      <c r="B230" s="23" t="n"/>
      <c r="C230" s="23" t="n"/>
      <c r="D230" s="23" t="n"/>
      <c r="E230" s="23" t="n"/>
      <c r="F230" s="23" t="n"/>
      <c r="G230" s="23" t="n"/>
      <c r="H230" s="23" t="n"/>
      <c r="I230" s="23" t="n"/>
      <c r="J230" s="23" t="n"/>
      <c r="K230" s="24" t="n"/>
      <c r="L230" s="23" t="n"/>
      <c r="M230" s="23" t="n"/>
      <c r="N230" s="24" t="n"/>
      <c r="O230" s="23" t="n"/>
      <c r="P230" s="23" t="n"/>
    </row>
    <row r="231">
      <c r="A231" s="23" t="n"/>
      <c r="B231" s="23" t="n"/>
      <c r="C231" s="23" t="n"/>
      <c r="D231" s="23" t="n"/>
      <c r="E231" s="23" t="n"/>
      <c r="F231" s="23" t="n"/>
      <c r="G231" s="23" t="n"/>
      <c r="H231" s="23" t="n"/>
      <c r="I231" s="23" t="n"/>
      <c r="J231" s="23" t="n"/>
      <c r="K231" s="24" t="n"/>
      <c r="L231" s="23" t="n"/>
      <c r="M231" s="23" t="n"/>
      <c r="N231" s="24" t="n"/>
      <c r="O231" s="23" t="n"/>
      <c r="P231" s="23" t="n"/>
    </row>
    <row r="232">
      <c r="A232" s="23" t="n"/>
      <c r="B232" s="23" t="n"/>
      <c r="C232" s="23" t="n"/>
      <c r="D232" s="23" t="n"/>
      <c r="E232" s="23" t="n"/>
      <c r="F232" s="23" t="n"/>
      <c r="G232" s="23" t="n"/>
      <c r="H232" s="23" t="n"/>
      <c r="I232" s="23" t="n"/>
      <c r="J232" s="23" t="n"/>
      <c r="K232" s="24" t="n"/>
      <c r="L232" s="23" t="n"/>
      <c r="M232" s="23" t="n"/>
      <c r="N232" s="24" t="n"/>
      <c r="O232" s="23" t="n"/>
      <c r="P232" s="23" t="n"/>
    </row>
    <row r="233">
      <c r="A233" s="23" t="n"/>
      <c r="B233" s="23" t="n"/>
      <c r="C233" s="23" t="n"/>
      <c r="D233" s="23" t="n"/>
      <c r="E233" s="23" t="n"/>
      <c r="F233" s="23" t="n"/>
      <c r="G233" s="23" t="n"/>
      <c r="H233" s="23" t="n"/>
      <c r="I233" s="23" t="n"/>
      <c r="J233" s="23" t="n"/>
      <c r="K233" s="24" t="n"/>
      <c r="L233" s="23" t="n"/>
      <c r="M233" s="23" t="n"/>
      <c r="N233" s="24" t="n"/>
      <c r="O233" s="23" t="n"/>
      <c r="P233" s="23" t="n"/>
    </row>
    <row r="234">
      <c r="A234" s="23" t="n"/>
      <c r="B234" s="23" t="n"/>
      <c r="C234" s="23" t="n"/>
      <c r="D234" s="23" t="n"/>
      <c r="E234" s="23" t="n"/>
      <c r="F234" s="23" t="n"/>
      <c r="G234" s="23" t="n"/>
      <c r="H234" s="23" t="n"/>
      <c r="I234" s="23" t="n"/>
      <c r="J234" s="23" t="n"/>
      <c r="K234" s="24" t="n"/>
      <c r="L234" s="23" t="n"/>
      <c r="M234" s="23" t="n"/>
      <c r="N234" s="24" t="n"/>
      <c r="O234" s="23" t="n"/>
      <c r="P234" s="23" t="n"/>
    </row>
    <row r="235">
      <c r="A235" s="23" t="n"/>
      <c r="B235" s="23" t="n"/>
      <c r="C235" s="23" t="n"/>
      <c r="D235" s="23" t="n"/>
      <c r="E235" s="23" t="n"/>
      <c r="F235" s="23" t="n"/>
      <c r="G235" s="23" t="n"/>
      <c r="H235" s="23" t="n"/>
      <c r="I235" s="23" t="n"/>
      <c r="J235" s="23" t="n"/>
      <c r="K235" s="24" t="n"/>
      <c r="L235" s="23" t="n"/>
      <c r="M235" s="23" t="n"/>
      <c r="N235" s="24" t="n"/>
      <c r="O235" s="23" t="n"/>
      <c r="P235" s="23" t="n"/>
    </row>
    <row r="236">
      <c r="A236" s="23" t="n"/>
      <c r="B236" s="23" t="n"/>
      <c r="C236" s="23" t="n"/>
      <c r="D236" s="23" t="n"/>
      <c r="E236" s="23" t="n"/>
      <c r="F236" s="23" t="n"/>
      <c r="G236" s="23" t="n"/>
      <c r="H236" s="23" t="n"/>
      <c r="I236" s="23" t="n"/>
      <c r="J236" s="23" t="n"/>
      <c r="K236" s="24" t="n"/>
      <c r="L236" s="23" t="n"/>
      <c r="M236" s="23" t="n"/>
      <c r="N236" s="24" t="n"/>
      <c r="O236" s="23" t="n"/>
      <c r="P236" s="23" t="n"/>
    </row>
    <row r="237">
      <c r="A237" s="23" t="n"/>
      <c r="B237" s="23" t="n"/>
      <c r="C237" s="23" t="n"/>
      <c r="D237" s="23" t="n"/>
      <c r="E237" s="23" t="n"/>
      <c r="F237" s="23" t="n"/>
      <c r="G237" s="23" t="n"/>
      <c r="H237" s="23" t="n"/>
      <c r="I237" s="23" t="n"/>
      <c r="J237" s="23" t="n"/>
      <c r="K237" s="24" t="n"/>
      <c r="L237" s="23" t="n"/>
      <c r="M237" s="23" t="n"/>
      <c r="N237" s="24" t="n"/>
      <c r="O237" s="23" t="n"/>
      <c r="P237" s="23" t="n"/>
    </row>
    <row r="238">
      <c r="A238" s="23" t="n"/>
      <c r="B238" s="23" t="n"/>
      <c r="C238" s="23" t="n"/>
      <c r="D238" s="23" t="n"/>
      <c r="E238" s="23" t="n"/>
      <c r="F238" s="23" t="n"/>
      <c r="G238" s="23" t="n"/>
      <c r="H238" s="23" t="n"/>
      <c r="I238" s="23" t="n"/>
      <c r="J238" s="23" t="n"/>
      <c r="K238" s="24" t="n"/>
      <c r="L238" s="23" t="n"/>
      <c r="M238" s="23" t="n"/>
      <c r="N238" s="24" t="n"/>
      <c r="O238" s="23" t="n"/>
      <c r="P238" s="23" t="n"/>
    </row>
    <row r="239">
      <c r="A239" s="23" t="n"/>
      <c r="B239" s="23" t="n"/>
      <c r="C239" s="23" t="n"/>
      <c r="D239" s="23" t="n"/>
      <c r="E239" s="23" t="n"/>
      <c r="F239" s="23" t="n"/>
      <c r="G239" s="23" t="n"/>
      <c r="H239" s="23" t="n"/>
      <c r="I239" s="23" t="n"/>
      <c r="J239" s="23" t="n"/>
      <c r="K239" s="24" t="n"/>
      <c r="L239" s="23" t="n"/>
      <c r="M239" s="23" t="n"/>
      <c r="N239" s="24" t="n"/>
      <c r="O239" s="23" t="n"/>
      <c r="P239" s="23" t="n"/>
    </row>
    <row r="240">
      <c r="A240" s="23" t="n"/>
      <c r="B240" s="23" t="n"/>
      <c r="C240" s="23" t="n"/>
      <c r="D240" s="23" t="n"/>
      <c r="E240" s="23" t="n"/>
      <c r="F240" s="23" t="n"/>
      <c r="G240" s="23" t="n"/>
      <c r="H240" s="23" t="n"/>
      <c r="I240" s="23" t="n"/>
      <c r="J240" s="23" t="n"/>
      <c r="K240" s="24" t="n"/>
      <c r="L240" s="23" t="n"/>
      <c r="M240" s="23" t="n"/>
      <c r="N240" s="24" t="n"/>
      <c r="O240" s="23" t="n"/>
      <c r="P240" s="23" t="n"/>
    </row>
    <row r="241">
      <c r="A241" s="23" t="n"/>
      <c r="B241" s="23" t="n"/>
      <c r="C241" s="23" t="n"/>
      <c r="D241" s="23" t="n"/>
      <c r="E241" s="23" t="n"/>
      <c r="F241" s="23" t="n"/>
      <c r="G241" s="23" t="n"/>
      <c r="H241" s="23" t="n"/>
      <c r="I241" s="23" t="n"/>
      <c r="J241" s="23" t="n"/>
      <c r="K241" s="24" t="n"/>
      <c r="L241" s="23" t="n"/>
      <c r="M241" s="23" t="n"/>
      <c r="N241" s="24" t="n"/>
      <c r="O241" s="23" t="n"/>
      <c r="P241" s="23" t="n"/>
    </row>
    <row r="242">
      <c r="A242" s="23" t="n"/>
      <c r="B242" s="23" t="n"/>
      <c r="C242" s="23" t="n"/>
      <c r="D242" s="23" t="n"/>
      <c r="E242" s="23" t="n"/>
      <c r="F242" s="23" t="n"/>
      <c r="G242" s="23" t="n"/>
      <c r="H242" s="23" t="n"/>
      <c r="I242" s="23" t="n"/>
      <c r="J242" s="23" t="n"/>
      <c r="K242" s="24" t="n"/>
      <c r="L242" s="23" t="n"/>
      <c r="M242" s="23" t="n"/>
      <c r="N242" s="24" t="n"/>
      <c r="O242" s="23" t="n"/>
      <c r="P242" s="23" t="n"/>
    </row>
    <row r="243">
      <c r="A243" s="23" t="n"/>
      <c r="B243" s="23" t="n"/>
      <c r="C243" s="23" t="n"/>
      <c r="D243" s="23" t="n"/>
      <c r="E243" s="23" t="n"/>
      <c r="F243" s="23" t="n"/>
      <c r="G243" s="23" t="n"/>
      <c r="H243" s="23" t="n"/>
      <c r="I243" s="23" t="n"/>
      <c r="J243" s="23" t="n"/>
      <c r="K243" s="24" t="n"/>
      <c r="L243" s="23" t="n"/>
      <c r="M243" s="23" t="n"/>
      <c r="N243" s="24" t="n"/>
      <c r="O243" s="23" t="n"/>
      <c r="P243" s="23" t="n"/>
    </row>
    <row r="244">
      <c r="A244" s="23" t="n"/>
      <c r="B244" s="23" t="n"/>
      <c r="C244" s="23" t="n"/>
      <c r="D244" s="23" t="n"/>
      <c r="E244" s="23" t="n"/>
      <c r="F244" s="23" t="n"/>
      <c r="G244" s="23" t="n"/>
      <c r="H244" s="23" t="n"/>
      <c r="I244" s="23" t="n"/>
      <c r="J244" s="23" t="n"/>
      <c r="K244" s="24" t="n"/>
      <c r="L244" s="23" t="n"/>
      <c r="M244" s="23" t="n"/>
      <c r="N244" s="24" t="n"/>
      <c r="O244" s="23" t="n"/>
      <c r="P244" s="23" t="n"/>
    </row>
    <row r="245">
      <c r="A245" s="23" t="n"/>
      <c r="B245" s="23" t="n"/>
      <c r="C245" s="23" t="n"/>
      <c r="D245" s="23" t="n"/>
      <c r="E245" s="23" t="n"/>
      <c r="F245" s="23" t="n"/>
      <c r="G245" s="23" t="n"/>
      <c r="H245" s="23" t="n"/>
      <c r="I245" s="23" t="n"/>
      <c r="J245" s="23" t="n"/>
      <c r="K245" s="24" t="n"/>
      <c r="L245" s="23" t="n"/>
      <c r="M245" s="23" t="n"/>
      <c r="N245" s="24" t="n"/>
      <c r="O245" s="23" t="n"/>
      <c r="P245" s="23" t="n"/>
    </row>
    <row r="246">
      <c r="A246" s="23" t="n"/>
      <c r="B246" s="23" t="n"/>
      <c r="C246" s="23" t="n"/>
      <c r="D246" s="23" t="n"/>
      <c r="E246" s="23" t="n"/>
      <c r="F246" s="23" t="n"/>
      <c r="G246" s="23" t="n"/>
      <c r="H246" s="23" t="n"/>
      <c r="I246" s="23" t="n"/>
      <c r="J246" s="23" t="n"/>
      <c r="K246" s="24" t="n"/>
      <c r="L246" s="23" t="n"/>
      <c r="M246" s="23" t="n"/>
      <c r="N246" s="24" t="n"/>
      <c r="O246" s="23" t="n"/>
      <c r="P246" s="23" t="n"/>
    </row>
    <row r="247">
      <c r="A247" s="23" t="n"/>
      <c r="B247" s="23" t="n"/>
      <c r="C247" s="23" t="n"/>
      <c r="D247" s="23" t="n"/>
      <c r="E247" s="23" t="n"/>
      <c r="F247" s="23" t="n"/>
      <c r="G247" s="23" t="n"/>
      <c r="H247" s="23" t="n"/>
      <c r="I247" s="23" t="n"/>
      <c r="J247" s="23" t="n"/>
      <c r="K247" s="24" t="n"/>
      <c r="L247" s="23" t="n"/>
      <c r="M247" s="23" t="n"/>
      <c r="N247" s="24" t="n"/>
      <c r="O247" s="23" t="n"/>
      <c r="P247" s="23" t="n"/>
    </row>
    <row r="248">
      <c r="A248" s="23" t="n"/>
      <c r="B248" s="23" t="n"/>
      <c r="C248" s="23" t="n"/>
      <c r="D248" s="23" t="n"/>
      <c r="E248" s="23" t="n"/>
      <c r="F248" s="23" t="n"/>
      <c r="G248" s="23" t="n"/>
      <c r="H248" s="23" t="n"/>
      <c r="I248" s="23" t="n"/>
      <c r="J248" s="23" t="n"/>
      <c r="K248" s="24" t="n"/>
      <c r="L248" s="23" t="n"/>
      <c r="M248" s="23" t="n"/>
      <c r="N248" s="24" t="n"/>
      <c r="O248" s="23" t="n"/>
      <c r="P248" s="23" t="n"/>
    </row>
    <row r="249">
      <c r="A249" s="23" t="n"/>
      <c r="B249" s="23" t="n"/>
      <c r="C249" s="23" t="n"/>
      <c r="D249" s="23" t="n"/>
      <c r="E249" s="23" t="n"/>
      <c r="F249" s="23" t="n"/>
      <c r="G249" s="23" t="n"/>
      <c r="H249" s="23" t="n"/>
      <c r="I249" s="23" t="n"/>
      <c r="J249" s="23" t="n"/>
      <c r="K249" s="24" t="n"/>
      <c r="L249" s="23" t="n"/>
      <c r="M249" s="23" t="n"/>
      <c r="N249" s="24" t="n"/>
      <c r="O249" s="23" t="n"/>
      <c r="P249" s="23" t="n"/>
    </row>
    <row r="250">
      <c r="A250" s="23" t="n"/>
      <c r="B250" s="23" t="n"/>
      <c r="C250" s="23" t="n"/>
      <c r="D250" s="23" t="n"/>
      <c r="E250" s="23" t="n"/>
      <c r="F250" s="23" t="n"/>
      <c r="G250" s="23" t="n"/>
      <c r="H250" s="23" t="n"/>
      <c r="I250" s="23" t="n"/>
      <c r="J250" s="23" t="n"/>
      <c r="K250" s="24" t="n"/>
      <c r="L250" s="23" t="n"/>
      <c r="M250" s="23" t="n"/>
      <c r="N250" s="24" t="n"/>
      <c r="O250" s="23" t="n"/>
      <c r="P250" s="23" t="n"/>
    </row>
    <row r="251">
      <c r="A251" s="23" t="n"/>
      <c r="B251" s="23" t="n"/>
      <c r="C251" s="23" t="n"/>
      <c r="D251" s="23" t="n"/>
      <c r="E251" s="23" t="n"/>
      <c r="F251" s="23" t="n"/>
      <c r="G251" s="23" t="n"/>
      <c r="H251" s="23" t="n"/>
      <c r="I251" s="23" t="n"/>
      <c r="J251" s="23" t="n"/>
      <c r="K251" s="24" t="n"/>
      <c r="L251" s="23" t="n"/>
      <c r="M251" s="23" t="n"/>
      <c r="N251" s="24" t="n"/>
      <c r="O251" s="23" t="n"/>
      <c r="P251" s="23" t="n"/>
    </row>
    <row r="252">
      <c r="A252" s="23" t="n"/>
      <c r="B252" s="23" t="n"/>
      <c r="C252" s="23" t="n"/>
      <c r="D252" s="23" t="n"/>
      <c r="E252" s="23" t="n"/>
      <c r="F252" s="23" t="n"/>
      <c r="G252" s="23" t="n"/>
      <c r="H252" s="23" t="n"/>
      <c r="I252" s="23" t="n"/>
      <c r="J252" s="23" t="n"/>
      <c r="K252" s="24" t="n"/>
      <c r="L252" s="23" t="n"/>
      <c r="M252" s="23" t="n"/>
      <c r="N252" s="24" t="n"/>
      <c r="O252" s="23" t="n"/>
      <c r="P252" s="23" t="n"/>
    </row>
    <row r="253">
      <c r="A253" s="23" t="n"/>
      <c r="B253" s="23" t="n"/>
      <c r="C253" s="23" t="n"/>
      <c r="D253" s="23" t="n"/>
      <c r="E253" s="23" t="n"/>
      <c r="F253" s="23" t="n"/>
      <c r="G253" s="23" t="n"/>
      <c r="H253" s="23" t="n"/>
      <c r="I253" s="23" t="n"/>
      <c r="J253" s="23" t="n"/>
      <c r="K253" s="24" t="n"/>
      <c r="L253" s="23" t="n"/>
      <c r="M253" s="23" t="n"/>
      <c r="N253" s="24" t="n"/>
      <c r="O253" s="23" t="n"/>
      <c r="P253" s="23" t="n"/>
    </row>
    <row r="254">
      <c r="A254" s="23" t="n"/>
      <c r="B254" s="23" t="n"/>
      <c r="C254" s="23" t="n"/>
      <c r="D254" s="23" t="n"/>
      <c r="E254" s="23" t="n"/>
      <c r="F254" s="23" t="n"/>
      <c r="G254" s="23" t="n"/>
      <c r="H254" s="23" t="n"/>
      <c r="I254" s="23" t="n"/>
      <c r="J254" s="23" t="n"/>
      <c r="K254" s="24" t="n"/>
      <c r="L254" s="23" t="n"/>
      <c r="M254" s="23" t="n"/>
      <c r="N254" s="24" t="n"/>
      <c r="O254" s="23" t="n"/>
      <c r="P254" s="23" t="n"/>
    </row>
    <row r="255">
      <c r="A255" s="23" t="n"/>
      <c r="B255" s="23" t="n"/>
      <c r="C255" s="23" t="n"/>
      <c r="D255" s="23" t="n"/>
      <c r="E255" s="23" t="n"/>
      <c r="F255" s="23" t="n"/>
      <c r="G255" s="23" t="n"/>
      <c r="H255" s="23" t="n"/>
      <c r="I255" s="23" t="n"/>
      <c r="J255" s="23" t="n"/>
      <c r="K255" s="24" t="n"/>
      <c r="L255" s="23" t="n"/>
      <c r="M255" s="23" t="n"/>
      <c r="N255" s="24" t="n"/>
      <c r="O255" s="23" t="n"/>
      <c r="P255" s="23" t="n"/>
    </row>
    <row r="256">
      <c r="A256" s="23" t="n"/>
      <c r="B256" s="23" t="n"/>
      <c r="C256" s="23" t="n"/>
      <c r="D256" s="23" t="n"/>
      <c r="E256" s="23" t="n"/>
      <c r="F256" s="23" t="n"/>
      <c r="G256" s="23" t="n"/>
      <c r="H256" s="23" t="n"/>
      <c r="I256" s="23" t="n"/>
      <c r="J256" s="23" t="n"/>
      <c r="K256" s="24" t="n"/>
      <c r="L256" s="23" t="n"/>
      <c r="M256" s="23" t="n"/>
      <c r="N256" s="24" t="n"/>
      <c r="O256" s="23" t="n"/>
      <c r="P256" s="23" t="n"/>
    </row>
    <row r="257">
      <c r="A257" s="23" t="n"/>
      <c r="B257" s="23" t="n"/>
      <c r="C257" s="23" t="n"/>
      <c r="D257" s="23" t="n"/>
      <c r="E257" s="23" t="n"/>
      <c r="F257" s="23" t="n"/>
      <c r="G257" s="23" t="n"/>
      <c r="H257" s="23" t="n"/>
      <c r="I257" s="23" t="n"/>
      <c r="J257" s="23" t="n"/>
      <c r="K257" s="24" t="n"/>
      <c r="L257" s="23" t="n"/>
      <c r="M257" s="23" t="n"/>
      <c r="N257" s="24" t="n"/>
      <c r="O257" s="23" t="n"/>
      <c r="P257" s="23" t="n"/>
    </row>
    <row r="258">
      <c r="A258" s="23" t="n"/>
      <c r="B258" s="23" t="n"/>
      <c r="C258" s="23" t="n"/>
      <c r="D258" s="23" t="n"/>
      <c r="E258" s="23" t="n"/>
      <c r="F258" s="23" t="n"/>
      <c r="G258" s="23" t="n"/>
      <c r="H258" s="23" t="n"/>
      <c r="I258" s="23" t="n"/>
      <c r="J258" s="23" t="n"/>
      <c r="K258" s="24" t="n"/>
      <c r="L258" s="23" t="n"/>
      <c r="M258" s="23" t="n"/>
      <c r="N258" s="24" t="n"/>
      <c r="O258" s="23" t="n"/>
      <c r="P258" s="23" t="n"/>
    </row>
    <row r="259">
      <c r="A259" s="23" t="n"/>
      <c r="B259" s="23" t="n"/>
      <c r="C259" s="23" t="n"/>
      <c r="D259" s="23" t="n"/>
      <c r="E259" s="23" t="n"/>
      <c r="F259" s="23" t="n"/>
      <c r="G259" s="23" t="n"/>
      <c r="H259" s="23" t="n"/>
      <c r="I259" s="23" t="n"/>
      <c r="J259" s="23" t="n"/>
      <c r="K259" s="24" t="n"/>
      <c r="L259" s="23" t="n"/>
      <c r="M259" s="23" t="n"/>
      <c r="N259" s="24" t="n"/>
      <c r="O259" s="23" t="n"/>
      <c r="P259" s="23" t="n"/>
    </row>
    <row r="260">
      <c r="A260" s="23" t="n"/>
      <c r="B260" s="23" t="n"/>
      <c r="C260" s="23" t="n"/>
      <c r="D260" s="23" t="n"/>
      <c r="E260" s="23" t="n"/>
      <c r="F260" s="23" t="n"/>
      <c r="G260" s="23" t="n"/>
      <c r="H260" s="23" t="n"/>
      <c r="I260" s="23" t="n"/>
      <c r="J260" s="23" t="n"/>
      <c r="K260" s="24" t="n"/>
      <c r="L260" s="23" t="n"/>
      <c r="M260" s="23" t="n"/>
      <c r="N260" s="24" t="n"/>
      <c r="O260" s="23" t="n"/>
      <c r="P260" s="23" t="n"/>
    </row>
    <row r="261">
      <c r="A261" s="23" t="n"/>
      <c r="B261" s="23" t="n"/>
      <c r="C261" s="23" t="n"/>
      <c r="D261" s="23" t="n"/>
      <c r="E261" s="23" t="n"/>
      <c r="F261" s="23" t="n"/>
      <c r="G261" s="23" t="n"/>
      <c r="H261" s="23" t="n"/>
      <c r="I261" s="23" t="n"/>
      <c r="J261" s="23" t="n"/>
      <c r="K261" s="24" t="n"/>
      <c r="L261" s="23" t="n"/>
      <c r="M261" s="23" t="n"/>
      <c r="N261" s="24" t="n"/>
      <c r="O261" s="23" t="n"/>
      <c r="P261" s="23" t="n"/>
    </row>
    <row r="262">
      <c r="A262" s="23" t="n"/>
      <c r="B262" s="23" t="n"/>
      <c r="C262" s="23" t="n"/>
      <c r="D262" s="23" t="n"/>
      <c r="E262" s="23" t="n"/>
      <c r="F262" s="23" t="n"/>
      <c r="G262" s="23" t="n"/>
      <c r="H262" s="23" t="n"/>
      <c r="I262" s="23" t="n"/>
      <c r="J262" s="23" t="n"/>
      <c r="K262" s="24" t="n"/>
      <c r="L262" s="23" t="n"/>
      <c r="M262" s="23" t="n"/>
      <c r="N262" s="24" t="n"/>
      <c r="O262" s="23" t="n"/>
      <c r="P262" s="23" t="n"/>
    </row>
    <row r="263">
      <c r="A263" s="23" t="n"/>
      <c r="B263" s="23" t="n"/>
      <c r="C263" s="23" t="n"/>
      <c r="D263" s="23" t="n"/>
      <c r="E263" s="23" t="n"/>
      <c r="F263" s="23" t="n"/>
      <c r="G263" s="23" t="n"/>
      <c r="H263" s="23" t="n"/>
      <c r="I263" s="23" t="n"/>
      <c r="J263" s="23" t="n"/>
      <c r="K263" s="24" t="n"/>
      <c r="L263" s="23" t="n"/>
      <c r="M263" s="23" t="n"/>
      <c r="N263" s="24" t="n"/>
      <c r="O263" s="23" t="n"/>
      <c r="P263" s="23" t="n"/>
    </row>
    <row r="264">
      <c r="A264" s="23" t="n"/>
      <c r="B264" s="23" t="n"/>
      <c r="C264" s="23" t="n"/>
      <c r="D264" s="23" t="n"/>
      <c r="E264" s="23" t="n"/>
      <c r="F264" s="23" t="n"/>
      <c r="G264" s="23" t="n"/>
      <c r="H264" s="23" t="n"/>
      <c r="I264" s="23" t="n"/>
      <c r="J264" s="23" t="n"/>
      <c r="K264" s="24" t="n"/>
      <c r="L264" s="23" t="n"/>
      <c r="M264" s="23" t="n"/>
      <c r="N264" s="24" t="n"/>
      <c r="O264" s="23" t="n"/>
      <c r="P264" s="23" t="n"/>
    </row>
    <row r="265">
      <c r="A265" s="23" t="n"/>
      <c r="B265" s="23" t="n"/>
      <c r="C265" s="23" t="n"/>
      <c r="D265" s="23" t="n"/>
      <c r="E265" s="23" t="n"/>
      <c r="F265" s="23" t="n"/>
      <c r="G265" s="23" t="n"/>
      <c r="H265" s="23" t="n"/>
      <c r="I265" s="23" t="n"/>
      <c r="J265" s="23" t="n"/>
      <c r="K265" s="24" t="n"/>
      <c r="L265" s="23" t="n"/>
      <c r="M265" s="23" t="n"/>
      <c r="N265" s="24" t="n"/>
      <c r="O265" s="23" t="n"/>
      <c r="P265" s="23" t="n"/>
    </row>
    <row r="266">
      <c r="A266" s="23" t="n"/>
      <c r="B266" s="23" t="n"/>
      <c r="C266" s="23" t="n"/>
      <c r="D266" s="23" t="n"/>
      <c r="E266" s="23" t="n"/>
      <c r="F266" s="23" t="n"/>
      <c r="G266" s="23" t="n"/>
      <c r="H266" s="23" t="n"/>
      <c r="I266" s="23" t="n"/>
      <c r="J266" s="23" t="n"/>
      <c r="K266" s="24" t="n"/>
      <c r="L266" s="23" t="n"/>
      <c r="M266" s="23" t="n"/>
      <c r="N266" s="24" t="n"/>
      <c r="O266" s="23" t="n"/>
      <c r="P266" s="23" t="n"/>
    </row>
    <row r="267">
      <c r="A267" s="23" t="n"/>
      <c r="B267" s="23" t="n"/>
      <c r="C267" s="23" t="n"/>
      <c r="D267" s="23" t="n"/>
      <c r="E267" s="23" t="n"/>
      <c r="F267" s="23" t="n"/>
      <c r="G267" s="23" t="n"/>
      <c r="H267" s="23" t="n"/>
      <c r="I267" s="23" t="n"/>
      <c r="J267" s="23" t="n"/>
      <c r="K267" s="24" t="n"/>
      <c r="L267" s="23" t="n"/>
      <c r="M267" s="23" t="n"/>
      <c r="N267" s="24" t="n"/>
      <c r="O267" s="23" t="n"/>
      <c r="P267" s="23" t="n"/>
    </row>
    <row r="268">
      <c r="A268" s="23" t="n"/>
      <c r="B268" s="23" t="n"/>
      <c r="C268" s="23" t="n"/>
      <c r="D268" s="23" t="n"/>
      <c r="E268" s="23" t="n"/>
      <c r="F268" s="23" t="n"/>
      <c r="G268" s="23" t="n"/>
      <c r="H268" s="23" t="n"/>
      <c r="I268" s="23" t="n"/>
      <c r="J268" s="23" t="n"/>
      <c r="K268" s="24" t="n"/>
      <c r="L268" s="23" t="n"/>
      <c r="M268" s="23" t="n"/>
      <c r="N268" s="24" t="n"/>
      <c r="O268" s="23" t="n"/>
      <c r="P268" s="23" t="n"/>
    </row>
    <row r="269">
      <c r="A269" s="23" t="n"/>
      <c r="B269" s="23" t="n"/>
      <c r="C269" s="23" t="n"/>
      <c r="D269" s="23" t="n"/>
      <c r="E269" s="23" t="n"/>
      <c r="F269" s="23" t="n"/>
      <c r="G269" s="23" t="n"/>
      <c r="H269" s="23" t="n"/>
      <c r="I269" s="23" t="n"/>
      <c r="J269" s="23" t="n"/>
      <c r="K269" s="24" t="n"/>
      <c r="L269" s="23" t="n"/>
      <c r="M269" s="23" t="n"/>
      <c r="N269" s="24" t="n"/>
      <c r="O269" s="23" t="n"/>
      <c r="P269" s="23" t="n"/>
    </row>
    <row r="270">
      <c r="A270" s="23" t="n"/>
      <c r="B270" s="23" t="n"/>
      <c r="C270" s="23" t="n"/>
      <c r="D270" s="23" t="n"/>
      <c r="E270" s="23" t="n"/>
      <c r="F270" s="23" t="n"/>
      <c r="G270" s="23" t="n"/>
      <c r="H270" s="23" t="n"/>
      <c r="I270" s="23" t="n"/>
      <c r="J270" s="23" t="n"/>
      <c r="K270" s="24" t="n"/>
      <c r="L270" s="23" t="n"/>
      <c r="M270" s="23" t="n"/>
      <c r="N270" s="24" t="n"/>
      <c r="O270" s="23" t="n"/>
      <c r="P270" s="23" t="n"/>
    </row>
    <row r="271">
      <c r="A271" s="23" t="n"/>
      <c r="B271" s="23" t="n"/>
      <c r="C271" s="23" t="n"/>
      <c r="D271" s="23" t="n"/>
      <c r="E271" s="23" t="n"/>
      <c r="F271" s="23" t="n"/>
      <c r="G271" s="23" t="n"/>
      <c r="H271" s="23" t="n"/>
      <c r="I271" s="23" t="n"/>
      <c r="J271" s="23" t="n"/>
      <c r="K271" s="24" t="n"/>
      <c r="L271" s="23" t="n"/>
      <c r="M271" s="23" t="n"/>
      <c r="N271" s="24" t="n"/>
      <c r="O271" s="23" t="n"/>
      <c r="P271" s="23" t="n"/>
    </row>
    <row r="272">
      <c r="A272" s="23" t="n"/>
      <c r="B272" s="23" t="n"/>
      <c r="C272" s="23" t="n"/>
      <c r="D272" s="23" t="n"/>
      <c r="E272" s="23" t="n"/>
      <c r="F272" s="23" t="n"/>
      <c r="G272" s="23" t="n"/>
      <c r="H272" s="23" t="n"/>
      <c r="I272" s="23" t="n"/>
      <c r="J272" s="23" t="n"/>
      <c r="K272" s="24" t="n"/>
      <c r="L272" s="23" t="n"/>
      <c r="M272" s="23" t="n"/>
      <c r="N272" s="24" t="n"/>
      <c r="O272" s="23" t="n"/>
      <c r="P272" s="23" t="n"/>
    </row>
    <row r="273">
      <c r="A273" s="23" t="n"/>
      <c r="B273" s="23" t="n"/>
      <c r="C273" s="23" t="n"/>
      <c r="D273" s="23" t="n"/>
      <c r="E273" s="23" t="n"/>
      <c r="F273" s="23" t="n"/>
      <c r="G273" s="23" t="n"/>
      <c r="H273" s="23" t="n"/>
      <c r="I273" s="23" t="n"/>
      <c r="J273" s="23" t="n"/>
      <c r="K273" s="24" t="n"/>
      <c r="L273" s="23" t="n"/>
      <c r="M273" s="23" t="n"/>
      <c r="N273" s="24" t="n"/>
      <c r="O273" s="23" t="n"/>
      <c r="P273" s="23" t="n"/>
    </row>
    <row r="274">
      <c r="A274" s="23" t="n"/>
      <c r="B274" s="23" t="n"/>
      <c r="C274" s="23" t="n"/>
      <c r="D274" s="23" t="n"/>
      <c r="E274" s="23" t="n"/>
      <c r="F274" s="23" t="n"/>
      <c r="G274" s="23" t="n"/>
      <c r="H274" s="23" t="n"/>
      <c r="I274" s="23" t="n"/>
      <c r="J274" s="23" t="n"/>
      <c r="K274" s="24" t="n"/>
      <c r="L274" s="23" t="n"/>
      <c r="M274" s="23" t="n"/>
      <c r="N274" s="24" t="n"/>
      <c r="O274" s="23" t="n"/>
      <c r="P274" s="23" t="n"/>
    </row>
    <row r="275">
      <c r="A275" s="23" t="n"/>
      <c r="B275" s="23" t="n"/>
      <c r="C275" s="23" t="n"/>
      <c r="D275" s="23" t="n"/>
      <c r="E275" s="23" t="n"/>
      <c r="F275" s="23" t="n"/>
      <c r="G275" s="23" t="n"/>
      <c r="H275" s="23" t="n"/>
      <c r="I275" s="23" t="n"/>
      <c r="J275" s="23" t="n"/>
      <c r="K275" s="24" t="n"/>
      <c r="L275" s="23" t="n"/>
      <c r="M275" s="23" t="n"/>
      <c r="N275" s="24" t="n"/>
      <c r="O275" s="23" t="n"/>
      <c r="P275" s="23" t="n"/>
    </row>
    <row r="276">
      <c r="A276" s="23" t="n"/>
      <c r="B276" s="23" t="n"/>
      <c r="C276" s="23" t="n"/>
      <c r="D276" s="23" t="n"/>
      <c r="E276" s="23" t="n"/>
      <c r="F276" s="23" t="n"/>
      <c r="G276" s="23" t="n"/>
      <c r="H276" s="23" t="n"/>
      <c r="I276" s="23" t="n"/>
      <c r="J276" s="23" t="n"/>
      <c r="K276" s="24" t="n"/>
      <c r="L276" s="23" t="n"/>
      <c r="M276" s="23" t="n"/>
      <c r="N276" s="24" t="n"/>
      <c r="O276" s="23" t="n"/>
      <c r="P276" s="23" t="n"/>
    </row>
    <row r="277">
      <c r="A277" s="23" t="n"/>
      <c r="B277" s="23" t="n"/>
      <c r="C277" s="23" t="n"/>
      <c r="D277" s="23" t="n"/>
      <c r="E277" s="23" t="n"/>
      <c r="F277" s="23" t="n"/>
      <c r="G277" s="23" t="n"/>
      <c r="H277" s="23" t="n"/>
      <c r="I277" s="23" t="n"/>
      <c r="J277" s="23" t="n"/>
      <c r="K277" s="24" t="n"/>
      <c r="L277" s="23" t="n"/>
      <c r="M277" s="23" t="n"/>
      <c r="N277" s="24" t="n"/>
      <c r="O277" s="23" t="n"/>
      <c r="P277" s="23" t="n"/>
    </row>
    <row r="278">
      <c r="A278" s="23" t="n"/>
      <c r="B278" s="23" t="n"/>
      <c r="C278" s="23" t="n"/>
      <c r="D278" s="23" t="n"/>
      <c r="E278" s="23" t="n"/>
      <c r="F278" s="23" t="n"/>
      <c r="G278" s="23" t="n"/>
      <c r="H278" s="23" t="n"/>
      <c r="I278" s="23" t="n"/>
      <c r="J278" s="23" t="n"/>
      <c r="K278" s="24" t="n"/>
      <c r="L278" s="23" t="n"/>
      <c r="M278" s="23" t="n"/>
      <c r="N278" s="24" t="n"/>
      <c r="O278" s="23" t="n"/>
      <c r="P278" s="23" t="n"/>
    </row>
    <row r="279">
      <c r="A279" s="23" t="n"/>
      <c r="B279" s="23" t="n"/>
      <c r="C279" s="23" t="n"/>
      <c r="D279" s="23" t="n"/>
      <c r="E279" s="23" t="n"/>
      <c r="F279" s="23" t="n"/>
      <c r="G279" s="23" t="n"/>
      <c r="H279" s="23" t="n"/>
      <c r="I279" s="23" t="n"/>
      <c r="J279" s="23" t="n"/>
      <c r="K279" s="24" t="n"/>
      <c r="L279" s="23" t="n"/>
      <c r="M279" s="23" t="n"/>
      <c r="N279" s="24" t="n"/>
      <c r="O279" s="23" t="n"/>
      <c r="P279" s="23" t="n"/>
    </row>
    <row r="280">
      <c r="A280" s="23" t="n"/>
      <c r="B280" s="23" t="n"/>
      <c r="C280" s="23" t="n"/>
      <c r="D280" s="23" t="n"/>
      <c r="E280" s="23" t="n"/>
      <c r="F280" s="23" t="n"/>
      <c r="G280" s="23" t="n"/>
      <c r="H280" s="23" t="n"/>
      <c r="I280" s="23" t="n"/>
      <c r="J280" s="23" t="n"/>
      <c r="K280" s="24" t="n"/>
      <c r="L280" s="23" t="n"/>
      <c r="M280" s="23" t="n"/>
      <c r="N280" s="24" t="n"/>
      <c r="O280" s="23" t="n"/>
      <c r="P280" s="23" t="n"/>
    </row>
    <row r="281">
      <c r="A281" s="23" t="n"/>
      <c r="B281" s="23" t="n"/>
      <c r="C281" s="23" t="n"/>
      <c r="D281" s="23" t="n"/>
      <c r="E281" s="23" t="n"/>
      <c r="F281" s="23" t="n"/>
      <c r="G281" s="23" t="n"/>
      <c r="H281" s="23" t="n"/>
      <c r="I281" s="23" t="n"/>
      <c r="J281" s="23" t="n"/>
      <c r="K281" s="24" t="n"/>
      <c r="L281" s="23" t="n"/>
      <c r="M281" s="23" t="n"/>
      <c r="N281" s="24" t="n"/>
      <c r="O281" s="23" t="n"/>
      <c r="P281" s="23" t="n"/>
    </row>
    <row r="282">
      <c r="A282" s="23" t="n"/>
      <c r="B282" s="23" t="n"/>
      <c r="C282" s="23" t="n"/>
      <c r="D282" s="23" t="n"/>
      <c r="E282" s="23" t="n"/>
      <c r="F282" s="23" t="n"/>
      <c r="G282" s="23" t="n"/>
      <c r="H282" s="23" t="n"/>
      <c r="I282" s="23" t="n"/>
      <c r="J282" s="23" t="n"/>
      <c r="K282" s="24" t="n"/>
      <c r="L282" s="23" t="n"/>
      <c r="M282" s="23" t="n"/>
      <c r="N282" s="24" t="n"/>
      <c r="O282" s="23" t="n"/>
      <c r="P282" s="23" t="n"/>
    </row>
    <row r="283">
      <c r="A283" s="23" t="n"/>
      <c r="B283" s="23" t="n"/>
      <c r="C283" s="23" t="n"/>
      <c r="D283" s="23" t="n"/>
      <c r="E283" s="23" t="n"/>
      <c r="F283" s="23" t="n"/>
      <c r="G283" s="23" t="n"/>
      <c r="H283" s="23" t="n"/>
      <c r="I283" s="23" t="n"/>
      <c r="J283" s="23" t="n"/>
      <c r="K283" s="24" t="n"/>
      <c r="L283" s="23" t="n"/>
      <c r="M283" s="23" t="n"/>
      <c r="N283" s="24" t="n"/>
      <c r="O283" s="23" t="n"/>
      <c r="P283" s="23" t="n"/>
    </row>
    <row r="284">
      <c r="A284" s="23" t="n"/>
      <c r="B284" s="23" t="n"/>
      <c r="C284" s="23" t="n"/>
      <c r="D284" s="23" t="n"/>
      <c r="E284" s="23" t="n"/>
      <c r="F284" s="23" t="n"/>
      <c r="G284" s="23" t="n"/>
      <c r="H284" s="23" t="n"/>
      <c r="I284" s="23" t="n"/>
      <c r="J284" s="23" t="n"/>
      <c r="K284" s="24" t="n"/>
      <c r="L284" s="23" t="n"/>
      <c r="M284" s="23" t="n"/>
      <c r="N284" s="24" t="n"/>
      <c r="O284" s="23" t="n"/>
      <c r="P284" s="23" t="n"/>
    </row>
    <row r="285">
      <c r="A285" s="23" t="n"/>
      <c r="B285" s="23" t="n"/>
      <c r="C285" s="23" t="n"/>
      <c r="D285" s="23" t="n"/>
      <c r="E285" s="23" t="n"/>
      <c r="F285" s="23" t="n"/>
      <c r="G285" s="23" t="n"/>
      <c r="H285" s="23" t="n"/>
      <c r="I285" s="23" t="n"/>
      <c r="J285" s="23" t="n"/>
      <c r="K285" s="24" t="n"/>
      <c r="L285" s="23" t="n"/>
      <c r="M285" s="23" t="n"/>
      <c r="N285" s="24" t="n"/>
      <c r="O285" s="23" t="n"/>
      <c r="P285" s="23" t="n"/>
    </row>
    <row r="286">
      <c r="A286" s="23" t="n"/>
      <c r="B286" s="23" t="n"/>
      <c r="C286" s="23" t="n"/>
      <c r="D286" s="23" t="n"/>
      <c r="E286" s="23" t="n"/>
      <c r="F286" s="23" t="n"/>
      <c r="G286" s="23" t="n"/>
      <c r="H286" s="23" t="n"/>
      <c r="I286" s="23" t="n"/>
      <c r="J286" s="23" t="n"/>
      <c r="K286" s="24" t="n"/>
      <c r="L286" s="23" t="n"/>
      <c r="M286" s="23" t="n"/>
      <c r="N286" s="24" t="n"/>
      <c r="O286" s="23" t="n"/>
      <c r="P286" s="23" t="n"/>
    </row>
    <row r="287">
      <c r="A287" s="23" t="n"/>
      <c r="B287" s="23" t="n"/>
      <c r="C287" s="23" t="n"/>
      <c r="D287" s="23" t="n"/>
      <c r="E287" s="23" t="n"/>
      <c r="F287" s="23" t="n"/>
      <c r="G287" s="23" t="n"/>
      <c r="H287" s="23" t="n"/>
      <c r="I287" s="23" t="n"/>
      <c r="J287" s="23" t="n"/>
      <c r="K287" s="24" t="n"/>
      <c r="L287" s="23" t="n"/>
      <c r="M287" s="23" t="n"/>
      <c r="N287" s="24" t="n"/>
      <c r="O287" s="23" t="n"/>
      <c r="P287" s="23" t="n"/>
    </row>
    <row r="288">
      <c r="A288" s="23" t="n"/>
      <c r="B288" s="23" t="n"/>
      <c r="C288" s="23" t="n"/>
      <c r="D288" s="23" t="n"/>
      <c r="E288" s="23" t="n"/>
      <c r="F288" s="23" t="n"/>
      <c r="G288" s="23" t="n"/>
      <c r="H288" s="23" t="n"/>
      <c r="I288" s="23" t="n"/>
      <c r="J288" s="23" t="n"/>
      <c r="K288" s="24" t="n"/>
      <c r="L288" s="23" t="n"/>
      <c r="M288" s="23" t="n"/>
      <c r="N288" s="24" t="n"/>
      <c r="O288" s="23" t="n"/>
      <c r="P288" s="23" t="n"/>
    </row>
    <row r="289">
      <c r="A289" s="23" t="n"/>
      <c r="B289" s="23" t="n"/>
      <c r="C289" s="23" t="n"/>
      <c r="D289" s="23" t="n"/>
      <c r="E289" s="23" t="n"/>
      <c r="F289" s="23" t="n"/>
      <c r="G289" s="23" t="n"/>
      <c r="H289" s="23" t="n"/>
      <c r="I289" s="23" t="n"/>
      <c r="J289" s="23" t="n"/>
      <c r="K289" s="24" t="n"/>
      <c r="L289" s="23" t="n"/>
      <c r="M289" s="23" t="n"/>
      <c r="N289" s="24" t="n"/>
      <c r="O289" s="23" t="n"/>
      <c r="P289" s="23" t="n"/>
    </row>
    <row r="290">
      <c r="A290" s="23" t="n"/>
      <c r="B290" s="23" t="n"/>
      <c r="C290" s="23" t="n"/>
      <c r="D290" s="23" t="n"/>
      <c r="E290" s="23" t="n"/>
      <c r="F290" s="23" t="n"/>
      <c r="G290" s="23" t="n"/>
      <c r="H290" s="23" t="n"/>
      <c r="I290" s="23" t="n"/>
      <c r="J290" s="23" t="n"/>
      <c r="K290" s="24" t="n"/>
      <c r="L290" s="23" t="n"/>
      <c r="M290" s="23" t="n"/>
      <c r="N290" s="24" t="n"/>
      <c r="O290" s="23" t="n"/>
      <c r="P290" s="23" t="n"/>
    </row>
    <row r="291">
      <c r="A291" s="23" t="n"/>
      <c r="B291" s="23" t="n"/>
      <c r="C291" s="23" t="n"/>
      <c r="D291" s="23" t="n"/>
      <c r="E291" s="23" t="n"/>
      <c r="F291" s="23" t="n"/>
      <c r="G291" s="23" t="n"/>
      <c r="H291" s="23" t="n"/>
      <c r="I291" s="23" t="n"/>
      <c r="J291" s="23" t="n"/>
      <c r="K291" s="24" t="n"/>
      <c r="L291" s="23" t="n"/>
      <c r="M291" s="23" t="n"/>
      <c r="N291" s="24" t="n"/>
      <c r="O291" s="23" t="n"/>
      <c r="P291" s="23" t="n"/>
    </row>
    <row r="292">
      <c r="A292" s="23" t="n"/>
      <c r="B292" s="23" t="n"/>
      <c r="C292" s="23" t="n"/>
      <c r="D292" s="23" t="n"/>
      <c r="E292" s="23" t="n"/>
      <c r="F292" s="23" t="n"/>
      <c r="G292" s="23" t="n"/>
      <c r="H292" s="23" t="n"/>
      <c r="I292" s="23" t="n"/>
      <c r="J292" s="23" t="n"/>
      <c r="K292" s="24" t="n"/>
      <c r="L292" s="23" t="n"/>
      <c r="M292" s="23" t="n"/>
      <c r="N292" s="24" t="n"/>
      <c r="O292" s="23" t="n"/>
      <c r="P292" s="23" t="n"/>
    </row>
    <row r="293">
      <c r="A293" s="23" t="n"/>
      <c r="B293" s="23" t="n"/>
      <c r="C293" s="23" t="n"/>
      <c r="D293" s="23" t="n"/>
      <c r="E293" s="23" t="n"/>
      <c r="F293" s="23" t="n"/>
      <c r="G293" s="23" t="n"/>
      <c r="H293" s="23" t="n"/>
      <c r="I293" s="23" t="n"/>
      <c r="J293" s="23" t="n"/>
      <c r="K293" s="24" t="n"/>
      <c r="L293" s="23" t="n"/>
      <c r="M293" s="23" t="n"/>
      <c r="N293" s="24" t="n"/>
      <c r="O293" s="23" t="n"/>
      <c r="P293" s="23" t="n"/>
    </row>
    <row r="294">
      <c r="A294" s="23" t="n"/>
      <c r="B294" s="23" t="n"/>
      <c r="C294" s="23" t="n"/>
      <c r="D294" s="23" t="n"/>
      <c r="E294" s="23" t="n"/>
      <c r="F294" s="23" t="n"/>
      <c r="G294" s="23" t="n"/>
      <c r="H294" s="23" t="n"/>
      <c r="I294" s="23" t="n"/>
      <c r="J294" s="23" t="n"/>
      <c r="K294" s="24" t="n"/>
      <c r="L294" s="23" t="n"/>
      <c r="M294" s="23" t="n"/>
      <c r="N294" s="24" t="n"/>
      <c r="O294" s="23" t="n"/>
      <c r="P294" s="23" t="n"/>
    </row>
    <row r="295">
      <c r="A295" s="23" t="n"/>
      <c r="B295" s="23" t="n"/>
      <c r="C295" s="23" t="n"/>
      <c r="D295" s="23" t="n"/>
      <c r="E295" s="23" t="n"/>
      <c r="F295" s="23" t="n"/>
      <c r="G295" s="23" t="n"/>
      <c r="H295" s="23" t="n"/>
      <c r="I295" s="23" t="n"/>
      <c r="J295" s="23" t="n"/>
      <c r="K295" s="24" t="n"/>
      <c r="L295" s="23" t="n"/>
      <c r="M295" s="23" t="n"/>
      <c r="N295" s="24" t="n"/>
      <c r="O295" s="23" t="n"/>
      <c r="P295" s="23" t="n"/>
    </row>
    <row r="296">
      <c r="A296" s="23" t="n"/>
      <c r="B296" s="23" t="n"/>
      <c r="C296" s="23" t="n"/>
      <c r="D296" s="23" t="n"/>
      <c r="E296" s="23" t="n"/>
      <c r="F296" s="23" t="n"/>
      <c r="G296" s="23" t="n"/>
      <c r="H296" s="23" t="n"/>
      <c r="I296" s="23" t="n"/>
      <c r="J296" s="23" t="n"/>
      <c r="K296" s="24" t="n"/>
      <c r="L296" s="23" t="n"/>
      <c r="M296" s="23" t="n"/>
      <c r="N296" s="24" t="n"/>
      <c r="O296" s="23" t="n"/>
      <c r="P296" s="23" t="n"/>
    </row>
    <row r="297">
      <c r="A297" s="23" t="n"/>
      <c r="B297" s="23" t="n"/>
      <c r="C297" s="23" t="n"/>
      <c r="D297" s="23" t="n"/>
      <c r="E297" s="23" t="n"/>
      <c r="F297" s="23" t="n"/>
      <c r="G297" s="23" t="n"/>
      <c r="H297" s="23" t="n"/>
      <c r="I297" s="23" t="n"/>
      <c r="J297" s="23" t="n"/>
      <c r="K297" s="24" t="n"/>
      <c r="L297" s="23" t="n"/>
      <c r="M297" s="23" t="n"/>
      <c r="N297" s="24" t="n"/>
      <c r="O297" s="23" t="n"/>
      <c r="P297" s="23" t="n"/>
    </row>
    <row r="298">
      <c r="A298" s="23" t="n"/>
      <c r="B298" s="23" t="n"/>
      <c r="C298" s="23" t="n"/>
      <c r="D298" s="23" t="n"/>
      <c r="E298" s="23" t="n"/>
      <c r="F298" s="23" t="n"/>
      <c r="G298" s="23" t="n"/>
      <c r="H298" s="23" t="n"/>
      <c r="I298" s="23" t="n"/>
      <c r="J298" s="23" t="n"/>
      <c r="K298" s="24" t="n"/>
      <c r="L298" s="23" t="n"/>
      <c r="M298" s="23" t="n"/>
      <c r="N298" s="24" t="n"/>
      <c r="O298" s="23" t="n"/>
      <c r="P298" s="23" t="n"/>
    </row>
    <row r="299">
      <c r="A299" s="23" t="n"/>
      <c r="B299" s="23" t="n"/>
      <c r="C299" s="23" t="n"/>
      <c r="D299" s="23" t="n"/>
      <c r="E299" s="23" t="n"/>
      <c r="F299" s="23" t="n"/>
      <c r="G299" s="23" t="n"/>
      <c r="H299" s="23" t="n"/>
      <c r="I299" s="23" t="n"/>
      <c r="J299" s="23" t="n"/>
      <c r="K299" s="24" t="n"/>
      <c r="L299" s="23" t="n"/>
      <c r="M299" s="23" t="n"/>
      <c r="N299" s="24" t="n"/>
      <c r="O299" s="23" t="n"/>
      <c r="P299" s="23" t="n"/>
    </row>
    <row r="300">
      <c r="A300" s="23" t="n"/>
      <c r="B300" s="23" t="n"/>
      <c r="C300" s="23" t="n"/>
      <c r="D300" s="23" t="n"/>
      <c r="E300" s="23" t="n"/>
      <c r="F300" s="23" t="n"/>
      <c r="G300" s="23" t="n"/>
      <c r="H300" s="23" t="n"/>
      <c r="I300" s="23" t="n"/>
      <c r="J300" s="23" t="n"/>
      <c r="K300" s="24" t="n"/>
      <c r="L300" s="23" t="n"/>
      <c r="M300" s="23" t="n"/>
      <c r="N300" s="24" t="n"/>
      <c r="O300" s="23" t="n"/>
      <c r="P300" s="23" t="n"/>
    </row>
    <row r="301">
      <c r="A301" s="23" t="n"/>
      <c r="B301" s="23" t="n"/>
      <c r="C301" s="23" t="n"/>
      <c r="D301" s="23" t="n"/>
      <c r="E301" s="23" t="n"/>
      <c r="F301" s="23" t="n"/>
      <c r="G301" s="23" t="n"/>
      <c r="H301" s="23" t="n"/>
      <c r="I301" s="23" t="n"/>
      <c r="J301" s="23" t="n"/>
      <c r="K301" s="24" t="n"/>
      <c r="L301" s="23" t="n"/>
      <c r="M301" s="23" t="n"/>
      <c r="N301" s="24" t="n"/>
      <c r="O301" s="23" t="n"/>
      <c r="P301" s="23" t="n"/>
    </row>
    <row r="302">
      <c r="A302" s="23" t="n"/>
      <c r="B302" s="23" t="n"/>
      <c r="C302" s="23" t="n"/>
      <c r="D302" s="23" t="n"/>
      <c r="E302" s="23" t="n"/>
      <c r="F302" s="23" t="n"/>
      <c r="G302" s="23" t="n"/>
      <c r="H302" s="23" t="n"/>
      <c r="I302" s="23" t="n"/>
      <c r="J302" s="23" t="n"/>
      <c r="K302" s="24" t="n"/>
      <c r="L302" s="23" t="n"/>
      <c r="M302" s="23" t="n"/>
      <c r="N302" s="24" t="n"/>
      <c r="O302" s="23" t="n"/>
      <c r="P302" s="23" t="n"/>
    </row>
    <row r="303">
      <c r="A303" s="23" t="n"/>
      <c r="B303" s="23" t="n"/>
      <c r="C303" s="23" t="n"/>
      <c r="D303" s="23" t="n"/>
      <c r="E303" s="23" t="n"/>
      <c r="F303" s="23" t="n"/>
      <c r="G303" s="23" t="n"/>
      <c r="H303" s="23" t="n"/>
      <c r="I303" s="23" t="n"/>
      <c r="J303" s="23" t="n"/>
      <c r="K303" s="24" t="n"/>
      <c r="L303" s="23" t="n"/>
      <c r="M303" s="23" t="n"/>
      <c r="N303" s="24" t="n"/>
      <c r="O303" s="23" t="n"/>
      <c r="P303" s="23" t="n"/>
    </row>
    <row r="304">
      <c r="A304" s="23" t="n"/>
      <c r="B304" s="23" t="n"/>
      <c r="C304" s="23" t="n"/>
      <c r="D304" s="23" t="n"/>
      <c r="E304" s="23" t="n"/>
      <c r="F304" s="23" t="n"/>
      <c r="G304" s="23" t="n"/>
      <c r="H304" s="23" t="n"/>
      <c r="I304" s="23" t="n"/>
      <c r="J304" s="23" t="n"/>
      <c r="K304" s="24" t="n"/>
      <c r="L304" s="23" t="n"/>
      <c r="M304" s="23" t="n"/>
      <c r="N304" s="24" t="n"/>
      <c r="O304" s="23" t="n"/>
      <c r="P304" s="23" t="n"/>
    </row>
    <row r="305">
      <c r="A305" s="23" t="n"/>
      <c r="B305" s="23" t="n"/>
      <c r="C305" s="23" t="n"/>
      <c r="D305" s="23" t="n"/>
      <c r="E305" s="23" t="n"/>
      <c r="F305" s="23" t="n"/>
      <c r="G305" s="23" t="n"/>
      <c r="H305" s="23" t="n"/>
      <c r="I305" s="23" t="n"/>
      <c r="J305" s="23" t="n"/>
      <c r="K305" s="24" t="n"/>
      <c r="L305" s="23" t="n"/>
      <c r="M305" s="23" t="n"/>
      <c r="N305" s="24" t="n"/>
      <c r="O305" s="23" t="n"/>
      <c r="P305" s="23" t="n"/>
    </row>
    <row r="306">
      <c r="A306" s="23" t="n"/>
      <c r="B306" s="23" t="n"/>
      <c r="C306" s="23" t="n"/>
      <c r="D306" s="23" t="n"/>
      <c r="E306" s="23" t="n"/>
      <c r="F306" s="23" t="n"/>
      <c r="G306" s="23" t="n"/>
      <c r="H306" s="23" t="n"/>
      <c r="I306" s="23" t="n"/>
      <c r="J306" s="23" t="n"/>
      <c r="K306" s="24" t="n"/>
      <c r="L306" s="23" t="n"/>
      <c r="M306" s="23" t="n"/>
      <c r="N306" s="24" t="n"/>
      <c r="O306" s="23" t="n"/>
      <c r="P306" s="23" t="n"/>
    </row>
    <row r="307">
      <c r="A307" s="23" t="n"/>
      <c r="B307" s="23" t="n"/>
      <c r="C307" s="23" t="n"/>
      <c r="D307" s="23" t="n"/>
      <c r="E307" s="23" t="n"/>
      <c r="F307" s="23" t="n"/>
      <c r="G307" s="23" t="n"/>
      <c r="H307" s="23" t="n"/>
      <c r="I307" s="23" t="n"/>
      <c r="J307" s="23" t="n"/>
      <c r="K307" s="24" t="n"/>
      <c r="L307" s="23" t="n"/>
      <c r="M307" s="23" t="n"/>
      <c r="N307" s="24" t="n"/>
      <c r="O307" s="23" t="n"/>
      <c r="P307" s="23" t="n"/>
    </row>
    <row r="308">
      <c r="A308" s="23" t="n"/>
      <c r="B308" s="23" t="n"/>
      <c r="C308" s="23" t="n"/>
      <c r="D308" s="23" t="n"/>
      <c r="E308" s="23" t="n"/>
      <c r="F308" s="23" t="n"/>
      <c r="G308" s="23" t="n"/>
      <c r="H308" s="23" t="n"/>
      <c r="I308" s="23" t="n"/>
      <c r="J308" s="23" t="n"/>
      <c r="K308" s="24" t="n"/>
      <c r="L308" s="23" t="n"/>
      <c r="M308" s="23" t="n"/>
      <c r="N308" s="24" t="n"/>
      <c r="O308" s="23" t="n"/>
      <c r="P308" s="23" t="n"/>
    </row>
    <row r="309">
      <c r="A309" s="23" t="n"/>
      <c r="B309" s="23" t="n"/>
      <c r="C309" s="23" t="n"/>
      <c r="D309" s="23" t="n"/>
      <c r="E309" s="23" t="n"/>
      <c r="F309" s="23" t="n"/>
      <c r="G309" s="23" t="n"/>
      <c r="H309" s="23" t="n"/>
      <c r="I309" s="23" t="n"/>
      <c r="J309" s="23" t="n"/>
      <c r="K309" s="24" t="n"/>
      <c r="L309" s="23" t="n"/>
      <c r="M309" s="23" t="n"/>
      <c r="N309" s="24" t="n"/>
      <c r="O309" s="23" t="n"/>
      <c r="P309" s="23" t="n"/>
    </row>
    <row r="310">
      <c r="A310" s="23" t="n"/>
      <c r="B310" s="23" t="n"/>
      <c r="C310" s="23" t="n"/>
      <c r="D310" s="23" t="n"/>
      <c r="E310" s="23" t="n"/>
      <c r="F310" s="23" t="n"/>
      <c r="G310" s="23" t="n"/>
      <c r="H310" s="23" t="n"/>
      <c r="I310" s="23" t="n"/>
      <c r="J310" s="23" t="n"/>
      <c r="K310" s="24" t="n"/>
      <c r="L310" s="23" t="n"/>
      <c r="M310" s="23" t="n"/>
      <c r="N310" s="24" t="n"/>
      <c r="O310" s="23" t="n"/>
      <c r="P310" s="23" t="n"/>
    </row>
    <row r="311">
      <c r="A311" s="23" t="n"/>
      <c r="B311" s="23" t="n"/>
      <c r="C311" s="23" t="n"/>
      <c r="D311" s="23" t="n"/>
      <c r="E311" s="23" t="n"/>
      <c r="F311" s="23" t="n"/>
      <c r="G311" s="23" t="n"/>
      <c r="H311" s="23" t="n"/>
      <c r="I311" s="23" t="n"/>
      <c r="J311" s="23" t="n"/>
      <c r="K311" s="24" t="n"/>
      <c r="L311" s="23" t="n"/>
      <c r="M311" s="23" t="n"/>
      <c r="N311" s="24" t="n"/>
      <c r="O311" s="23" t="n"/>
      <c r="P311" s="23" t="n"/>
    </row>
    <row r="312">
      <c r="A312" s="23" t="n"/>
      <c r="B312" s="23" t="n"/>
      <c r="C312" s="23" t="n"/>
      <c r="D312" s="23" t="n"/>
      <c r="E312" s="23" t="n"/>
      <c r="F312" s="23" t="n"/>
      <c r="G312" s="23" t="n"/>
      <c r="H312" s="23" t="n"/>
      <c r="I312" s="23" t="n"/>
      <c r="J312" s="23" t="n"/>
      <c r="K312" s="24" t="n"/>
      <c r="L312" s="23" t="n"/>
      <c r="M312" s="23" t="n"/>
      <c r="N312" s="24" t="n"/>
      <c r="O312" s="23" t="n"/>
      <c r="P312" s="23" t="n"/>
    </row>
    <row r="313">
      <c r="A313" s="23" t="n"/>
      <c r="B313" s="23" t="n"/>
      <c r="C313" s="23" t="n"/>
      <c r="D313" s="23" t="n"/>
      <c r="E313" s="23" t="n"/>
      <c r="F313" s="23" t="n"/>
      <c r="G313" s="23" t="n"/>
      <c r="H313" s="23" t="n"/>
      <c r="I313" s="23" t="n"/>
      <c r="J313" s="23" t="n"/>
      <c r="K313" s="24" t="n"/>
      <c r="L313" s="23" t="n"/>
      <c r="M313" s="23" t="n"/>
      <c r="N313" s="24" t="n"/>
      <c r="O313" s="23" t="n"/>
      <c r="P313" s="23" t="n"/>
    </row>
    <row r="314">
      <c r="A314" s="23" t="n"/>
      <c r="B314" s="23" t="n"/>
      <c r="C314" s="23" t="n"/>
      <c r="D314" s="23" t="n"/>
      <c r="E314" s="23" t="n"/>
      <c r="F314" s="23" t="n"/>
      <c r="G314" s="23" t="n"/>
      <c r="H314" s="23" t="n"/>
      <c r="I314" s="23" t="n"/>
      <c r="J314" s="23" t="n"/>
      <c r="K314" s="24" t="n"/>
      <c r="L314" s="23" t="n"/>
      <c r="M314" s="23" t="n"/>
      <c r="N314" s="24" t="n"/>
      <c r="O314" s="23" t="n"/>
      <c r="P314" s="23" t="n"/>
    </row>
    <row r="315">
      <c r="A315" s="23" t="n"/>
      <c r="B315" s="23" t="n"/>
      <c r="C315" s="23" t="n"/>
      <c r="D315" s="23" t="n"/>
      <c r="E315" s="23" t="n"/>
      <c r="F315" s="23" t="n"/>
      <c r="G315" s="23" t="n"/>
      <c r="H315" s="23" t="n"/>
      <c r="I315" s="23" t="n"/>
      <c r="J315" s="23" t="n"/>
      <c r="K315" s="24" t="n"/>
      <c r="L315" s="23" t="n"/>
      <c r="M315" s="23" t="n"/>
      <c r="N315" s="24" t="n"/>
      <c r="O315" s="23" t="n"/>
      <c r="P315" s="23" t="n"/>
    </row>
    <row r="316">
      <c r="A316" s="23" t="n"/>
      <c r="B316" s="23" t="n"/>
      <c r="C316" s="23" t="n"/>
      <c r="D316" s="23" t="n"/>
      <c r="E316" s="23" t="n"/>
      <c r="F316" s="23" t="n"/>
      <c r="G316" s="23" t="n"/>
      <c r="H316" s="23" t="n"/>
      <c r="I316" s="23" t="n"/>
      <c r="J316" s="23" t="n"/>
      <c r="K316" s="24" t="n"/>
      <c r="L316" s="23" t="n"/>
      <c r="M316" s="23" t="n"/>
      <c r="N316" s="24" t="n"/>
      <c r="O316" s="23" t="n"/>
      <c r="P316" s="23" t="n"/>
    </row>
    <row r="317">
      <c r="A317" s="23" t="n"/>
      <c r="B317" s="23" t="n"/>
      <c r="C317" s="23" t="n"/>
      <c r="D317" s="23" t="n"/>
      <c r="E317" s="23" t="n"/>
      <c r="F317" s="23" t="n"/>
      <c r="G317" s="23" t="n"/>
      <c r="H317" s="23" t="n"/>
      <c r="I317" s="23" t="n"/>
      <c r="J317" s="23" t="n"/>
      <c r="K317" s="24" t="n"/>
      <c r="L317" s="23" t="n"/>
      <c r="M317" s="23" t="n"/>
      <c r="N317" s="24" t="n"/>
      <c r="O317" s="23" t="n"/>
      <c r="P317" s="23" t="n"/>
    </row>
    <row r="318">
      <c r="A318" s="23" t="n"/>
      <c r="B318" s="23" t="n"/>
      <c r="C318" s="23" t="n"/>
      <c r="D318" s="23" t="n"/>
      <c r="E318" s="23" t="n"/>
      <c r="F318" s="23" t="n"/>
      <c r="G318" s="23" t="n"/>
      <c r="H318" s="23" t="n"/>
      <c r="I318" s="23" t="n"/>
      <c r="J318" s="23" t="n"/>
      <c r="K318" s="24" t="n"/>
      <c r="L318" s="23" t="n"/>
      <c r="M318" s="23" t="n"/>
      <c r="N318" s="24" t="n"/>
      <c r="O318" s="23" t="n"/>
      <c r="P318" s="23" t="n"/>
    </row>
    <row r="319">
      <c r="A319" s="23" t="n"/>
      <c r="B319" s="23" t="n"/>
      <c r="C319" s="23" t="n"/>
      <c r="D319" s="23" t="n"/>
      <c r="E319" s="23" t="n"/>
      <c r="F319" s="23" t="n"/>
      <c r="G319" s="23" t="n"/>
      <c r="H319" s="23" t="n"/>
      <c r="I319" s="23" t="n"/>
      <c r="J319" s="23" t="n"/>
      <c r="K319" s="24" t="n"/>
      <c r="L319" s="23" t="n"/>
      <c r="M319" s="23" t="n"/>
      <c r="N319" s="24" t="n"/>
      <c r="O319" s="23" t="n"/>
      <c r="P319" s="23" t="n"/>
    </row>
    <row r="320">
      <c r="A320" s="23" t="n"/>
      <c r="B320" s="23" t="n"/>
      <c r="C320" s="23" t="n"/>
      <c r="D320" s="23" t="n"/>
      <c r="E320" s="23" t="n"/>
      <c r="F320" s="23" t="n"/>
      <c r="G320" s="23" t="n"/>
      <c r="H320" s="23" t="n"/>
      <c r="I320" s="23" t="n"/>
      <c r="J320" s="23" t="n"/>
      <c r="K320" s="24" t="n"/>
      <c r="L320" s="23" t="n"/>
      <c r="M320" s="23" t="n"/>
      <c r="N320" s="24" t="n"/>
      <c r="O320" s="23" t="n"/>
      <c r="P320" s="23" t="n"/>
    </row>
    <row r="321">
      <c r="A321" s="23" t="n"/>
      <c r="B321" s="23" t="n"/>
      <c r="C321" s="23" t="n"/>
      <c r="D321" s="23" t="n"/>
      <c r="E321" s="23" t="n"/>
      <c r="F321" s="23" t="n"/>
      <c r="G321" s="23" t="n"/>
      <c r="H321" s="23" t="n"/>
      <c r="I321" s="23" t="n"/>
      <c r="J321" s="23" t="n"/>
      <c r="K321" s="24" t="n"/>
      <c r="L321" s="23" t="n"/>
      <c r="M321" s="23" t="n"/>
      <c r="N321" s="24" t="n"/>
      <c r="O321" s="23" t="n"/>
      <c r="P321" s="23" t="n"/>
    </row>
    <row r="322">
      <c r="A322" s="23" t="n"/>
      <c r="B322" s="23" t="n"/>
      <c r="C322" s="23" t="n"/>
      <c r="D322" s="23" t="n"/>
      <c r="E322" s="23" t="n"/>
      <c r="F322" s="23" t="n"/>
      <c r="G322" s="23" t="n"/>
      <c r="H322" s="23" t="n"/>
      <c r="I322" s="23" t="n"/>
      <c r="J322" s="23" t="n"/>
      <c r="K322" s="24" t="n"/>
      <c r="L322" s="23" t="n"/>
      <c r="M322" s="23" t="n"/>
      <c r="N322" s="24" t="n"/>
      <c r="O322" s="23" t="n"/>
      <c r="P322" s="23" t="n"/>
    </row>
    <row r="323">
      <c r="A323" s="23" t="n"/>
      <c r="B323" s="23" t="n"/>
      <c r="C323" s="23" t="n"/>
      <c r="D323" s="23" t="n"/>
      <c r="E323" s="23" t="n"/>
      <c r="F323" s="23" t="n"/>
      <c r="G323" s="23" t="n"/>
      <c r="H323" s="23" t="n"/>
      <c r="I323" s="23" t="n"/>
      <c r="J323" s="23" t="n"/>
      <c r="K323" s="24" t="n"/>
      <c r="L323" s="23" t="n"/>
      <c r="M323" s="23" t="n"/>
      <c r="N323" s="24" t="n"/>
      <c r="O323" s="23" t="n"/>
      <c r="P323" s="23" t="n"/>
    </row>
    <row r="324">
      <c r="A324" s="23" t="n"/>
      <c r="B324" s="23" t="n"/>
      <c r="C324" s="23" t="n"/>
      <c r="D324" s="23" t="n"/>
      <c r="E324" s="23" t="n"/>
      <c r="F324" s="23" t="n"/>
      <c r="G324" s="23" t="n"/>
      <c r="H324" s="23" t="n"/>
      <c r="I324" s="23" t="n"/>
      <c r="J324" s="23" t="n"/>
      <c r="K324" s="24" t="n"/>
      <c r="L324" s="23" t="n"/>
      <c r="M324" s="23" t="n"/>
      <c r="N324" s="24" t="n"/>
      <c r="O324" s="23" t="n"/>
      <c r="P324" s="23" t="n"/>
    </row>
    <row r="325">
      <c r="A325" s="23" t="n"/>
      <c r="B325" s="23" t="n"/>
      <c r="C325" s="23" t="n"/>
      <c r="D325" s="23" t="n"/>
      <c r="E325" s="23" t="n"/>
      <c r="F325" s="23" t="n"/>
      <c r="G325" s="23" t="n"/>
      <c r="H325" s="23" t="n"/>
      <c r="I325" s="23" t="n"/>
      <c r="J325" s="23" t="n"/>
      <c r="K325" s="24" t="n"/>
      <c r="L325" s="23" t="n"/>
      <c r="M325" s="23" t="n"/>
      <c r="N325" s="24" t="n"/>
      <c r="O325" s="23" t="n"/>
      <c r="P325" s="23" t="n"/>
    </row>
    <row r="326">
      <c r="A326" s="23" t="n"/>
      <c r="B326" s="23" t="n"/>
      <c r="C326" s="23" t="n"/>
      <c r="D326" s="23" t="n"/>
      <c r="E326" s="23" t="n"/>
      <c r="F326" s="23" t="n"/>
      <c r="G326" s="23" t="n"/>
      <c r="H326" s="23" t="n"/>
      <c r="I326" s="23" t="n"/>
      <c r="J326" s="23" t="n"/>
      <c r="K326" s="24" t="n"/>
      <c r="L326" s="23" t="n"/>
      <c r="M326" s="23" t="n"/>
      <c r="N326" s="24" t="n"/>
      <c r="O326" s="23" t="n"/>
      <c r="P326" s="23" t="n"/>
    </row>
    <row r="327">
      <c r="A327" s="23" t="n"/>
      <c r="B327" s="23" t="n"/>
      <c r="C327" s="23" t="n"/>
      <c r="D327" s="23" t="n"/>
      <c r="E327" s="23" t="n"/>
      <c r="F327" s="23" t="n"/>
      <c r="G327" s="23" t="n"/>
      <c r="H327" s="23" t="n"/>
      <c r="I327" s="23" t="n"/>
      <c r="J327" s="23" t="n"/>
      <c r="K327" s="24" t="n"/>
      <c r="L327" s="23" t="n"/>
      <c r="M327" s="23" t="n"/>
      <c r="N327" s="24" t="n"/>
      <c r="O327" s="23" t="n"/>
      <c r="P327" s="23" t="n"/>
    </row>
    <row r="328">
      <c r="A328" s="23" t="n"/>
      <c r="B328" s="23" t="n"/>
      <c r="C328" s="23" t="n"/>
      <c r="D328" s="23" t="n"/>
      <c r="E328" s="23" t="n"/>
      <c r="F328" s="23" t="n"/>
      <c r="G328" s="23" t="n"/>
      <c r="H328" s="23" t="n"/>
      <c r="I328" s="23" t="n"/>
      <c r="J328" s="23" t="n"/>
      <c r="K328" s="24" t="n"/>
      <c r="L328" s="23" t="n"/>
      <c r="M328" s="23" t="n"/>
      <c r="N328" s="24" t="n"/>
      <c r="O328" s="23" t="n"/>
      <c r="P328" s="23" t="n"/>
    </row>
    <row r="329">
      <c r="A329" s="23" t="n"/>
      <c r="B329" s="23" t="n"/>
      <c r="C329" s="23" t="n"/>
      <c r="D329" s="23" t="n"/>
      <c r="E329" s="23" t="n"/>
      <c r="F329" s="23" t="n"/>
      <c r="G329" s="23" t="n"/>
      <c r="H329" s="23" t="n"/>
      <c r="I329" s="23" t="n"/>
      <c r="J329" s="23" t="n"/>
      <c r="K329" s="24" t="n"/>
      <c r="L329" s="23" t="n"/>
      <c r="M329" s="23" t="n"/>
      <c r="N329" s="24" t="n"/>
      <c r="O329" s="23" t="n"/>
      <c r="P329" s="23" t="n"/>
    </row>
    <row r="330">
      <c r="A330" s="23" t="n"/>
      <c r="B330" s="23" t="n"/>
      <c r="C330" s="23" t="n"/>
      <c r="D330" s="23" t="n"/>
      <c r="E330" s="23" t="n"/>
      <c r="F330" s="23" t="n"/>
      <c r="G330" s="23" t="n"/>
      <c r="H330" s="23" t="n"/>
      <c r="I330" s="23" t="n"/>
      <c r="J330" s="23" t="n"/>
      <c r="K330" s="24" t="n"/>
      <c r="L330" s="23" t="n"/>
      <c r="M330" s="23" t="n"/>
      <c r="N330" s="24" t="n"/>
      <c r="O330" s="23" t="n"/>
      <c r="P330" s="23" t="n"/>
    </row>
    <row r="331">
      <c r="A331" s="23" t="n"/>
      <c r="B331" s="23" t="n"/>
      <c r="C331" s="23" t="n"/>
      <c r="D331" s="23" t="n"/>
      <c r="E331" s="23" t="n"/>
      <c r="F331" s="23" t="n"/>
      <c r="G331" s="23" t="n"/>
      <c r="H331" s="23" t="n"/>
      <c r="I331" s="23" t="n"/>
      <c r="J331" s="23" t="n"/>
      <c r="K331" s="24" t="n"/>
      <c r="L331" s="23" t="n"/>
      <c r="M331" s="23" t="n"/>
      <c r="N331" s="24" t="n"/>
      <c r="O331" s="23" t="n"/>
      <c r="P331" s="23" t="n"/>
    </row>
    <row r="332">
      <c r="A332" s="23" t="n"/>
      <c r="B332" s="23" t="n"/>
      <c r="C332" s="23" t="n"/>
      <c r="D332" s="23" t="n"/>
      <c r="E332" s="23" t="n"/>
      <c r="F332" s="23" t="n"/>
      <c r="G332" s="23" t="n"/>
      <c r="H332" s="23" t="n"/>
      <c r="I332" s="23" t="n"/>
      <c r="J332" s="23" t="n"/>
      <c r="K332" s="24" t="n"/>
      <c r="L332" s="23" t="n"/>
      <c r="M332" s="23" t="n"/>
      <c r="N332" s="24" t="n"/>
      <c r="O332" s="23" t="n"/>
      <c r="P332" s="23" t="n"/>
    </row>
    <row r="333">
      <c r="A333" s="23" t="n"/>
      <c r="B333" s="23" t="n"/>
      <c r="C333" s="23" t="n"/>
      <c r="D333" s="23" t="n"/>
      <c r="E333" s="23" t="n"/>
      <c r="F333" s="23" t="n"/>
      <c r="G333" s="23" t="n"/>
      <c r="H333" s="23" t="n"/>
      <c r="I333" s="23" t="n"/>
      <c r="J333" s="23" t="n"/>
      <c r="K333" s="24" t="n"/>
      <c r="L333" s="23" t="n"/>
      <c r="M333" s="23" t="n"/>
      <c r="N333" s="24" t="n"/>
      <c r="O333" s="23" t="n"/>
      <c r="P333" s="23" t="n"/>
    </row>
    <row r="334">
      <c r="A334" s="23" t="n"/>
      <c r="B334" s="23" t="n"/>
      <c r="C334" s="23" t="n"/>
      <c r="D334" s="23" t="n"/>
      <c r="E334" s="23" t="n"/>
      <c r="F334" s="23" t="n"/>
      <c r="G334" s="23" t="n"/>
      <c r="H334" s="23" t="n"/>
      <c r="I334" s="23" t="n"/>
      <c r="J334" s="23" t="n"/>
      <c r="K334" s="24" t="n"/>
      <c r="L334" s="23" t="n"/>
      <c r="M334" s="23" t="n"/>
      <c r="N334" s="24" t="n"/>
      <c r="O334" s="23" t="n"/>
      <c r="P334" s="23" t="n"/>
    </row>
    <row r="335">
      <c r="A335" s="23" t="n"/>
      <c r="B335" s="23" t="n"/>
      <c r="C335" s="23" t="n"/>
      <c r="D335" s="23" t="n"/>
      <c r="E335" s="23" t="n"/>
      <c r="F335" s="23" t="n"/>
      <c r="G335" s="23" t="n"/>
      <c r="H335" s="23" t="n"/>
      <c r="I335" s="23" t="n"/>
      <c r="J335" s="23" t="n"/>
      <c r="K335" s="24" t="n"/>
      <c r="L335" s="23" t="n"/>
      <c r="M335" s="23" t="n"/>
      <c r="N335" s="24" t="n"/>
      <c r="O335" s="23" t="n"/>
      <c r="P335" s="23" t="n"/>
    </row>
    <row r="336">
      <c r="A336" s="23" t="n"/>
      <c r="B336" s="23" t="n"/>
      <c r="C336" s="23" t="n"/>
      <c r="D336" s="23" t="n"/>
      <c r="E336" s="23" t="n"/>
      <c r="F336" s="23" t="n"/>
      <c r="G336" s="23" t="n"/>
      <c r="H336" s="23" t="n"/>
      <c r="I336" s="23" t="n"/>
      <c r="J336" s="23" t="n"/>
      <c r="K336" s="24" t="n"/>
      <c r="L336" s="23" t="n"/>
      <c r="M336" s="23" t="n"/>
      <c r="N336" s="24" t="n"/>
      <c r="O336" s="23" t="n"/>
      <c r="P336" s="23" t="n"/>
    </row>
    <row r="337">
      <c r="A337" s="23" t="n"/>
      <c r="B337" s="23" t="n"/>
      <c r="C337" s="23" t="n"/>
      <c r="D337" s="23" t="n"/>
      <c r="E337" s="23" t="n"/>
      <c r="F337" s="23" t="n"/>
      <c r="G337" s="23" t="n"/>
      <c r="H337" s="23" t="n"/>
      <c r="I337" s="23" t="n"/>
      <c r="J337" s="23" t="n"/>
      <c r="K337" s="24" t="n"/>
      <c r="L337" s="23" t="n"/>
      <c r="M337" s="23" t="n"/>
      <c r="N337" s="24" t="n"/>
      <c r="O337" s="23" t="n"/>
      <c r="P337" s="23" t="n"/>
    </row>
    <row r="338">
      <c r="A338" s="23" t="n"/>
      <c r="B338" s="23" t="n"/>
      <c r="C338" s="23" t="n"/>
      <c r="D338" s="23" t="n"/>
      <c r="E338" s="23" t="n"/>
      <c r="F338" s="23" t="n"/>
      <c r="G338" s="23" t="n"/>
      <c r="H338" s="23" t="n"/>
      <c r="I338" s="23" t="n"/>
      <c r="J338" s="23" t="n"/>
      <c r="K338" s="24" t="n"/>
      <c r="L338" s="23" t="n"/>
      <c r="M338" s="23" t="n"/>
      <c r="N338" s="24" t="n"/>
      <c r="O338" s="23" t="n"/>
      <c r="P338" s="23" t="n"/>
    </row>
    <row r="339">
      <c r="A339" s="23" t="n"/>
      <c r="B339" s="23" t="n"/>
      <c r="C339" s="23" t="n"/>
      <c r="D339" s="23" t="n"/>
      <c r="E339" s="23" t="n"/>
      <c r="F339" s="23" t="n"/>
      <c r="G339" s="23" t="n"/>
      <c r="H339" s="23" t="n"/>
      <c r="I339" s="23" t="n"/>
      <c r="J339" s="23" t="n"/>
      <c r="K339" s="24" t="n"/>
      <c r="L339" s="23" t="n"/>
      <c r="M339" s="23" t="n"/>
      <c r="N339" s="24" t="n"/>
      <c r="O339" s="23" t="n"/>
      <c r="P339" s="23" t="n"/>
    </row>
    <row r="340">
      <c r="A340" s="23" t="n"/>
      <c r="B340" s="23" t="n"/>
      <c r="C340" s="23" t="n"/>
      <c r="D340" s="23" t="n"/>
      <c r="E340" s="23" t="n"/>
      <c r="F340" s="23" t="n"/>
      <c r="G340" s="23" t="n"/>
      <c r="H340" s="23" t="n"/>
      <c r="I340" s="23" t="n"/>
      <c r="J340" s="23" t="n"/>
      <c r="K340" s="24" t="n"/>
      <c r="L340" s="23" t="n"/>
      <c r="M340" s="23" t="n"/>
      <c r="N340" s="24" t="n"/>
      <c r="O340" s="23" t="n"/>
      <c r="P340" s="23" t="n"/>
    </row>
    <row r="341">
      <c r="A341" s="23" t="n"/>
      <c r="B341" s="23" t="n"/>
      <c r="C341" s="23" t="n"/>
      <c r="D341" s="23" t="n"/>
      <c r="E341" s="23" t="n"/>
      <c r="F341" s="23" t="n"/>
      <c r="G341" s="23" t="n"/>
      <c r="H341" s="23" t="n"/>
      <c r="I341" s="23" t="n"/>
      <c r="J341" s="23" t="n"/>
      <c r="K341" s="24" t="n"/>
      <c r="L341" s="23" t="n"/>
      <c r="M341" s="23" t="n"/>
      <c r="N341" s="24" t="n"/>
      <c r="O341" s="23" t="n"/>
      <c r="P341" s="23" t="n"/>
    </row>
    <row r="342">
      <c r="A342" s="23" t="n"/>
      <c r="B342" s="23" t="n"/>
      <c r="C342" s="23" t="n"/>
      <c r="D342" s="23" t="n"/>
      <c r="E342" s="23" t="n"/>
      <c r="F342" s="23" t="n"/>
      <c r="G342" s="23" t="n"/>
      <c r="H342" s="23" t="n"/>
      <c r="I342" s="23" t="n"/>
      <c r="J342" s="23" t="n"/>
      <c r="K342" s="24" t="n"/>
      <c r="L342" s="23" t="n"/>
      <c r="M342" s="23" t="n"/>
      <c r="N342" s="24" t="n"/>
      <c r="O342" s="23" t="n"/>
      <c r="P342" s="23" t="n"/>
    </row>
    <row r="343">
      <c r="A343" s="23" t="n"/>
      <c r="B343" s="23" t="n"/>
      <c r="C343" s="23" t="n"/>
      <c r="D343" s="23" t="n"/>
      <c r="E343" s="23" t="n"/>
      <c r="F343" s="23" t="n"/>
      <c r="G343" s="23" t="n"/>
      <c r="H343" s="23" t="n"/>
      <c r="I343" s="23" t="n"/>
      <c r="J343" s="23" t="n"/>
      <c r="K343" s="24" t="n"/>
      <c r="L343" s="23" t="n"/>
      <c r="M343" s="23" t="n"/>
      <c r="N343" s="24" t="n"/>
      <c r="O343" s="23" t="n"/>
      <c r="P343" s="23" t="n"/>
    </row>
    <row r="344">
      <c r="A344" s="23" t="n"/>
      <c r="B344" s="23" t="n"/>
      <c r="C344" s="23" t="n"/>
      <c r="D344" s="23" t="n"/>
      <c r="E344" s="23" t="n"/>
      <c r="F344" s="23" t="n"/>
      <c r="G344" s="23" t="n"/>
      <c r="H344" s="23" t="n"/>
      <c r="I344" s="23" t="n"/>
      <c r="J344" s="23" t="n"/>
      <c r="K344" s="24" t="n"/>
      <c r="L344" s="23" t="n"/>
      <c r="M344" s="23" t="n"/>
      <c r="N344" s="24" t="n"/>
      <c r="O344" s="23" t="n"/>
      <c r="P344" s="23" t="n"/>
    </row>
    <row r="345">
      <c r="A345" s="23" t="n"/>
      <c r="B345" s="23" t="n"/>
      <c r="C345" s="23" t="n"/>
      <c r="D345" s="23" t="n"/>
      <c r="E345" s="23" t="n"/>
      <c r="F345" s="23" t="n"/>
      <c r="G345" s="23" t="n"/>
      <c r="H345" s="23" t="n"/>
      <c r="I345" s="23" t="n"/>
      <c r="J345" s="23" t="n"/>
      <c r="K345" s="24" t="n"/>
      <c r="L345" s="23" t="n"/>
      <c r="M345" s="23" t="n"/>
      <c r="N345" s="24" t="n"/>
      <c r="O345" s="23" t="n"/>
      <c r="P345" s="23" t="n"/>
    </row>
    <row r="346">
      <c r="A346" s="23" t="n"/>
      <c r="B346" s="23" t="n"/>
      <c r="C346" s="23" t="n"/>
      <c r="D346" s="23" t="n"/>
      <c r="E346" s="23" t="n"/>
      <c r="F346" s="23" t="n"/>
      <c r="G346" s="23" t="n"/>
      <c r="H346" s="23" t="n"/>
      <c r="I346" s="23" t="n"/>
      <c r="J346" s="23" t="n"/>
      <c r="K346" s="24" t="n"/>
      <c r="L346" s="23" t="n"/>
      <c r="M346" s="23" t="n"/>
      <c r="N346" s="24" t="n"/>
      <c r="O346" s="23" t="n"/>
      <c r="P346" s="23" t="n"/>
    </row>
    <row r="347">
      <c r="A347" s="23" t="n"/>
      <c r="B347" s="23" t="n"/>
      <c r="C347" s="23" t="n"/>
      <c r="D347" s="23" t="n"/>
      <c r="E347" s="23" t="n"/>
      <c r="F347" s="23" t="n"/>
      <c r="G347" s="23" t="n"/>
      <c r="H347" s="23" t="n"/>
      <c r="I347" s="23" t="n"/>
      <c r="J347" s="23" t="n"/>
      <c r="K347" s="24" t="n"/>
      <c r="L347" s="23" t="n"/>
      <c r="M347" s="23" t="n"/>
      <c r="N347" s="24" t="n"/>
      <c r="O347" s="23" t="n"/>
      <c r="P347" s="23" t="n"/>
    </row>
    <row r="348">
      <c r="A348" s="23" t="n"/>
      <c r="B348" s="23" t="n"/>
      <c r="C348" s="23" t="n"/>
      <c r="D348" s="23" t="n"/>
      <c r="E348" s="23" t="n"/>
      <c r="F348" s="23" t="n"/>
      <c r="G348" s="23" t="n"/>
      <c r="H348" s="23" t="n"/>
      <c r="I348" s="23" t="n"/>
      <c r="J348" s="23" t="n"/>
      <c r="K348" s="24" t="n"/>
      <c r="L348" s="23" t="n"/>
      <c r="M348" s="23" t="n"/>
      <c r="N348" s="24" t="n"/>
      <c r="O348" s="23" t="n"/>
      <c r="P348" s="23" t="n"/>
    </row>
    <row r="349">
      <c r="A349" s="23" t="n"/>
      <c r="B349" s="23" t="n"/>
      <c r="C349" s="23" t="n"/>
      <c r="D349" s="23" t="n"/>
      <c r="E349" s="23" t="n"/>
      <c r="F349" s="23" t="n"/>
      <c r="G349" s="23" t="n"/>
      <c r="H349" s="23" t="n"/>
      <c r="I349" s="23" t="n"/>
      <c r="J349" s="23" t="n"/>
      <c r="K349" s="24" t="n"/>
      <c r="L349" s="23" t="n"/>
      <c r="M349" s="23" t="n"/>
      <c r="N349" s="24" t="n"/>
      <c r="O349" s="23" t="n"/>
      <c r="P349" s="23" t="n"/>
    </row>
    <row r="350">
      <c r="A350" s="23" t="n"/>
      <c r="B350" s="23" t="n"/>
      <c r="C350" s="23" t="n"/>
      <c r="D350" s="23" t="n"/>
      <c r="E350" s="23" t="n"/>
      <c r="F350" s="23" t="n"/>
      <c r="G350" s="23" t="n"/>
      <c r="H350" s="23" t="n"/>
      <c r="I350" s="23" t="n"/>
      <c r="J350" s="23" t="n"/>
      <c r="K350" s="24" t="n"/>
      <c r="L350" s="23" t="n"/>
      <c r="M350" s="23" t="n"/>
      <c r="N350" s="24" t="n"/>
      <c r="O350" s="23" t="n"/>
      <c r="P350" s="23" t="n"/>
    </row>
    <row r="351">
      <c r="A351" s="23" t="n"/>
      <c r="B351" s="23" t="n"/>
      <c r="C351" s="23" t="n"/>
      <c r="D351" s="23" t="n"/>
      <c r="E351" s="23" t="n"/>
      <c r="F351" s="23" t="n"/>
      <c r="G351" s="23" t="n"/>
      <c r="H351" s="23" t="n"/>
      <c r="I351" s="23" t="n"/>
      <c r="J351" s="23" t="n"/>
      <c r="K351" s="24" t="n"/>
      <c r="L351" s="23" t="n"/>
      <c r="M351" s="23" t="n"/>
      <c r="N351" s="24" t="n"/>
      <c r="O351" s="23" t="n"/>
      <c r="P351" s="23" t="n"/>
    </row>
    <row r="352">
      <c r="A352" s="23" t="n"/>
      <c r="B352" s="23" t="n"/>
      <c r="C352" s="23" t="n"/>
      <c r="D352" s="23" t="n"/>
      <c r="E352" s="23" t="n"/>
      <c r="F352" s="23" t="n"/>
      <c r="G352" s="23" t="n"/>
      <c r="H352" s="23" t="n"/>
      <c r="I352" s="23" t="n"/>
      <c r="J352" s="23" t="n"/>
      <c r="K352" s="24" t="n"/>
      <c r="L352" s="23" t="n"/>
      <c r="M352" s="23" t="n"/>
      <c r="N352" s="24" t="n"/>
      <c r="O352" s="23" t="n"/>
      <c r="P352" s="23" t="n"/>
    </row>
    <row r="353">
      <c r="A353" s="23" t="n"/>
      <c r="B353" s="23" t="n"/>
      <c r="C353" s="23" t="n"/>
      <c r="D353" s="23" t="n"/>
      <c r="E353" s="23" t="n"/>
      <c r="F353" s="23" t="n"/>
      <c r="G353" s="23" t="n"/>
      <c r="H353" s="23" t="n"/>
      <c r="I353" s="23" t="n"/>
      <c r="J353" s="23" t="n"/>
      <c r="K353" s="24" t="n"/>
      <c r="L353" s="23" t="n"/>
      <c r="M353" s="23" t="n"/>
      <c r="N353" s="24" t="n"/>
      <c r="O353" s="23" t="n"/>
      <c r="P353" s="23" t="n"/>
    </row>
    <row r="354">
      <c r="A354" s="23" t="n"/>
      <c r="B354" s="23" t="n"/>
      <c r="C354" s="23" t="n"/>
      <c r="D354" s="23" t="n"/>
      <c r="E354" s="23" t="n"/>
      <c r="F354" s="23" t="n"/>
      <c r="G354" s="23" t="n"/>
      <c r="H354" s="23" t="n"/>
      <c r="I354" s="23" t="n"/>
      <c r="J354" s="23" t="n"/>
      <c r="K354" s="24" t="n"/>
      <c r="L354" s="23" t="n"/>
      <c r="M354" s="23" t="n"/>
      <c r="N354" s="24" t="n"/>
      <c r="O354" s="23" t="n"/>
      <c r="P354" s="23" t="n"/>
    </row>
    <row r="355">
      <c r="A355" s="23" t="n"/>
      <c r="B355" s="23" t="n"/>
      <c r="C355" s="23" t="n"/>
      <c r="D355" s="23" t="n"/>
      <c r="E355" s="23" t="n"/>
      <c r="F355" s="23" t="n"/>
      <c r="G355" s="23" t="n"/>
      <c r="H355" s="23" t="n"/>
      <c r="I355" s="23" t="n"/>
      <c r="J355" s="23" t="n"/>
      <c r="K355" s="24" t="n"/>
      <c r="L355" s="23" t="n"/>
      <c r="M355" s="23" t="n"/>
      <c r="N355" s="24" t="n"/>
      <c r="O355" s="23" t="n"/>
      <c r="P355" s="23" t="n"/>
    </row>
    <row r="356">
      <c r="A356" s="23" t="n"/>
      <c r="B356" s="23" t="n"/>
      <c r="C356" s="23" t="n"/>
      <c r="D356" s="23" t="n"/>
      <c r="E356" s="23" t="n"/>
      <c r="F356" s="23" t="n"/>
      <c r="G356" s="23" t="n"/>
      <c r="H356" s="23" t="n"/>
      <c r="I356" s="23" t="n"/>
      <c r="J356" s="23" t="n"/>
      <c r="K356" s="24" t="n"/>
      <c r="L356" s="23" t="n"/>
      <c r="M356" s="23" t="n"/>
      <c r="N356" s="24" t="n"/>
      <c r="O356" s="23" t="n"/>
      <c r="P356" s="23" t="n"/>
    </row>
    <row r="357">
      <c r="A357" s="23" t="n"/>
      <c r="B357" s="23" t="n"/>
      <c r="C357" s="23" t="n"/>
      <c r="D357" s="23" t="n"/>
      <c r="E357" s="23" t="n"/>
      <c r="F357" s="23" t="n"/>
      <c r="G357" s="23" t="n"/>
      <c r="H357" s="23" t="n"/>
      <c r="I357" s="23" t="n"/>
      <c r="J357" s="23" t="n"/>
      <c r="K357" s="24" t="n"/>
      <c r="L357" s="23" t="n"/>
      <c r="M357" s="23" t="n"/>
      <c r="N357" s="24" t="n"/>
      <c r="O357" s="23" t="n"/>
      <c r="P357" s="23" t="n"/>
    </row>
    <row r="358">
      <c r="A358" s="23" t="n"/>
      <c r="B358" s="23" t="n"/>
      <c r="C358" s="23" t="n"/>
      <c r="D358" s="23" t="n"/>
      <c r="E358" s="23" t="n"/>
      <c r="F358" s="23" t="n"/>
      <c r="G358" s="23" t="n"/>
      <c r="H358" s="23" t="n"/>
      <c r="I358" s="23" t="n"/>
      <c r="J358" s="23" t="n"/>
      <c r="K358" s="24" t="n"/>
      <c r="L358" s="23" t="n"/>
      <c r="M358" s="23" t="n"/>
      <c r="N358" s="24" t="n"/>
      <c r="O358" s="23" t="n"/>
      <c r="P358" s="23" t="n"/>
    </row>
    <row r="359">
      <c r="A359" s="23" t="n"/>
      <c r="B359" s="23" t="n"/>
      <c r="C359" s="23" t="n"/>
      <c r="D359" s="23" t="n"/>
      <c r="E359" s="23" t="n"/>
      <c r="F359" s="23" t="n"/>
      <c r="G359" s="23" t="n"/>
      <c r="H359" s="23" t="n"/>
      <c r="I359" s="23" t="n"/>
      <c r="J359" s="23" t="n"/>
      <c r="K359" s="24" t="n"/>
      <c r="L359" s="23" t="n"/>
      <c r="M359" s="23" t="n"/>
      <c r="N359" s="24" t="n"/>
      <c r="O359" s="23" t="n"/>
      <c r="P359" s="23" t="n"/>
    </row>
    <row r="360">
      <c r="A360" s="23" t="n"/>
      <c r="B360" s="23" t="n"/>
      <c r="C360" s="23" t="n"/>
      <c r="D360" s="23" t="n"/>
      <c r="E360" s="23" t="n"/>
      <c r="F360" s="23" t="n"/>
      <c r="G360" s="23" t="n"/>
      <c r="H360" s="23" t="n"/>
      <c r="I360" s="23" t="n"/>
      <c r="J360" s="23" t="n"/>
      <c r="K360" s="24" t="n"/>
      <c r="L360" s="23" t="n"/>
      <c r="M360" s="23" t="n"/>
      <c r="N360" s="24" t="n"/>
      <c r="O360" s="23" t="n"/>
      <c r="P360" s="23" t="n"/>
    </row>
    <row r="361">
      <c r="A361" s="23" t="n"/>
      <c r="B361" s="23" t="n"/>
      <c r="C361" s="23" t="n"/>
      <c r="D361" s="23" t="n"/>
      <c r="E361" s="23" t="n"/>
      <c r="F361" s="23" t="n"/>
      <c r="G361" s="23" t="n"/>
      <c r="H361" s="23" t="n"/>
      <c r="I361" s="23" t="n"/>
      <c r="J361" s="23" t="n"/>
      <c r="K361" s="24" t="n"/>
      <c r="L361" s="23" t="n"/>
      <c r="M361" s="23" t="n"/>
      <c r="N361" s="24" t="n"/>
      <c r="O361" s="23" t="n"/>
      <c r="P361" s="23" t="n"/>
    </row>
    <row r="362">
      <c r="A362" s="23" t="n"/>
      <c r="B362" s="23" t="n"/>
      <c r="C362" s="23" t="n"/>
      <c r="D362" s="23" t="n"/>
      <c r="E362" s="23" t="n"/>
      <c r="F362" s="23" t="n"/>
      <c r="G362" s="23" t="n"/>
      <c r="H362" s="23" t="n"/>
      <c r="I362" s="23" t="n"/>
      <c r="J362" s="23" t="n"/>
      <c r="K362" s="24" t="n"/>
      <c r="L362" s="23" t="n"/>
      <c r="M362" s="23" t="n"/>
      <c r="N362" s="24" t="n"/>
      <c r="O362" s="23" t="n"/>
      <c r="P362" s="23" t="n"/>
    </row>
    <row r="363">
      <c r="A363" s="23" t="n"/>
      <c r="B363" s="23" t="n"/>
      <c r="C363" s="23" t="n"/>
      <c r="D363" s="23" t="n"/>
      <c r="E363" s="23" t="n"/>
      <c r="F363" s="23" t="n"/>
      <c r="G363" s="23" t="n"/>
      <c r="H363" s="23" t="n"/>
      <c r="I363" s="23" t="n"/>
      <c r="J363" s="23" t="n"/>
      <c r="K363" s="24" t="n"/>
      <c r="L363" s="23" t="n"/>
      <c r="M363" s="23" t="n"/>
      <c r="N363" s="24" t="n"/>
      <c r="O363" s="23" t="n"/>
      <c r="P363" s="23" t="n"/>
    </row>
    <row r="364">
      <c r="A364" s="23" t="n"/>
      <c r="B364" s="23" t="n"/>
      <c r="C364" s="23" t="n"/>
      <c r="D364" s="23" t="n"/>
      <c r="E364" s="23" t="n"/>
      <c r="F364" s="23" t="n"/>
      <c r="G364" s="23" t="n"/>
      <c r="H364" s="23" t="n"/>
      <c r="I364" s="23" t="n"/>
      <c r="J364" s="23" t="n"/>
      <c r="K364" s="24" t="n"/>
      <c r="L364" s="23" t="n"/>
      <c r="M364" s="23" t="n"/>
      <c r="N364" s="24" t="n"/>
      <c r="O364" s="23" t="n"/>
      <c r="P364" s="23" t="n"/>
    </row>
    <row r="365">
      <c r="A365" s="23" t="n"/>
      <c r="B365" s="23" t="n"/>
      <c r="C365" s="23" t="n"/>
      <c r="D365" s="23" t="n"/>
      <c r="E365" s="23" t="n"/>
      <c r="F365" s="23" t="n"/>
      <c r="G365" s="23" t="n"/>
      <c r="H365" s="23" t="n"/>
      <c r="I365" s="23" t="n"/>
      <c r="J365" s="23" t="n"/>
      <c r="K365" s="24" t="n"/>
      <c r="L365" s="23" t="n"/>
      <c r="M365" s="23" t="n"/>
      <c r="N365" s="24" t="n"/>
      <c r="O365" s="23" t="n"/>
      <c r="P365" s="23" t="n"/>
    </row>
    <row r="366">
      <c r="A366" s="23" t="n"/>
      <c r="B366" s="23" t="n"/>
      <c r="C366" s="23" t="n"/>
      <c r="D366" s="23" t="n"/>
      <c r="E366" s="23" t="n"/>
      <c r="F366" s="23" t="n"/>
      <c r="G366" s="23" t="n"/>
      <c r="H366" s="23" t="n"/>
      <c r="I366" s="23" t="n"/>
      <c r="J366" s="23" t="n"/>
      <c r="K366" s="24" t="n"/>
      <c r="L366" s="23" t="n"/>
      <c r="M366" s="23" t="n"/>
      <c r="N366" s="24" t="n"/>
      <c r="O366" s="23" t="n"/>
      <c r="P366" s="23" t="n"/>
    </row>
    <row r="367">
      <c r="A367" s="23" t="n"/>
      <c r="B367" s="23" t="n"/>
      <c r="C367" s="23" t="n"/>
      <c r="D367" s="23" t="n"/>
      <c r="E367" s="23" t="n"/>
      <c r="F367" s="23" t="n"/>
      <c r="G367" s="23" t="n"/>
      <c r="H367" s="23" t="n"/>
      <c r="I367" s="23" t="n"/>
      <c r="J367" s="23" t="n"/>
      <c r="K367" s="24" t="n"/>
      <c r="L367" s="23" t="n"/>
      <c r="M367" s="23" t="n"/>
      <c r="N367" s="24" t="n"/>
      <c r="O367" s="23" t="n"/>
      <c r="P367" s="23" t="n"/>
    </row>
    <row r="368">
      <c r="A368" s="23" t="n"/>
      <c r="B368" s="23" t="n"/>
      <c r="C368" s="23" t="n"/>
      <c r="D368" s="23" t="n"/>
      <c r="E368" s="23" t="n"/>
      <c r="F368" s="23" t="n"/>
      <c r="G368" s="23" t="n"/>
      <c r="H368" s="23" t="n"/>
      <c r="I368" s="23" t="n"/>
      <c r="J368" s="23" t="n"/>
      <c r="K368" s="24" t="n"/>
      <c r="L368" s="23" t="n"/>
      <c r="M368" s="23" t="n"/>
      <c r="N368" s="24" t="n"/>
      <c r="O368" s="23" t="n"/>
      <c r="P368" s="23" t="n"/>
    </row>
    <row r="369">
      <c r="A369" s="23" t="n"/>
      <c r="B369" s="23" t="n"/>
      <c r="C369" s="23" t="n"/>
      <c r="D369" s="23" t="n"/>
      <c r="E369" s="23" t="n"/>
      <c r="F369" s="23" t="n"/>
      <c r="G369" s="23" t="n"/>
      <c r="H369" s="23" t="n"/>
      <c r="I369" s="23" t="n"/>
      <c r="J369" s="23" t="n"/>
      <c r="K369" s="24" t="n"/>
      <c r="L369" s="23" t="n"/>
      <c r="M369" s="23" t="n"/>
      <c r="N369" s="24" t="n"/>
      <c r="O369" s="23" t="n"/>
      <c r="P369" s="23" t="n"/>
    </row>
    <row r="370">
      <c r="A370" s="23" t="n"/>
      <c r="B370" s="23" t="n"/>
      <c r="C370" s="23" t="n"/>
      <c r="D370" s="23" t="n"/>
      <c r="E370" s="23" t="n"/>
      <c r="F370" s="23" t="n"/>
      <c r="G370" s="23" t="n"/>
      <c r="H370" s="23" t="n"/>
      <c r="I370" s="23" t="n"/>
      <c r="J370" s="23" t="n"/>
      <c r="K370" s="24" t="n"/>
      <c r="L370" s="23" t="n"/>
      <c r="M370" s="23" t="n"/>
      <c r="N370" s="24" t="n"/>
      <c r="O370" s="23" t="n"/>
      <c r="P370" s="23" t="n"/>
    </row>
    <row r="371">
      <c r="A371" s="23" t="n"/>
      <c r="B371" s="23" t="n"/>
      <c r="C371" s="23" t="n"/>
      <c r="D371" s="23" t="n"/>
      <c r="E371" s="23" t="n"/>
      <c r="F371" s="23" t="n"/>
      <c r="G371" s="23" t="n"/>
      <c r="H371" s="23" t="n"/>
      <c r="I371" s="23" t="n"/>
      <c r="J371" s="23" t="n"/>
      <c r="K371" s="24" t="n"/>
      <c r="L371" s="23" t="n"/>
      <c r="M371" s="23" t="n"/>
      <c r="N371" s="24" t="n"/>
      <c r="O371" s="23" t="n"/>
      <c r="P371" s="23" t="n"/>
    </row>
    <row r="372">
      <c r="A372" s="23" t="n"/>
      <c r="B372" s="23" t="n"/>
      <c r="C372" s="23" t="n"/>
      <c r="D372" s="23" t="n"/>
      <c r="E372" s="23" t="n"/>
      <c r="F372" s="23" t="n"/>
      <c r="G372" s="23" t="n"/>
      <c r="H372" s="23" t="n"/>
      <c r="I372" s="23" t="n"/>
      <c r="J372" s="23" t="n"/>
      <c r="K372" s="24" t="n"/>
      <c r="L372" s="23" t="n"/>
      <c r="M372" s="23" t="n"/>
      <c r="N372" s="24" t="n"/>
      <c r="O372" s="23" t="n"/>
      <c r="P372" s="23" t="n"/>
    </row>
    <row r="373">
      <c r="A373" s="23" t="n"/>
      <c r="B373" s="23" t="n"/>
      <c r="C373" s="23" t="n"/>
      <c r="D373" s="23" t="n"/>
      <c r="E373" s="23" t="n"/>
      <c r="F373" s="23" t="n"/>
      <c r="G373" s="23" t="n"/>
      <c r="H373" s="23" t="n"/>
      <c r="I373" s="23" t="n"/>
      <c r="J373" s="23" t="n"/>
      <c r="K373" s="24" t="n"/>
      <c r="L373" s="23" t="n"/>
      <c r="M373" s="23" t="n"/>
      <c r="N373" s="24" t="n"/>
      <c r="O373" s="23" t="n"/>
      <c r="P373" s="23" t="n"/>
    </row>
    <row r="374">
      <c r="A374" s="23" t="n"/>
      <c r="B374" s="23" t="n"/>
      <c r="C374" s="23" t="n"/>
      <c r="D374" s="23" t="n"/>
      <c r="E374" s="23" t="n"/>
      <c r="F374" s="23" t="n"/>
      <c r="G374" s="23" t="n"/>
      <c r="H374" s="23" t="n"/>
      <c r="I374" s="23" t="n"/>
      <c r="J374" s="23" t="n"/>
      <c r="K374" s="24" t="n"/>
      <c r="L374" s="23" t="n"/>
      <c r="M374" s="23" t="n"/>
      <c r="N374" s="24" t="n"/>
      <c r="O374" s="23" t="n"/>
      <c r="P374" s="23" t="n"/>
    </row>
    <row r="375">
      <c r="A375" s="23" t="n"/>
      <c r="B375" s="23" t="n"/>
      <c r="C375" s="23" t="n"/>
      <c r="D375" s="23" t="n"/>
      <c r="E375" s="23" t="n"/>
      <c r="F375" s="23" t="n"/>
      <c r="G375" s="23" t="n"/>
      <c r="H375" s="23" t="n"/>
      <c r="I375" s="23" t="n"/>
      <c r="J375" s="23" t="n"/>
      <c r="K375" s="24" t="n"/>
      <c r="L375" s="23" t="n"/>
      <c r="M375" s="23" t="n"/>
      <c r="N375" s="24" t="n"/>
      <c r="O375" s="23" t="n"/>
      <c r="P375" s="23" t="n"/>
    </row>
    <row r="376">
      <c r="A376" s="23" t="n"/>
      <c r="B376" s="23" t="n"/>
      <c r="C376" s="23" t="n"/>
      <c r="D376" s="23" t="n"/>
      <c r="E376" s="23" t="n"/>
      <c r="F376" s="23" t="n"/>
      <c r="G376" s="23" t="n"/>
      <c r="H376" s="23" t="n"/>
      <c r="I376" s="23" t="n"/>
      <c r="J376" s="23" t="n"/>
      <c r="K376" s="24" t="n"/>
      <c r="L376" s="23" t="n"/>
      <c r="M376" s="23" t="n"/>
      <c r="N376" s="24" t="n"/>
      <c r="O376" s="23" t="n"/>
      <c r="P376" s="23" t="n"/>
    </row>
    <row r="377">
      <c r="A377" s="23" t="n"/>
      <c r="B377" s="23" t="n"/>
      <c r="C377" s="23" t="n"/>
      <c r="D377" s="23" t="n"/>
      <c r="E377" s="23" t="n"/>
      <c r="F377" s="23" t="n"/>
      <c r="G377" s="23" t="n"/>
      <c r="H377" s="23" t="n"/>
      <c r="I377" s="23" t="n"/>
      <c r="J377" s="23" t="n"/>
      <c r="K377" s="24" t="n"/>
      <c r="L377" s="23" t="n"/>
      <c r="M377" s="23" t="n"/>
      <c r="N377" s="24" t="n"/>
      <c r="O377" s="23" t="n"/>
      <c r="P377" s="23" t="n"/>
    </row>
    <row r="378">
      <c r="A378" s="23" t="n"/>
      <c r="B378" s="23" t="n"/>
      <c r="C378" s="23" t="n"/>
      <c r="D378" s="23" t="n"/>
      <c r="E378" s="23" t="n"/>
      <c r="F378" s="23" t="n"/>
      <c r="G378" s="23" t="n"/>
      <c r="H378" s="23" t="n"/>
      <c r="I378" s="23" t="n"/>
      <c r="J378" s="23" t="n"/>
      <c r="K378" s="24" t="n"/>
      <c r="L378" s="23" t="n"/>
      <c r="M378" s="23" t="n"/>
      <c r="N378" s="24" t="n"/>
      <c r="O378" s="23" t="n"/>
      <c r="P378" s="23" t="n"/>
    </row>
    <row r="379">
      <c r="A379" s="23" t="n"/>
      <c r="B379" s="23" t="n"/>
      <c r="C379" s="23" t="n"/>
      <c r="D379" s="23" t="n"/>
      <c r="E379" s="23" t="n"/>
      <c r="F379" s="23" t="n"/>
      <c r="G379" s="23" t="n"/>
      <c r="H379" s="23" t="n"/>
      <c r="I379" s="23" t="n"/>
      <c r="J379" s="23" t="n"/>
      <c r="K379" s="24" t="n"/>
      <c r="L379" s="23" t="n"/>
      <c r="M379" s="23" t="n"/>
      <c r="N379" s="24" t="n"/>
      <c r="O379" s="23" t="n"/>
      <c r="P379" s="23" t="n"/>
    </row>
    <row r="380">
      <c r="A380" s="23" t="n"/>
      <c r="B380" s="23" t="n"/>
      <c r="C380" s="23" t="n"/>
      <c r="D380" s="23" t="n"/>
      <c r="E380" s="23" t="n"/>
      <c r="F380" s="23" t="n"/>
      <c r="G380" s="23" t="n"/>
      <c r="H380" s="23" t="n"/>
      <c r="I380" s="23" t="n"/>
      <c r="J380" s="23" t="n"/>
      <c r="K380" s="24" t="n"/>
      <c r="L380" s="23" t="n"/>
      <c r="M380" s="23" t="n"/>
      <c r="N380" s="24" t="n"/>
      <c r="O380" s="23" t="n"/>
      <c r="P380" s="23" t="n"/>
    </row>
    <row r="381">
      <c r="A381" s="23" t="n"/>
      <c r="B381" s="23" t="n"/>
      <c r="C381" s="23" t="n"/>
      <c r="D381" s="23" t="n"/>
      <c r="E381" s="23" t="n"/>
      <c r="F381" s="23" t="n"/>
      <c r="G381" s="23" t="n"/>
      <c r="H381" s="23" t="n"/>
      <c r="I381" s="23" t="n"/>
      <c r="J381" s="23" t="n"/>
      <c r="K381" s="24" t="n"/>
      <c r="L381" s="23" t="n"/>
      <c r="M381" s="23" t="n"/>
      <c r="N381" s="24" t="n"/>
      <c r="O381" s="23" t="n"/>
      <c r="P381" s="23" t="n"/>
    </row>
    <row r="382">
      <c r="A382" s="23" t="n"/>
      <c r="B382" s="23" t="n"/>
      <c r="C382" s="23" t="n"/>
      <c r="D382" s="23" t="n"/>
      <c r="E382" s="23" t="n"/>
      <c r="F382" s="23" t="n"/>
      <c r="G382" s="23" t="n"/>
      <c r="H382" s="23" t="n"/>
      <c r="I382" s="23" t="n"/>
      <c r="J382" s="23" t="n"/>
      <c r="K382" s="24" t="n"/>
      <c r="L382" s="23" t="n"/>
      <c r="M382" s="23" t="n"/>
      <c r="N382" s="24" t="n"/>
      <c r="O382" s="23" t="n"/>
      <c r="P382" s="23" t="n"/>
    </row>
    <row r="383">
      <c r="A383" s="23" t="n"/>
      <c r="B383" s="23" t="n"/>
      <c r="C383" s="23" t="n"/>
      <c r="D383" s="23" t="n"/>
      <c r="E383" s="23" t="n"/>
      <c r="F383" s="23" t="n"/>
      <c r="G383" s="23" t="n"/>
      <c r="H383" s="23" t="n"/>
      <c r="I383" s="23" t="n"/>
      <c r="J383" s="23" t="n"/>
      <c r="K383" s="24" t="n"/>
      <c r="L383" s="23" t="n"/>
      <c r="M383" s="23" t="n"/>
      <c r="N383" s="24" t="n"/>
      <c r="O383" s="23" t="n"/>
      <c r="P383" s="23" t="n"/>
    </row>
    <row r="384">
      <c r="A384" s="23" t="n"/>
      <c r="B384" s="23" t="n"/>
      <c r="C384" s="23" t="n"/>
      <c r="D384" s="23" t="n"/>
      <c r="E384" s="23" t="n"/>
      <c r="F384" s="23" t="n"/>
      <c r="G384" s="23" t="n"/>
      <c r="H384" s="23" t="n"/>
      <c r="I384" s="23" t="n"/>
      <c r="J384" s="23" t="n"/>
      <c r="K384" s="24" t="n"/>
      <c r="L384" s="23" t="n"/>
      <c r="M384" s="23" t="n"/>
      <c r="N384" s="24" t="n"/>
      <c r="O384" s="23" t="n"/>
      <c r="P384" s="23" t="n"/>
    </row>
    <row r="385">
      <c r="A385" s="23" t="n"/>
      <c r="B385" s="23" t="n"/>
      <c r="C385" s="23" t="n"/>
      <c r="D385" s="23" t="n"/>
      <c r="E385" s="23" t="n"/>
      <c r="F385" s="23" t="n"/>
      <c r="G385" s="23" t="n"/>
      <c r="H385" s="23" t="n"/>
      <c r="I385" s="23" t="n"/>
      <c r="J385" s="23" t="n"/>
      <c r="K385" s="24" t="n"/>
      <c r="L385" s="23" t="n"/>
      <c r="M385" s="23" t="n"/>
      <c r="N385" s="24" t="n"/>
      <c r="O385" s="23" t="n"/>
      <c r="P385" s="23" t="n"/>
    </row>
    <row r="386">
      <c r="A386" s="23" t="n"/>
      <c r="B386" s="23" t="n"/>
      <c r="C386" s="23" t="n"/>
      <c r="D386" s="23" t="n"/>
      <c r="E386" s="23" t="n"/>
      <c r="F386" s="23" t="n"/>
      <c r="G386" s="23" t="n"/>
      <c r="H386" s="23" t="n"/>
      <c r="I386" s="23" t="n"/>
      <c r="J386" s="23" t="n"/>
      <c r="K386" s="24" t="n"/>
      <c r="L386" s="23" t="n"/>
      <c r="M386" s="23" t="n"/>
      <c r="N386" s="24" t="n"/>
      <c r="O386" s="23" t="n"/>
      <c r="P386" s="23" t="n"/>
    </row>
    <row r="387">
      <c r="A387" s="23" t="n"/>
      <c r="B387" s="23" t="n"/>
      <c r="C387" s="23" t="n"/>
      <c r="D387" s="23" t="n"/>
      <c r="E387" s="23" t="n"/>
      <c r="F387" s="23" t="n"/>
      <c r="G387" s="23" t="n"/>
      <c r="H387" s="23" t="n"/>
      <c r="I387" s="23" t="n"/>
      <c r="J387" s="23" t="n"/>
      <c r="K387" s="24" t="n"/>
      <c r="L387" s="23" t="n"/>
      <c r="M387" s="23" t="n"/>
      <c r="N387" s="24" t="n"/>
      <c r="O387" s="23" t="n"/>
      <c r="P387" s="23" t="n"/>
    </row>
    <row r="388">
      <c r="A388" s="23" t="n"/>
      <c r="B388" s="23" t="n"/>
      <c r="C388" s="23" t="n"/>
      <c r="D388" s="23" t="n"/>
      <c r="E388" s="23" t="n"/>
      <c r="F388" s="23" t="n"/>
      <c r="G388" s="23" t="n"/>
      <c r="H388" s="23" t="n"/>
      <c r="I388" s="23" t="n"/>
      <c r="J388" s="23" t="n"/>
      <c r="K388" s="24" t="n"/>
      <c r="L388" s="23" t="n"/>
      <c r="M388" s="23" t="n"/>
      <c r="N388" s="24" t="n"/>
      <c r="O388" s="23" t="n"/>
      <c r="P388" s="23" t="n"/>
    </row>
    <row r="389">
      <c r="A389" s="23" t="n"/>
      <c r="B389" s="23" t="n"/>
      <c r="C389" s="23" t="n"/>
      <c r="D389" s="23" t="n"/>
      <c r="E389" s="23" t="n"/>
      <c r="F389" s="23" t="n"/>
      <c r="G389" s="23" t="n"/>
      <c r="H389" s="23" t="n"/>
      <c r="I389" s="23" t="n"/>
      <c r="J389" s="23" t="n"/>
      <c r="K389" s="24" t="n"/>
      <c r="L389" s="23" t="n"/>
      <c r="M389" s="23" t="n"/>
      <c r="N389" s="24" t="n"/>
      <c r="O389" s="23" t="n"/>
      <c r="P389" s="23" t="n"/>
    </row>
    <row r="390">
      <c r="A390" s="23" t="n"/>
      <c r="B390" s="23" t="n"/>
      <c r="C390" s="23" t="n"/>
      <c r="D390" s="23" t="n"/>
      <c r="E390" s="23" t="n"/>
      <c r="F390" s="23" t="n"/>
      <c r="G390" s="23" t="n"/>
      <c r="H390" s="23" t="n"/>
      <c r="I390" s="23" t="n"/>
      <c r="J390" s="23" t="n"/>
      <c r="K390" s="24" t="n"/>
      <c r="L390" s="23" t="n"/>
      <c r="M390" s="23" t="n"/>
      <c r="N390" s="24" t="n"/>
      <c r="O390" s="23" t="n"/>
      <c r="P390" s="23" t="n"/>
    </row>
    <row r="391">
      <c r="A391" s="23" t="n"/>
      <c r="B391" s="23" t="n"/>
      <c r="C391" s="23" t="n"/>
      <c r="D391" s="23" t="n"/>
      <c r="E391" s="23" t="n"/>
      <c r="F391" s="23" t="n"/>
      <c r="G391" s="23" t="n"/>
      <c r="H391" s="23" t="n"/>
      <c r="I391" s="23" t="n"/>
      <c r="J391" s="23" t="n"/>
      <c r="K391" s="24" t="n"/>
      <c r="L391" s="23" t="n"/>
      <c r="M391" s="23" t="n"/>
      <c r="N391" s="24" t="n"/>
      <c r="O391" s="23" t="n"/>
      <c r="P391" s="23" t="n"/>
    </row>
    <row r="392">
      <c r="A392" s="23" t="n"/>
      <c r="B392" s="23" t="n"/>
      <c r="C392" s="23" t="n"/>
      <c r="D392" s="23" t="n"/>
      <c r="E392" s="23" t="n"/>
      <c r="F392" s="23" t="n"/>
      <c r="G392" s="23" t="n"/>
      <c r="H392" s="23" t="n"/>
      <c r="I392" s="23" t="n"/>
      <c r="J392" s="23" t="n"/>
      <c r="K392" s="24" t="n"/>
      <c r="L392" s="23" t="n"/>
      <c r="M392" s="23" t="n"/>
      <c r="N392" s="24" t="n"/>
      <c r="O392" s="23" t="n"/>
      <c r="P392" s="23" t="n"/>
    </row>
    <row r="393">
      <c r="A393" s="23" t="n"/>
      <c r="B393" s="23" t="n"/>
      <c r="C393" s="23" t="n"/>
      <c r="D393" s="23" t="n"/>
      <c r="E393" s="23" t="n"/>
      <c r="F393" s="23" t="n"/>
      <c r="G393" s="23" t="n"/>
      <c r="H393" s="23" t="n"/>
      <c r="I393" s="23" t="n"/>
      <c r="J393" s="23" t="n"/>
      <c r="K393" s="24" t="n"/>
      <c r="L393" s="23" t="n"/>
      <c r="M393" s="23" t="n"/>
      <c r="N393" s="24" t="n"/>
      <c r="O393" s="23" t="n"/>
      <c r="P393" s="23" t="n"/>
    </row>
    <row r="394">
      <c r="A394" s="23" t="n"/>
      <c r="B394" s="23" t="n"/>
      <c r="C394" s="23" t="n"/>
      <c r="D394" s="23" t="n"/>
      <c r="E394" s="23" t="n"/>
      <c r="F394" s="23" t="n"/>
      <c r="G394" s="23" t="n"/>
      <c r="H394" s="23" t="n"/>
      <c r="I394" s="23" t="n"/>
      <c r="J394" s="23" t="n"/>
      <c r="K394" s="24" t="n"/>
      <c r="L394" s="23" t="n"/>
      <c r="M394" s="23" t="n"/>
      <c r="N394" s="24" t="n"/>
      <c r="O394" s="23" t="n"/>
      <c r="P394" s="23" t="n"/>
    </row>
    <row r="395">
      <c r="A395" s="23" t="n"/>
      <c r="B395" s="23" t="n"/>
      <c r="C395" s="23" t="n"/>
      <c r="D395" s="23" t="n"/>
      <c r="E395" s="23" t="n"/>
      <c r="F395" s="23" t="n"/>
      <c r="G395" s="23" t="n"/>
      <c r="H395" s="23" t="n"/>
      <c r="I395" s="23" t="n"/>
      <c r="J395" s="23" t="n"/>
      <c r="K395" s="24" t="n"/>
      <c r="L395" s="23" t="n"/>
      <c r="M395" s="23" t="n"/>
      <c r="N395" s="24" t="n"/>
      <c r="O395" s="23" t="n"/>
      <c r="P395" s="23" t="n"/>
    </row>
    <row r="396">
      <c r="A396" s="23" t="n"/>
      <c r="B396" s="23" t="n"/>
      <c r="C396" s="23" t="n"/>
      <c r="D396" s="23" t="n"/>
      <c r="E396" s="23" t="n"/>
      <c r="F396" s="23" t="n"/>
      <c r="G396" s="23" t="n"/>
      <c r="H396" s="23" t="n"/>
      <c r="I396" s="23" t="n"/>
      <c r="J396" s="23" t="n"/>
      <c r="K396" s="24" t="n"/>
      <c r="L396" s="23" t="n"/>
      <c r="M396" s="23" t="n"/>
      <c r="N396" s="24" t="n"/>
      <c r="O396" s="23" t="n"/>
      <c r="P396" s="23" t="n"/>
    </row>
    <row r="397">
      <c r="A397" s="23" t="n"/>
      <c r="B397" s="23" t="n"/>
      <c r="C397" s="23" t="n"/>
      <c r="D397" s="23" t="n"/>
      <c r="E397" s="23" t="n"/>
      <c r="F397" s="23" t="n"/>
      <c r="G397" s="23" t="n"/>
      <c r="H397" s="23" t="n"/>
      <c r="I397" s="23" t="n"/>
      <c r="J397" s="23" t="n"/>
      <c r="K397" s="24" t="n"/>
      <c r="L397" s="23" t="n"/>
      <c r="M397" s="23" t="n"/>
      <c r="N397" s="24" t="n"/>
      <c r="O397" s="23" t="n"/>
      <c r="P397" s="23" t="n"/>
    </row>
    <row r="398">
      <c r="A398" s="23" t="n"/>
      <c r="B398" s="23" t="n"/>
      <c r="C398" s="23" t="n"/>
      <c r="D398" s="23" t="n"/>
      <c r="E398" s="23" t="n"/>
      <c r="F398" s="23" t="n"/>
      <c r="G398" s="23" t="n"/>
      <c r="H398" s="23" t="n"/>
      <c r="I398" s="23" t="n"/>
      <c r="J398" s="23" t="n"/>
      <c r="K398" s="24" t="n"/>
      <c r="L398" s="23" t="n"/>
      <c r="M398" s="23" t="n"/>
      <c r="N398" s="24" t="n"/>
      <c r="O398" s="23" t="n"/>
      <c r="P398" s="23" t="n"/>
    </row>
    <row r="399">
      <c r="A399" s="23" t="n"/>
      <c r="B399" s="23" t="n"/>
      <c r="C399" s="23" t="n"/>
      <c r="D399" s="23" t="n"/>
      <c r="E399" s="23" t="n"/>
      <c r="F399" s="23" t="n"/>
      <c r="G399" s="23" t="n"/>
      <c r="H399" s="23" t="n"/>
      <c r="I399" s="23" t="n"/>
      <c r="J399" s="23" t="n"/>
      <c r="K399" s="24" t="n"/>
      <c r="L399" s="23" t="n"/>
      <c r="M399" s="23" t="n"/>
      <c r="N399" s="24" t="n"/>
      <c r="O399" s="23" t="n"/>
      <c r="P399" s="23" t="n"/>
    </row>
    <row r="400">
      <c r="A400" s="23" t="n"/>
      <c r="B400" s="23" t="n"/>
      <c r="C400" s="23" t="n"/>
      <c r="D400" s="23" t="n"/>
      <c r="E400" s="23" t="n"/>
      <c r="F400" s="23" t="n"/>
      <c r="G400" s="23" t="n"/>
      <c r="H400" s="23" t="n"/>
      <c r="I400" s="23" t="n"/>
      <c r="J400" s="23" t="n"/>
      <c r="K400" s="24" t="n"/>
      <c r="L400" s="23" t="n"/>
      <c r="M400" s="23" t="n"/>
      <c r="N400" s="24" t="n"/>
      <c r="O400" s="23" t="n"/>
      <c r="P400" s="23" t="n"/>
    </row>
    <row r="401">
      <c r="A401" s="23" t="n"/>
      <c r="B401" s="23" t="n"/>
      <c r="C401" s="23" t="n"/>
      <c r="D401" s="23" t="n"/>
      <c r="E401" s="23" t="n"/>
      <c r="F401" s="23" t="n"/>
      <c r="G401" s="23" t="n"/>
      <c r="H401" s="23" t="n"/>
      <c r="I401" s="23" t="n"/>
      <c r="J401" s="23" t="n"/>
      <c r="K401" s="24" t="n"/>
      <c r="L401" s="23" t="n"/>
      <c r="M401" s="23" t="n"/>
      <c r="N401" s="24" t="n"/>
      <c r="O401" s="23" t="n"/>
      <c r="P401" s="23" t="n"/>
    </row>
    <row r="402">
      <c r="A402" s="23" t="n"/>
      <c r="B402" s="23" t="n"/>
      <c r="C402" s="23" t="n"/>
      <c r="D402" s="23" t="n"/>
      <c r="E402" s="23" t="n"/>
      <c r="F402" s="23" t="n"/>
      <c r="G402" s="23" t="n"/>
      <c r="H402" s="23" t="n"/>
      <c r="I402" s="23" t="n"/>
      <c r="J402" s="23" t="n"/>
      <c r="K402" s="24" t="n"/>
      <c r="L402" s="23" t="n"/>
      <c r="M402" s="23" t="n"/>
      <c r="N402" s="24" t="n"/>
      <c r="O402" s="23" t="n"/>
      <c r="P402" s="23" t="n"/>
    </row>
    <row r="403">
      <c r="A403" s="23" t="n"/>
      <c r="B403" s="23" t="n"/>
      <c r="C403" s="23" t="n"/>
      <c r="D403" s="23" t="n"/>
      <c r="E403" s="23" t="n"/>
      <c r="F403" s="23" t="n"/>
      <c r="G403" s="23" t="n"/>
      <c r="H403" s="23" t="n"/>
      <c r="I403" s="23" t="n"/>
      <c r="J403" s="23" t="n"/>
      <c r="K403" s="24" t="n"/>
      <c r="L403" s="23" t="n"/>
      <c r="M403" s="23" t="n"/>
      <c r="N403" s="24" t="n"/>
      <c r="O403" s="23" t="n"/>
      <c r="P403" s="23" t="n"/>
    </row>
    <row r="404">
      <c r="A404" s="23" t="n"/>
      <c r="B404" s="23" t="n"/>
      <c r="C404" s="23" t="n"/>
      <c r="D404" s="23" t="n"/>
      <c r="E404" s="23" t="n"/>
      <c r="F404" s="23" t="n"/>
      <c r="G404" s="23" t="n"/>
      <c r="H404" s="23" t="n"/>
      <c r="I404" s="23" t="n"/>
      <c r="J404" s="23" t="n"/>
      <c r="K404" s="24" t="n"/>
      <c r="L404" s="23" t="n"/>
      <c r="M404" s="23" t="n"/>
      <c r="N404" s="24" t="n"/>
      <c r="O404" s="23" t="n"/>
      <c r="P404" s="23" t="n"/>
    </row>
    <row r="405">
      <c r="A405" s="23" t="n"/>
      <c r="B405" s="23" t="n"/>
      <c r="C405" s="23" t="n"/>
      <c r="D405" s="23" t="n"/>
      <c r="E405" s="23" t="n"/>
      <c r="F405" s="23" t="n"/>
      <c r="G405" s="23" t="n"/>
      <c r="H405" s="23" t="n"/>
      <c r="I405" s="23" t="n"/>
      <c r="J405" s="23" t="n"/>
      <c r="K405" s="24" t="n"/>
      <c r="L405" s="23" t="n"/>
      <c r="M405" s="23" t="n"/>
      <c r="N405" s="24" t="n"/>
      <c r="O405" s="23" t="n"/>
      <c r="P405" s="23" t="n"/>
    </row>
    <row r="406">
      <c r="A406" s="23" t="n"/>
      <c r="B406" s="23" t="n"/>
      <c r="C406" s="23" t="n"/>
      <c r="D406" s="23" t="n"/>
      <c r="E406" s="23" t="n"/>
      <c r="F406" s="23" t="n"/>
      <c r="G406" s="23" t="n"/>
      <c r="H406" s="23" t="n"/>
      <c r="I406" s="23" t="n"/>
      <c r="J406" s="23" t="n"/>
      <c r="K406" s="24" t="n"/>
      <c r="L406" s="23" t="n"/>
      <c r="M406" s="23" t="n"/>
      <c r="N406" s="24" t="n"/>
      <c r="O406" s="23" t="n"/>
      <c r="P406" s="23" t="n"/>
    </row>
    <row r="407">
      <c r="A407" s="23" t="n"/>
      <c r="B407" s="23" t="n"/>
      <c r="C407" s="23" t="n"/>
      <c r="D407" s="23" t="n"/>
      <c r="E407" s="23" t="n"/>
      <c r="F407" s="23" t="n"/>
      <c r="G407" s="23" t="n"/>
      <c r="H407" s="23" t="n"/>
      <c r="I407" s="23" t="n"/>
      <c r="J407" s="23" t="n"/>
      <c r="K407" s="24" t="n"/>
      <c r="L407" s="23" t="n"/>
      <c r="M407" s="23" t="n"/>
      <c r="N407" s="24" t="n"/>
      <c r="O407" s="23" t="n"/>
      <c r="P407" s="23" t="n"/>
    </row>
    <row r="408">
      <c r="A408" s="23" t="n"/>
      <c r="B408" s="23" t="n"/>
      <c r="C408" s="23" t="n"/>
      <c r="D408" s="23" t="n"/>
      <c r="E408" s="23" t="n"/>
      <c r="F408" s="23" t="n"/>
      <c r="G408" s="23" t="n"/>
      <c r="H408" s="23" t="n"/>
      <c r="I408" s="23" t="n"/>
      <c r="J408" s="23" t="n"/>
      <c r="K408" s="24" t="n"/>
      <c r="L408" s="23" t="n"/>
      <c r="M408" s="23" t="n"/>
      <c r="N408" s="24" t="n"/>
      <c r="O408" s="23" t="n"/>
      <c r="P408" s="23" t="n"/>
    </row>
    <row r="409">
      <c r="A409" s="23" t="n"/>
      <c r="B409" s="23" t="n"/>
      <c r="C409" s="23" t="n"/>
      <c r="D409" s="23" t="n"/>
      <c r="E409" s="23" t="n"/>
      <c r="F409" s="23" t="n"/>
      <c r="G409" s="23" t="n"/>
      <c r="H409" s="23" t="n"/>
      <c r="I409" s="23" t="n"/>
      <c r="J409" s="23" t="n"/>
      <c r="K409" s="24" t="n"/>
      <c r="L409" s="23" t="n"/>
      <c r="M409" s="23" t="n"/>
      <c r="N409" s="24" t="n"/>
      <c r="O409" s="23" t="n"/>
      <c r="P409" s="23" t="n"/>
    </row>
    <row r="410">
      <c r="A410" s="23" t="n"/>
      <c r="B410" s="23" t="n"/>
      <c r="C410" s="23" t="n"/>
      <c r="D410" s="23" t="n"/>
      <c r="E410" s="23" t="n"/>
      <c r="F410" s="23" t="n"/>
      <c r="G410" s="23" t="n"/>
      <c r="H410" s="23" t="n"/>
      <c r="I410" s="23" t="n"/>
      <c r="J410" s="23" t="n"/>
      <c r="K410" s="24" t="n"/>
      <c r="L410" s="23" t="n"/>
      <c r="M410" s="23" t="n"/>
      <c r="N410" s="24" t="n"/>
      <c r="O410" s="23" t="n"/>
      <c r="P410" s="23" t="n"/>
    </row>
    <row r="411">
      <c r="A411" s="23" t="n"/>
      <c r="B411" s="23" t="n"/>
      <c r="C411" s="23" t="n"/>
      <c r="D411" s="23" t="n"/>
      <c r="E411" s="23" t="n"/>
      <c r="F411" s="23" t="n"/>
      <c r="G411" s="23" t="n"/>
      <c r="H411" s="23" t="n"/>
      <c r="I411" s="23" t="n"/>
      <c r="J411" s="23" t="n"/>
      <c r="K411" s="24" t="n"/>
      <c r="L411" s="23" t="n"/>
      <c r="M411" s="23" t="n"/>
      <c r="N411" s="24" t="n"/>
      <c r="O411" s="23" t="n"/>
      <c r="P411" s="23" t="n"/>
    </row>
    <row r="412">
      <c r="A412" s="23" t="n"/>
      <c r="B412" s="23" t="n"/>
      <c r="C412" s="23" t="n"/>
      <c r="D412" s="23" t="n"/>
      <c r="E412" s="23" t="n"/>
      <c r="F412" s="23" t="n"/>
      <c r="G412" s="23" t="n"/>
      <c r="H412" s="23" t="n"/>
      <c r="I412" s="23" t="n"/>
      <c r="J412" s="23" t="n"/>
      <c r="K412" s="24" t="n"/>
      <c r="L412" s="23" t="n"/>
      <c r="M412" s="23" t="n"/>
      <c r="N412" s="24" t="n"/>
      <c r="O412" s="23" t="n"/>
      <c r="P412" s="23" t="n"/>
    </row>
    <row r="413">
      <c r="A413" s="23" t="n"/>
      <c r="B413" s="23" t="n"/>
      <c r="C413" s="23" t="n"/>
      <c r="D413" s="23" t="n"/>
      <c r="E413" s="23" t="n"/>
      <c r="F413" s="23" t="n"/>
      <c r="G413" s="23" t="n"/>
      <c r="H413" s="23" t="n"/>
      <c r="I413" s="23" t="n"/>
      <c r="J413" s="23" t="n"/>
      <c r="K413" s="24" t="n"/>
      <c r="L413" s="23" t="n"/>
      <c r="M413" s="23" t="n"/>
      <c r="N413" s="24" t="n"/>
      <c r="O413" s="23" t="n"/>
      <c r="P413" s="23" t="n"/>
    </row>
    <row r="414">
      <c r="A414" s="23" t="n"/>
      <c r="B414" s="23" t="n"/>
      <c r="C414" s="23" t="n"/>
      <c r="D414" s="23" t="n"/>
      <c r="E414" s="23" t="n"/>
      <c r="F414" s="23" t="n"/>
      <c r="G414" s="23" t="n"/>
      <c r="H414" s="23" t="n"/>
      <c r="I414" s="23" t="n"/>
      <c r="J414" s="23" t="n"/>
      <c r="K414" s="24" t="n"/>
      <c r="L414" s="23" t="n"/>
      <c r="M414" s="23" t="n"/>
      <c r="N414" s="24" t="n"/>
      <c r="O414" s="23" t="n"/>
      <c r="P414" s="23" t="n"/>
    </row>
    <row r="415">
      <c r="A415" s="23" t="n"/>
      <c r="B415" s="23" t="n"/>
      <c r="C415" s="23" t="n"/>
      <c r="D415" s="23" t="n"/>
      <c r="E415" s="23" t="n"/>
      <c r="F415" s="23" t="n"/>
      <c r="G415" s="23" t="n"/>
      <c r="H415" s="23" t="n"/>
      <c r="I415" s="23" t="n"/>
      <c r="J415" s="23" t="n"/>
      <c r="K415" s="24" t="n"/>
      <c r="L415" s="23" t="n"/>
      <c r="M415" s="23" t="n"/>
      <c r="N415" s="24" t="n"/>
      <c r="O415" s="23" t="n"/>
      <c r="P415" s="23" t="n"/>
    </row>
    <row r="416">
      <c r="A416" s="23" t="n"/>
      <c r="B416" s="23" t="n"/>
      <c r="C416" s="23" t="n"/>
      <c r="D416" s="23" t="n"/>
      <c r="E416" s="23" t="n"/>
      <c r="F416" s="23" t="n"/>
      <c r="G416" s="23" t="n"/>
      <c r="H416" s="23" t="n"/>
      <c r="I416" s="23" t="n"/>
      <c r="J416" s="23" t="n"/>
      <c r="K416" s="24" t="n"/>
      <c r="L416" s="23" t="n"/>
      <c r="M416" s="23" t="n"/>
      <c r="N416" s="24" t="n"/>
      <c r="O416" s="23" t="n"/>
      <c r="P416" s="23" t="n"/>
    </row>
    <row r="417">
      <c r="A417" s="23" t="n"/>
      <c r="B417" s="23" t="n"/>
      <c r="C417" s="23" t="n"/>
      <c r="D417" s="23" t="n"/>
      <c r="E417" s="23" t="n"/>
      <c r="F417" s="23" t="n"/>
      <c r="G417" s="23" t="n"/>
      <c r="H417" s="23" t="n"/>
      <c r="I417" s="23" t="n"/>
      <c r="J417" s="23" t="n"/>
      <c r="K417" s="24" t="n"/>
      <c r="L417" s="23" t="n"/>
      <c r="M417" s="23" t="n"/>
      <c r="N417" s="24" t="n"/>
      <c r="O417" s="23" t="n"/>
      <c r="P417" s="23" t="n"/>
    </row>
    <row r="418">
      <c r="A418" s="23" t="n"/>
      <c r="B418" s="23" t="n"/>
      <c r="C418" s="23" t="n"/>
      <c r="D418" s="23" t="n"/>
      <c r="E418" s="23" t="n"/>
      <c r="F418" s="23" t="n"/>
      <c r="G418" s="23" t="n"/>
      <c r="H418" s="23" t="n"/>
      <c r="I418" s="23" t="n"/>
      <c r="J418" s="23" t="n"/>
      <c r="K418" s="24" t="n"/>
      <c r="L418" s="23" t="n"/>
      <c r="M418" s="23" t="n"/>
      <c r="N418" s="24" t="n"/>
      <c r="O418" s="23" t="n"/>
      <c r="P418" s="23" t="n"/>
    </row>
    <row r="419">
      <c r="A419" s="23" t="n"/>
      <c r="B419" s="23" t="n"/>
      <c r="C419" s="23" t="n"/>
      <c r="D419" s="23" t="n"/>
      <c r="E419" s="23" t="n"/>
      <c r="F419" s="23" t="n"/>
      <c r="G419" s="23" t="n"/>
      <c r="H419" s="23" t="n"/>
      <c r="I419" s="23" t="n"/>
      <c r="J419" s="23" t="n"/>
      <c r="K419" s="24" t="n"/>
      <c r="L419" s="23" t="n"/>
      <c r="M419" s="23" t="n"/>
      <c r="N419" s="24" t="n"/>
      <c r="O419" s="23" t="n"/>
      <c r="P419" s="23" t="n"/>
    </row>
    <row r="420">
      <c r="A420" s="23" t="n"/>
      <c r="B420" s="23" t="n"/>
      <c r="C420" s="23" t="n"/>
      <c r="D420" s="23" t="n"/>
      <c r="E420" s="23" t="n"/>
      <c r="F420" s="23" t="n"/>
      <c r="G420" s="23" t="n"/>
      <c r="H420" s="23" t="n"/>
      <c r="I420" s="23" t="n"/>
      <c r="J420" s="23" t="n"/>
      <c r="K420" s="24" t="n"/>
      <c r="L420" s="23" t="n"/>
      <c r="M420" s="23" t="n"/>
      <c r="N420" s="24" t="n"/>
      <c r="O420" s="23" t="n"/>
      <c r="P420" s="23" t="n"/>
    </row>
    <row r="421">
      <c r="A421" s="23" t="n"/>
      <c r="B421" s="23" t="n"/>
      <c r="C421" s="23" t="n"/>
      <c r="D421" s="23" t="n"/>
      <c r="E421" s="23" t="n"/>
      <c r="F421" s="23" t="n"/>
      <c r="G421" s="23" t="n"/>
      <c r="H421" s="23" t="n"/>
      <c r="I421" s="23" t="n"/>
      <c r="J421" s="23" t="n"/>
      <c r="K421" s="24" t="n"/>
      <c r="L421" s="23" t="n"/>
      <c r="M421" s="23" t="n"/>
      <c r="N421" s="24" t="n"/>
      <c r="O421" s="23" t="n"/>
      <c r="P421" s="23" t="n"/>
    </row>
    <row r="422">
      <c r="A422" s="23" t="n"/>
      <c r="B422" s="23" t="n"/>
      <c r="C422" s="23" t="n"/>
      <c r="D422" s="23" t="n"/>
      <c r="E422" s="23" t="n"/>
      <c r="F422" s="23" t="n"/>
      <c r="G422" s="23" t="n"/>
      <c r="H422" s="23" t="n"/>
      <c r="I422" s="23" t="n"/>
      <c r="J422" s="23" t="n"/>
      <c r="K422" s="24" t="n"/>
      <c r="L422" s="23" t="n"/>
      <c r="M422" s="23" t="n"/>
      <c r="N422" s="24" t="n"/>
      <c r="O422" s="23" t="n"/>
      <c r="P422" s="23" t="n"/>
    </row>
    <row r="423">
      <c r="A423" s="23" t="n"/>
      <c r="B423" s="23" t="n"/>
      <c r="C423" s="23" t="n"/>
      <c r="D423" s="23" t="n"/>
      <c r="E423" s="23" t="n"/>
      <c r="F423" s="23" t="n"/>
      <c r="G423" s="23" t="n"/>
      <c r="H423" s="23" t="n"/>
      <c r="I423" s="23" t="n"/>
      <c r="J423" s="23" t="n"/>
      <c r="K423" s="24" t="n"/>
      <c r="L423" s="23" t="n"/>
      <c r="M423" s="23" t="n"/>
      <c r="N423" s="24" t="n"/>
      <c r="O423" s="23" t="n"/>
      <c r="P423" s="23" t="n"/>
    </row>
    <row r="424">
      <c r="A424" s="23" t="n"/>
      <c r="B424" s="23" t="n"/>
      <c r="C424" s="23" t="n"/>
      <c r="D424" s="23" t="n"/>
      <c r="E424" s="23" t="n"/>
      <c r="F424" s="23" t="n"/>
      <c r="G424" s="23" t="n"/>
      <c r="H424" s="23" t="n"/>
      <c r="I424" s="23" t="n"/>
      <c r="J424" s="23" t="n"/>
      <c r="K424" s="24" t="n"/>
      <c r="L424" s="23" t="n"/>
      <c r="M424" s="23" t="n"/>
      <c r="N424" s="24" t="n"/>
      <c r="O424" s="23" t="n"/>
      <c r="P424" s="23" t="n"/>
    </row>
    <row r="425">
      <c r="A425" s="23" t="n"/>
      <c r="B425" s="23" t="n"/>
      <c r="C425" s="23" t="n"/>
      <c r="D425" s="23" t="n"/>
      <c r="E425" s="23" t="n"/>
      <c r="F425" s="23" t="n"/>
      <c r="G425" s="23" t="n"/>
      <c r="H425" s="23" t="n"/>
      <c r="I425" s="23" t="n"/>
      <c r="J425" s="23" t="n"/>
      <c r="K425" s="24" t="n"/>
      <c r="L425" s="23" t="n"/>
      <c r="M425" s="23" t="n"/>
      <c r="N425" s="24" t="n"/>
      <c r="O425" s="23" t="n"/>
      <c r="P425" s="23" t="n"/>
    </row>
    <row r="426">
      <c r="A426" s="23" t="n"/>
      <c r="B426" s="23" t="n"/>
      <c r="C426" s="23" t="n"/>
      <c r="D426" s="23" t="n"/>
      <c r="E426" s="23" t="n"/>
      <c r="F426" s="23" t="n"/>
      <c r="G426" s="23" t="n"/>
      <c r="H426" s="23" t="n"/>
      <c r="I426" s="23" t="n"/>
      <c r="J426" s="23" t="n"/>
      <c r="K426" s="24" t="n"/>
      <c r="L426" s="23" t="n"/>
      <c r="M426" s="23" t="n"/>
      <c r="N426" s="24" t="n"/>
      <c r="O426" s="23" t="n"/>
      <c r="P426" s="23" t="n"/>
    </row>
    <row r="427">
      <c r="A427" s="23" t="n"/>
      <c r="B427" s="23" t="n"/>
      <c r="C427" s="23" t="n"/>
      <c r="D427" s="23" t="n"/>
      <c r="E427" s="23" t="n"/>
      <c r="F427" s="23" t="n"/>
      <c r="G427" s="23" t="n"/>
      <c r="H427" s="23" t="n"/>
      <c r="I427" s="23" t="n"/>
      <c r="J427" s="23" t="n"/>
      <c r="K427" s="24" t="n"/>
      <c r="L427" s="23" t="n"/>
      <c r="M427" s="23" t="n"/>
      <c r="N427" s="24" t="n"/>
      <c r="O427" s="23" t="n"/>
      <c r="P427" s="23" t="n"/>
    </row>
    <row r="428">
      <c r="A428" s="23" t="n"/>
      <c r="B428" s="23" t="n"/>
      <c r="C428" s="23" t="n"/>
      <c r="D428" s="23" t="n"/>
      <c r="E428" s="23" t="n"/>
      <c r="F428" s="23" t="n"/>
      <c r="G428" s="23" t="n"/>
      <c r="H428" s="23" t="n"/>
      <c r="I428" s="23" t="n"/>
      <c r="J428" s="23" t="n"/>
      <c r="K428" s="24" t="n"/>
      <c r="L428" s="23" t="n"/>
      <c r="M428" s="23" t="n"/>
      <c r="N428" s="24" t="n"/>
      <c r="O428" s="23" t="n"/>
      <c r="P428" s="23" t="n"/>
    </row>
    <row r="429">
      <c r="A429" s="23" t="n"/>
      <c r="B429" s="23" t="n"/>
      <c r="C429" s="23" t="n"/>
      <c r="D429" s="23" t="n"/>
      <c r="E429" s="23" t="n"/>
      <c r="F429" s="23" t="n"/>
      <c r="G429" s="23" t="n"/>
      <c r="H429" s="23" t="n"/>
      <c r="I429" s="23" t="n"/>
      <c r="J429" s="23" t="n"/>
      <c r="K429" s="24" t="n"/>
      <c r="L429" s="23" t="n"/>
      <c r="M429" s="23" t="n"/>
      <c r="N429" s="24" t="n"/>
      <c r="O429" s="23" t="n"/>
      <c r="P429" s="23" t="n"/>
    </row>
    <row r="430">
      <c r="A430" s="23" t="n"/>
      <c r="B430" s="23" t="n"/>
      <c r="C430" s="23" t="n"/>
      <c r="D430" s="23" t="n"/>
      <c r="E430" s="23" t="n"/>
      <c r="F430" s="23" t="n"/>
      <c r="G430" s="23" t="n"/>
      <c r="H430" s="23" t="n"/>
      <c r="I430" s="23" t="n"/>
      <c r="J430" s="23" t="n"/>
      <c r="K430" s="24" t="n"/>
      <c r="L430" s="23" t="n"/>
      <c r="M430" s="23" t="n"/>
      <c r="N430" s="24" t="n"/>
      <c r="O430" s="23" t="n"/>
      <c r="P430" s="23" t="n"/>
    </row>
    <row r="431">
      <c r="A431" s="23" t="n"/>
      <c r="B431" s="23" t="n"/>
      <c r="C431" s="23" t="n"/>
      <c r="D431" s="23" t="n"/>
      <c r="E431" s="23" t="n"/>
      <c r="F431" s="23" t="n"/>
      <c r="G431" s="23" t="n"/>
      <c r="H431" s="23" t="n"/>
      <c r="I431" s="23" t="n"/>
      <c r="J431" s="23" t="n"/>
      <c r="K431" s="24" t="n"/>
      <c r="L431" s="23" t="n"/>
      <c r="M431" s="23" t="n"/>
      <c r="N431" s="24" t="n"/>
      <c r="O431" s="23" t="n"/>
      <c r="P431" s="23" t="n"/>
    </row>
    <row r="432">
      <c r="A432" s="23" t="n"/>
      <c r="B432" s="23" t="n"/>
      <c r="C432" s="23" t="n"/>
      <c r="D432" s="23" t="n"/>
      <c r="E432" s="23" t="n"/>
      <c r="F432" s="23" t="n"/>
      <c r="G432" s="23" t="n"/>
      <c r="H432" s="23" t="n"/>
      <c r="I432" s="23" t="n"/>
      <c r="J432" s="23" t="n"/>
      <c r="K432" s="24" t="n"/>
      <c r="L432" s="23" t="n"/>
      <c r="M432" s="23" t="n"/>
      <c r="N432" s="24" t="n"/>
      <c r="O432" s="23" t="n"/>
      <c r="P432" s="23" t="n"/>
    </row>
    <row r="433">
      <c r="A433" s="23" t="n"/>
      <c r="B433" s="23" t="n"/>
      <c r="C433" s="23" t="n"/>
      <c r="D433" s="23" t="n"/>
      <c r="E433" s="23" t="n"/>
      <c r="F433" s="23" t="n"/>
      <c r="G433" s="23" t="n"/>
      <c r="H433" s="23" t="n"/>
      <c r="I433" s="23" t="n"/>
      <c r="J433" s="23" t="n"/>
      <c r="K433" s="24" t="n"/>
      <c r="L433" s="23" t="n"/>
      <c r="M433" s="23" t="n"/>
      <c r="N433" s="24" t="n"/>
      <c r="O433" s="23" t="n"/>
      <c r="P433" s="23" t="n"/>
    </row>
    <row r="434">
      <c r="A434" s="23" t="n"/>
      <c r="B434" s="23" t="n"/>
      <c r="C434" s="23" t="n"/>
      <c r="D434" s="23" t="n"/>
      <c r="E434" s="23" t="n"/>
      <c r="F434" s="23" t="n"/>
      <c r="G434" s="23" t="n"/>
      <c r="H434" s="23" t="n"/>
      <c r="I434" s="23" t="n"/>
      <c r="J434" s="23" t="n"/>
      <c r="K434" s="24" t="n"/>
      <c r="L434" s="23" t="n"/>
      <c r="M434" s="23" t="n"/>
      <c r="N434" s="24" t="n"/>
      <c r="O434" s="23" t="n"/>
      <c r="P434" s="23" t="n"/>
    </row>
    <row r="435">
      <c r="A435" s="23" t="n"/>
      <c r="B435" s="23" t="n"/>
      <c r="C435" s="23" t="n"/>
      <c r="D435" s="23" t="n"/>
      <c r="E435" s="23" t="n"/>
      <c r="F435" s="23" t="n"/>
      <c r="G435" s="23" t="n"/>
      <c r="H435" s="23" t="n"/>
      <c r="I435" s="23" t="n"/>
      <c r="J435" s="23" t="n"/>
      <c r="K435" s="24" t="n"/>
      <c r="L435" s="23" t="n"/>
      <c r="M435" s="23" t="n"/>
      <c r="N435" s="24" t="n"/>
      <c r="O435" s="23" t="n"/>
      <c r="P435" s="23" t="n"/>
    </row>
    <row r="436">
      <c r="A436" s="23" t="n"/>
      <c r="B436" s="23" t="n"/>
      <c r="C436" s="23" t="n"/>
      <c r="D436" s="23" t="n"/>
      <c r="E436" s="23" t="n"/>
      <c r="F436" s="23" t="n"/>
      <c r="G436" s="23" t="n"/>
      <c r="H436" s="23" t="n"/>
      <c r="I436" s="23" t="n"/>
      <c r="J436" s="23" t="n"/>
      <c r="K436" s="24" t="n"/>
      <c r="L436" s="23" t="n"/>
      <c r="M436" s="23" t="n"/>
      <c r="N436" s="24" t="n"/>
      <c r="O436" s="23" t="n"/>
      <c r="P436" s="23" t="n"/>
    </row>
    <row r="437">
      <c r="A437" s="23" t="n"/>
      <c r="B437" s="23" t="n"/>
      <c r="C437" s="23" t="n"/>
      <c r="D437" s="23" t="n"/>
      <c r="E437" s="23" t="n"/>
      <c r="F437" s="23" t="n"/>
      <c r="G437" s="23" t="n"/>
      <c r="H437" s="23" t="n"/>
      <c r="I437" s="23" t="n"/>
      <c r="J437" s="23" t="n"/>
      <c r="K437" s="24" t="n"/>
      <c r="L437" s="23" t="n"/>
      <c r="M437" s="23" t="n"/>
      <c r="N437" s="24" t="n"/>
      <c r="O437" s="23" t="n"/>
      <c r="P437" s="23" t="n"/>
    </row>
    <row r="438">
      <c r="A438" s="23" t="n"/>
      <c r="B438" s="23" t="n"/>
      <c r="C438" s="23" t="n"/>
      <c r="D438" s="23" t="n"/>
      <c r="E438" s="23" t="n"/>
      <c r="F438" s="23" t="n"/>
      <c r="G438" s="23" t="n"/>
      <c r="H438" s="23" t="n"/>
      <c r="I438" s="23" t="n"/>
      <c r="J438" s="23" t="n"/>
      <c r="K438" s="24" t="n"/>
      <c r="L438" s="23" t="n"/>
      <c r="M438" s="23" t="n"/>
      <c r="N438" s="24" t="n"/>
      <c r="O438" s="23" t="n"/>
      <c r="P438" s="23" t="n"/>
    </row>
    <row r="439">
      <c r="A439" s="23" t="n"/>
      <c r="B439" s="23" t="n"/>
      <c r="C439" s="23" t="n"/>
      <c r="D439" s="23" t="n"/>
      <c r="E439" s="23" t="n"/>
      <c r="F439" s="23" t="n"/>
      <c r="G439" s="23" t="n"/>
      <c r="H439" s="23" t="n"/>
      <c r="I439" s="23" t="n"/>
      <c r="J439" s="23" t="n"/>
      <c r="K439" s="24" t="n"/>
      <c r="L439" s="23" t="n"/>
      <c r="M439" s="23" t="n"/>
      <c r="N439" s="24" t="n"/>
      <c r="O439" s="23" t="n"/>
      <c r="P439" s="23" t="n"/>
    </row>
    <row r="440">
      <c r="A440" s="23" t="n"/>
      <c r="B440" s="23" t="n"/>
      <c r="C440" s="23" t="n"/>
      <c r="D440" s="23" t="n"/>
      <c r="E440" s="23" t="n"/>
      <c r="F440" s="23" t="n"/>
      <c r="G440" s="23" t="n"/>
      <c r="H440" s="23" t="n"/>
      <c r="I440" s="23" t="n"/>
      <c r="J440" s="23" t="n"/>
      <c r="K440" s="24" t="n"/>
      <c r="L440" s="23" t="n"/>
      <c r="M440" s="23" t="n"/>
      <c r="N440" s="24" t="n"/>
      <c r="O440" s="23" t="n"/>
      <c r="P440" s="23" t="n"/>
    </row>
    <row r="441">
      <c r="A441" s="23" t="n"/>
      <c r="B441" s="23" t="n"/>
      <c r="C441" s="23" t="n"/>
      <c r="D441" s="23" t="n"/>
      <c r="E441" s="23" t="n"/>
      <c r="F441" s="23" t="n"/>
      <c r="G441" s="23" t="n"/>
      <c r="H441" s="23" t="n"/>
      <c r="I441" s="23" t="n"/>
      <c r="J441" s="23" t="n"/>
      <c r="K441" s="24" t="n"/>
      <c r="L441" s="23" t="n"/>
      <c r="M441" s="23" t="n"/>
      <c r="N441" s="24" t="n"/>
      <c r="O441" s="23" t="n"/>
      <c r="P441" s="23" t="n"/>
    </row>
    <row r="442">
      <c r="A442" s="23" t="n"/>
      <c r="B442" s="23" t="n"/>
      <c r="C442" s="23" t="n"/>
      <c r="D442" s="23" t="n"/>
      <c r="E442" s="23" t="n"/>
      <c r="F442" s="23" t="n"/>
      <c r="G442" s="23" t="n"/>
      <c r="H442" s="23" t="n"/>
      <c r="I442" s="23" t="n"/>
      <c r="J442" s="23" t="n"/>
      <c r="K442" s="24" t="n"/>
      <c r="L442" s="23" t="n"/>
      <c r="M442" s="23" t="n"/>
      <c r="N442" s="24" t="n"/>
      <c r="O442" s="23" t="n"/>
      <c r="P442" s="23" t="n"/>
    </row>
    <row r="443">
      <c r="A443" s="23" t="n"/>
      <c r="B443" s="23" t="n"/>
      <c r="C443" s="23" t="n"/>
      <c r="D443" s="23" t="n"/>
      <c r="E443" s="23" t="n"/>
      <c r="F443" s="23" t="n"/>
      <c r="G443" s="23" t="n"/>
      <c r="H443" s="23" t="n"/>
      <c r="I443" s="23" t="n"/>
      <c r="J443" s="23" t="n"/>
      <c r="K443" s="24" t="n"/>
      <c r="L443" s="23" t="n"/>
      <c r="M443" s="23" t="n"/>
      <c r="N443" s="24" t="n"/>
      <c r="O443" s="23" t="n"/>
      <c r="P443" s="23" t="n"/>
    </row>
    <row r="444">
      <c r="A444" s="23" t="n"/>
      <c r="B444" s="23" t="n"/>
      <c r="C444" s="23" t="n"/>
      <c r="D444" s="23" t="n"/>
      <c r="E444" s="23" t="n"/>
      <c r="F444" s="23" t="n"/>
      <c r="G444" s="23" t="n"/>
      <c r="H444" s="23" t="n"/>
      <c r="I444" s="23" t="n"/>
      <c r="J444" s="23" t="n"/>
      <c r="K444" s="24" t="n"/>
      <c r="L444" s="23" t="n"/>
      <c r="M444" s="23" t="n"/>
      <c r="N444" s="24" t="n"/>
      <c r="O444" s="23" t="n"/>
      <c r="P444" s="23" t="n"/>
    </row>
    <row r="445">
      <c r="A445" s="23" t="n"/>
      <c r="B445" s="23" t="n"/>
      <c r="C445" s="23" t="n"/>
      <c r="D445" s="23" t="n"/>
      <c r="E445" s="23" t="n"/>
      <c r="F445" s="23" t="n"/>
      <c r="G445" s="23" t="n"/>
      <c r="H445" s="23" t="n"/>
      <c r="I445" s="23" t="n"/>
      <c r="J445" s="23" t="n"/>
      <c r="K445" s="24" t="n"/>
      <c r="L445" s="23" t="n"/>
      <c r="M445" s="23" t="n"/>
      <c r="N445" s="24" t="n"/>
      <c r="O445" s="23" t="n"/>
      <c r="P445" s="23" t="n"/>
    </row>
    <row r="446">
      <c r="A446" s="23" t="n"/>
      <c r="B446" s="23" t="n"/>
      <c r="C446" s="23" t="n"/>
      <c r="D446" s="23" t="n"/>
      <c r="E446" s="23" t="n"/>
      <c r="F446" s="23" t="n"/>
      <c r="G446" s="23" t="n"/>
      <c r="H446" s="23" t="n"/>
      <c r="I446" s="23" t="n"/>
      <c r="J446" s="23" t="n"/>
      <c r="K446" s="24" t="n"/>
      <c r="L446" s="23" t="n"/>
      <c r="M446" s="23" t="n"/>
      <c r="N446" s="24" t="n"/>
      <c r="O446" s="23" t="n"/>
      <c r="P446" s="23" t="n"/>
    </row>
    <row r="447">
      <c r="A447" s="23" t="n"/>
      <c r="B447" s="23" t="n"/>
      <c r="C447" s="23" t="n"/>
      <c r="D447" s="23" t="n"/>
      <c r="E447" s="23" t="n"/>
      <c r="F447" s="23" t="n"/>
      <c r="G447" s="23" t="n"/>
      <c r="H447" s="23" t="n"/>
      <c r="I447" s="23" t="n"/>
      <c r="J447" s="23" t="n"/>
      <c r="K447" s="24" t="n"/>
      <c r="L447" s="23" t="n"/>
      <c r="M447" s="23" t="n"/>
      <c r="N447" s="24" t="n"/>
      <c r="O447" s="23" t="n"/>
      <c r="P447" s="23" t="n"/>
    </row>
    <row r="448">
      <c r="A448" s="23" t="n"/>
      <c r="B448" s="23" t="n"/>
      <c r="C448" s="23" t="n"/>
      <c r="D448" s="23" t="n"/>
      <c r="E448" s="23" t="n"/>
      <c r="F448" s="23" t="n"/>
      <c r="G448" s="23" t="n"/>
      <c r="H448" s="23" t="n"/>
      <c r="I448" s="23" t="n"/>
      <c r="J448" s="23" t="n"/>
      <c r="K448" s="24" t="n"/>
      <c r="L448" s="23" t="n"/>
      <c r="M448" s="23" t="n"/>
      <c r="N448" s="24" t="n"/>
      <c r="O448" s="23" t="n"/>
      <c r="P448" s="23" t="n"/>
    </row>
    <row r="449">
      <c r="A449" s="23" t="n"/>
      <c r="B449" s="23" t="n"/>
      <c r="C449" s="23" t="n"/>
      <c r="D449" s="23" t="n"/>
      <c r="E449" s="23" t="n"/>
      <c r="F449" s="23" t="n"/>
      <c r="G449" s="23" t="n"/>
      <c r="H449" s="23" t="n"/>
      <c r="I449" s="23" t="n"/>
      <c r="J449" s="23" t="n"/>
      <c r="K449" s="24" t="n"/>
      <c r="L449" s="23" t="n"/>
      <c r="M449" s="23" t="n"/>
      <c r="N449" s="24" t="n"/>
      <c r="O449" s="23" t="n"/>
      <c r="P449" s="23" t="n"/>
    </row>
    <row r="450">
      <c r="A450" s="23" t="n"/>
      <c r="B450" s="23" t="n"/>
      <c r="C450" s="23" t="n"/>
      <c r="D450" s="23" t="n"/>
      <c r="E450" s="23" t="n"/>
      <c r="F450" s="23" t="n"/>
      <c r="G450" s="23" t="n"/>
      <c r="H450" s="23" t="n"/>
      <c r="I450" s="23" t="n"/>
      <c r="J450" s="23" t="n"/>
      <c r="K450" s="24" t="n"/>
      <c r="L450" s="23" t="n"/>
      <c r="M450" s="23" t="n"/>
      <c r="N450" s="24" t="n"/>
      <c r="O450" s="23" t="n"/>
      <c r="P450" s="23" t="n"/>
    </row>
    <row r="451">
      <c r="A451" s="23" t="n"/>
      <c r="B451" s="23" t="n"/>
      <c r="C451" s="23" t="n"/>
      <c r="D451" s="23" t="n"/>
      <c r="E451" s="23" t="n"/>
      <c r="F451" s="23" t="n"/>
      <c r="G451" s="23" t="n"/>
      <c r="H451" s="23" t="n"/>
      <c r="I451" s="23" t="n"/>
      <c r="J451" s="23" t="n"/>
      <c r="K451" s="24" t="n"/>
      <c r="L451" s="23" t="n"/>
      <c r="M451" s="23" t="n"/>
      <c r="N451" s="24" t="n"/>
      <c r="O451" s="23" t="n"/>
      <c r="P451" s="23" t="n"/>
    </row>
    <row r="452">
      <c r="A452" s="23" t="n"/>
      <c r="B452" s="23" t="n"/>
      <c r="C452" s="23" t="n"/>
      <c r="D452" s="23" t="n"/>
      <c r="E452" s="23" t="n"/>
      <c r="F452" s="23" t="n"/>
      <c r="G452" s="23" t="n"/>
      <c r="H452" s="23" t="n"/>
      <c r="I452" s="23" t="n"/>
      <c r="J452" s="23" t="n"/>
      <c r="K452" s="24" t="n"/>
      <c r="L452" s="23" t="n"/>
      <c r="M452" s="23" t="n"/>
      <c r="N452" s="24" t="n"/>
      <c r="O452" s="23" t="n"/>
      <c r="P452" s="23" t="n"/>
    </row>
    <row r="453">
      <c r="A453" s="23" t="n"/>
      <c r="B453" s="23" t="n"/>
      <c r="C453" s="23" t="n"/>
      <c r="D453" s="23" t="n"/>
      <c r="E453" s="23" t="n"/>
      <c r="F453" s="23" t="n"/>
      <c r="G453" s="23" t="n"/>
      <c r="H453" s="23" t="n"/>
      <c r="I453" s="23" t="n"/>
      <c r="J453" s="23" t="n"/>
      <c r="K453" s="24" t="n"/>
      <c r="L453" s="23" t="n"/>
      <c r="M453" s="23" t="n"/>
      <c r="N453" s="24" t="n"/>
      <c r="O453" s="23" t="n"/>
      <c r="P453" s="23" t="n"/>
    </row>
    <row r="454">
      <c r="A454" s="23" t="n"/>
      <c r="B454" s="23" t="n"/>
      <c r="C454" s="23" t="n"/>
      <c r="D454" s="23" t="n"/>
      <c r="E454" s="23" t="n"/>
      <c r="F454" s="23" t="n"/>
      <c r="G454" s="23" t="n"/>
      <c r="H454" s="23" t="n"/>
      <c r="I454" s="23" t="n"/>
      <c r="J454" s="23" t="n"/>
      <c r="K454" s="24" t="n"/>
      <c r="L454" s="23" t="n"/>
      <c r="M454" s="23" t="n"/>
      <c r="N454" s="24" t="n"/>
      <c r="O454" s="23" t="n"/>
      <c r="P454" s="23" t="n"/>
    </row>
    <row r="455">
      <c r="A455" s="23" t="n"/>
      <c r="B455" s="23" t="n"/>
      <c r="C455" s="23" t="n"/>
      <c r="D455" s="23" t="n"/>
      <c r="E455" s="23" t="n"/>
      <c r="F455" s="23" t="n"/>
      <c r="G455" s="23" t="n"/>
      <c r="H455" s="23" t="n"/>
      <c r="I455" s="23" t="n"/>
      <c r="J455" s="23" t="n"/>
      <c r="K455" s="24" t="n"/>
      <c r="L455" s="23" t="n"/>
      <c r="M455" s="23" t="n"/>
      <c r="N455" s="24" t="n"/>
      <c r="O455" s="23" t="n"/>
      <c r="P455" s="23" t="n"/>
    </row>
    <row r="456">
      <c r="A456" s="23" t="n"/>
      <c r="B456" s="23" t="n"/>
      <c r="C456" s="23" t="n"/>
      <c r="D456" s="23" t="n"/>
      <c r="E456" s="23" t="n"/>
      <c r="F456" s="23" t="n"/>
      <c r="G456" s="23" t="n"/>
      <c r="H456" s="23" t="n"/>
      <c r="I456" s="23" t="n"/>
      <c r="J456" s="23" t="n"/>
      <c r="K456" s="24" t="n"/>
      <c r="L456" s="23" t="n"/>
      <c r="M456" s="23" t="n"/>
      <c r="N456" s="24" t="n"/>
      <c r="O456" s="23" t="n"/>
      <c r="P456" s="23" t="n"/>
    </row>
    <row r="457">
      <c r="A457" s="23" t="n"/>
      <c r="B457" s="23" t="n"/>
      <c r="C457" s="23" t="n"/>
      <c r="D457" s="23" t="n"/>
      <c r="E457" s="23" t="n"/>
      <c r="F457" s="23" t="n"/>
      <c r="G457" s="23" t="n"/>
      <c r="H457" s="23" t="n"/>
      <c r="I457" s="23" t="n"/>
      <c r="J457" s="23" t="n"/>
      <c r="K457" s="24" t="n"/>
      <c r="L457" s="23" t="n"/>
      <c r="M457" s="23" t="n"/>
      <c r="N457" s="24" t="n"/>
      <c r="O457" s="23" t="n"/>
      <c r="P457" s="23" t="n"/>
    </row>
    <row r="458">
      <c r="A458" s="23" t="n"/>
      <c r="B458" s="23" t="n"/>
      <c r="C458" s="23" t="n"/>
      <c r="D458" s="23" t="n"/>
      <c r="E458" s="23" t="n"/>
      <c r="F458" s="23" t="n"/>
      <c r="G458" s="23" t="n"/>
      <c r="H458" s="23" t="n"/>
      <c r="I458" s="23" t="n"/>
      <c r="J458" s="23" t="n"/>
      <c r="K458" s="24" t="n"/>
      <c r="L458" s="23" t="n"/>
      <c r="M458" s="23" t="n"/>
      <c r="N458" s="24" t="n"/>
      <c r="O458" s="23" t="n"/>
      <c r="P458" s="23" t="n"/>
    </row>
    <row r="459">
      <c r="A459" s="23" t="n"/>
      <c r="B459" s="23" t="n"/>
      <c r="C459" s="23" t="n"/>
      <c r="D459" s="23" t="n"/>
      <c r="E459" s="23" t="n"/>
      <c r="F459" s="23" t="n"/>
      <c r="G459" s="23" t="n"/>
      <c r="H459" s="23" t="n"/>
      <c r="I459" s="23" t="n"/>
      <c r="J459" s="23" t="n"/>
      <c r="K459" s="24" t="n"/>
      <c r="L459" s="23" t="n"/>
      <c r="M459" s="23" t="n"/>
      <c r="N459" s="24" t="n"/>
      <c r="O459" s="23" t="n"/>
      <c r="P459" s="23" t="n"/>
    </row>
    <row r="460">
      <c r="A460" s="23" t="n"/>
      <c r="B460" s="23" t="n"/>
      <c r="C460" s="23" t="n"/>
      <c r="D460" s="23" t="n"/>
      <c r="E460" s="23" t="n"/>
      <c r="F460" s="23" t="n"/>
      <c r="G460" s="23" t="n"/>
      <c r="H460" s="23" t="n"/>
      <c r="I460" s="23" t="n"/>
      <c r="J460" s="23" t="n"/>
      <c r="K460" s="24" t="n"/>
      <c r="L460" s="23" t="n"/>
      <c r="M460" s="23" t="n"/>
      <c r="N460" s="24" t="n"/>
      <c r="O460" s="23" t="n"/>
      <c r="P460" s="23" t="n"/>
    </row>
    <row r="461">
      <c r="A461" s="23" t="n"/>
      <c r="B461" s="23" t="n"/>
      <c r="C461" s="23" t="n"/>
      <c r="D461" s="23" t="n"/>
      <c r="E461" s="23" t="n"/>
      <c r="F461" s="23" t="n"/>
      <c r="G461" s="23" t="n"/>
      <c r="H461" s="23" t="n"/>
      <c r="I461" s="23" t="n"/>
      <c r="J461" s="23" t="n"/>
      <c r="K461" s="24" t="n"/>
      <c r="L461" s="23" t="n"/>
      <c r="M461" s="23" t="n"/>
      <c r="N461" s="24" t="n"/>
      <c r="O461" s="23" t="n"/>
      <c r="P461" s="23" t="n"/>
    </row>
    <row r="462">
      <c r="A462" s="23" t="n"/>
      <c r="B462" s="23" t="n"/>
      <c r="C462" s="23" t="n"/>
      <c r="D462" s="23" t="n"/>
      <c r="E462" s="23" t="n"/>
      <c r="F462" s="23" t="n"/>
      <c r="G462" s="23" t="n"/>
      <c r="H462" s="23" t="n"/>
      <c r="I462" s="23" t="n"/>
      <c r="J462" s="23" t="n"/>
      <c r="K462" s="24" t="n"/>
      <c r="L462" s="23" t="n"/>
      <c r="M462" s="23" t="n"/>
      <c r="N462" s="24" t="n"/>
      <c r="O462" s="23" t="n"/>
      <c r="P462" s="23" t="n"/>
    </row>
    <row r="463">
      <c r="A463" s="23" t="n"/>
      <c r="B463" s="23" t="n"/>
      <c r="C463" s="23" t="n"/>
      <c r="D463" s="23" t="n"/>
      <c r="E463" s="23" t="n"/>
      <c r="F463" s="23" t="n"/>
      <c r="G463" s="23" t="n"/>
      <c r="H463" s="23" t="n"/>
      <c r="I463" s="23" t="n"/>
      <c r="J463" s="23" t="n"/>
      <c r="K463" s="24" t="n"/>
      <c r="L463" s="23" t="n"/>
      <c r="M463" s="23" t="n"/>
      <c r="N463" s="24" t="n"/>
      <c r="O463" s="23" t="n"/>
      <c r="P463" s="23" t="n"/>
    </row>
    <row r="464">
      <c r="A464" s="23" t="n"/>
      <c r="B464" s="23" t="n"/>
      <c r="C464" s="23" t="n"/>
      <c r="D464" s="23" t="n"/>
      <c r="E464" s="23" t="n"/>
      <c r="F464" s="23" t="n"/>
      <c r="G464" s="23" t="n"/>
      <c r="H464" s="23" t="n"/>
      <c r="I464" s="23" t="n"/>
      <c r="J464" s="23" t="n"/>
      <c r="K464" s="24" t="n"/>
      <c r="L464" s="23" t="n"/>
      <c r="M464" s="23" t="n"/>
      <c r="N464" s="24" t="n"/>
      <c r="O464" s="23" t="n"/>
      <c r="P464" s="23" t="n"/>
    </row>
    <row r="465">
      <c r="A465" s="23" t="n"/>
      <c r="B465" s="23" t="n"/>
      <c r="C465" s="23" t="n"/>
      <c r="D465" s="23" t="n"/>
      <c r="E465" s="23" t="n"/>
      <c r="F465" s="23" t="n"/>
      <c r="G465" s="23" t="n"/>
      <c r="H465" s="23" t="n"/>
      <c r="I465" s="23" t="n"/>
      <c r="J465" s="23" t="n"/>
      <c r="K465" s="24" t="n"/>
      <c r="L465" s="23" t="n"/>
      <c r="M465" s="23" t="n"/>
      <c r="N465" s="24" t="n"/>
      <c r="O465" s="23" t="n"/>
      <c r="P465" s="23" t="n"/>
    </row>
    <row r="466">
      <c r="A466" s="23" t="n"/>
      <c r="B466" s="23" t="n"/>
      <c r="C466" s="23" t="n"/>
      <c r="D466" s="23" t="n"/>
      <c r="E466" s="23" t="n"/>
      <c r="F466" s="23" t="n"/>
      <c r="G466" s="23" t="n"/>
      <c r="H466" s="23" t="n"/>
      <c r="I466" s="23" t="n"/>
      <c r="J466" s="23" t="n"/>
      <c r="K466" s="24" t="n"/>
      <c r="L466" s="23" t="n"/>
      <c r="M466" s="23" t="n"/>
      <c r="N466" s="24" t="n"/>
      <c r="O466" s="23" t="n"/>
      <c r="P466" s="23" t="n"/>
    </row>
    <row r="467">
      <c r="A467" s="23" t="n"/>
      <c r="B467" s="23" t="n"/>
      <c r="C467" s="23" t="n"/>
      <c r="D467" s="23" t="n"/>
      <c r="E467" s="23" t="n"/>
      <c r="F467" s="23" t="n"/>
      <c r="G467" s="23" t="n"/>
      <c r="H467" s="23" t="n"/>
      <c r="I467" s="23" t="n"/>
      <c r="J467" s="23" t="n"/>
      <c r="K467" s="24" t="n"/>
      <c r="L467" s="23" t="n"/>
      <c r="M467" s="23" t="n"/>
      <c r="N467" s="24" t="n"/>
      <c r="O467" s="23" t="n"/>
      <c r="P467" s="23" t="n"/>
    </row>
    <row r="468">
      <c r="A468" s="23" t="n"/>
      <c r="B468" s="23" t="n"/>
      <c r="C468" s="23" t="n"/>
      <c r="D468" s="23" t="n"/>
      <c r="E468" s="23" t="n"/>
      <c r="F468" s="23" t="n"/>
      <c r="G468" s="23" t="n"/>
      <c r="H468" s="23" t="n"/>
      <c r="I468" s="23" t="n"/>
      <c r="J468" s="23" t="n"/>
      <c r="K468" s="24" t="n"/>
      <c r="L468" s="23" t="n"/>
      <c r="M468" s="23" t="n"/>
      <c r="N468" s="24" t="n"/>
      <c r="O468" s="23" t="n"/>
      <c r="P468" s="23" t="n"/>
    </row>
    <row r="469">
      <c r="A469" s="23" t="n"/>
      <c r="B469" s="23" t="n"/>
      <c r="C469" s="23" t="n"/>
      <c r="D469" s="23" t="n"/>
      <c r="E469" s="23" t="n"/>
      <c r="F469" s="23" t="n"/>
      <c r="G469" s="23" t="n"/>
      <c r="H469" s="23" t="n"/>
      <c r="I469" s="23" t="n"/>
      <c r="J469" s="23" t="n"/>
      <c r="K469" s="24" t="n"/>
      <c r="L469" s="23" t="n"/>
      <c r="M469" s="23" t="n"/>
      <c r="N469" s="24" t="n"/>
      <c r="O469" s="23" t="n"/>
      <c r="P469" s="23" t="n"/>
    </row>
    <row r="470">
      <c r="A470" s="23" t="n"/>
      <c r="B470" s="23" t="n"/>
      <c r="C470" s="23" t="n"/>
      <c r="D470" s="23" t="n"/>
      <c r="E470" s="23" t="n"/>
      <c r="F470" s="23" t="n"/>
      <c r="G470" s="23" t="n"/>
      <c r="H470" s="23" t="n"/>
      <c r="I470" s="23" t="n"/>
      <c r="J470" s="23" t="n"/>
      <c r="K470" s="24" t="n"/>
      <c r="L470" s="23" t="n"/>
      <c r="M470" s="23" t="n"/>
      <c r="N470" s="24" t="n"/>
      <c r="O470" s="23" t="n"/>
      <c r="P470" s="23" t="n"/>
    </row>
    <row r="471">
      <c r="A471" s="23" t="n"/>
      <c r="B471" s="23" t="n"/>
      <c r="C471" s="23" t="n"/>
      <c r="D471" s="23" t="n"/>
      <c r="E471" s="23" t="n"/>
      <c r="F471" s="23" t="n"/>
      <c r="G471" s="23" t="n"/>
      <c r="H471" s="23" t="n"/>
      <c r="I471" s="23" t="n"/>
      <c r="J471" s="23" t="n"/>
      <c r="K471" s="24" t="n"/>
      <c r="L471" s="23" t="n"/>
      <c r="M471" s="23" t="n"/>
      <c r="N471" s="24" t="n"/>
      <c r="O471" s="23" t="n"/>
      <c r="P471" s="23" t="n"/>
    </row>
    <row r="472">
      <c r="A472" s="23" t="n"/>
      <c r="B472" s="23" t="n"/>
      <c r="C472" s="23" t="n"/>
      <c r="D472" s="23" t="n"/>
      <c r="E472" s="23" t="n"/>
      <c r="F472" s="23" t="n"/>
      <c r="G472" s="23" t="n"/>
      <c r="H472" s="23" t="n"/>
      <c r="I472" s="23" t="n"/>
      <c r="J472" s="23" t="n"/>
      <c r="K472" s="24" t="n"/>
      <c r="L472" s="23" t="n"/>
      <c r="M472" s="23" t="n"/>
      <c r="N472" s="24" t="n"/>
      <c r="O472" s="23" t="n"/>
      <c r="P472" s="23" t="n"/>
    </row>
    <row r="473">
      <c r="A473" s="23" t="n"/>
      <c r="B473" s="23" t="n"/>
      <c r="C473" s="23" t="n"/>
      <c r="D473" s="23" t="n"/>
      <c r="E473" s="23" t="n"/>
      <c r="F473" s="23" t="n"/>
      <c r="G473" s="23" t="n"/>
      <c r="H473" s="23" t="n"/>
      <c r="I473" s="23" t="n"/>
      <c r="J473" s="23" t="n"/>
      <c r="K473" s="24" t="n"/>
      <c r="L473" s="23" t="n"/>
      <c r="M473" s="23" t="n"/>
      <c r="N473" s="24" t="n"/>
      <c r="O473" s="23" t="n"/>
      <c r="P473" s="23" t="n"/>
    </row>
    <row r="474">
      <c r="A474" s="23" t="n"/>
      <c r="B474" s="23" t="n"/>
      <c r="C474" s="23" t="n"/>
      <c r="D474" s="23" t="n"/>
      <c r="E474" s="23" t="n"/>
      <c r="F474" s="23" t="n"/>
      <c r="G474" s="23" t="n"/>
      <c r="H474" s="23" t="n"/>
      <c r="I474" s="23" t="n"/>
      <c r="J474" s="23" t="n"/>
      <c r="K474" s="24" t="n"/>
      <c r="L474" s="23" t="n"/>
      <c r="M474" s="23" t="n"/>
      <c r="N474" s="24" t="n"/>
      <c r="O474" s="23" t="n"/>
      <c r="P474" s="23" t="n"/>
    </row>
    <row r="475">
      <c r="A475" s="23" t="n"/>
      <c r="B475" s="23" t="n"/>
      <c r="C475" s="23" t="n"/>
      <c r="D475" s="23" t="n"/>
      <c r="E475" s="23" t="n"/>
      <c r="F475" s="23" t="n"/>
      <c r="G475" s="23" t="n"/>
      <c r="H475" s="23" t="n"/>
      <c r="I475" s="23" t="n"/>
      <c r="J475" s="23" t="n"/>
      <c r="K475" s="24" t="n"/>
      <c r="L475" s="23" t="n"/>
      <c r="M475" s="23" t="n"/>
      <c r="N475" s="24" t="n"/>
      <c r="O475" s="23" t="n"/>
      <c r="P475" s="23" t="n"/>
    </row>
    <row r="476">
      <c r="A476" s="23" t="n"/>
      <c r="B476" s="23" t="n"/>
      <c r="C476" s="23" t="n"/>
      <c r="D476" s="23" t="n"/>
      <c r="E476" s="23" t="n"/>
      <c r="F476" s="23" t="n"/>
      <c r="G476" s="23" t="n"/>
      <c r="H476" s="23" t="n"/>
      <c r="I476" s="23" t="n"/>
      <c r="J476" s="23" t="n"/>
      <c r="K476" s="24" t="n"/>
      <c r="L476" s="23" t="n"/>
      <c r="M476" s="23" t="n"/>
      <c r="N476" s="24" t="n"/>
      <c r="O476" s="23" t="n"/>
      <c r="P476" s="23" t="n"/>
    </row>
    <row r="477">
      <c r="A477" s="23" t="n"/>
      <c r="B477" s="23" t="n"/>
      <c r="C477" s="23" t="n"/>
      <c r="D477" s="23" t="n"/>
      <c r="E477" s="23" t="n"/>
      <c r="F477" s="23" t="n"/>
      <c r="G477" s="23" t="n"/>
      <c r="H477" s="23" t="n"/>
      <c r="I477" s="23" t="n"/>
      <c r="J477" s="23" t="n"/>
      <c r="K477" s="24" t="n"/>
      <c r="L477" s="23" t="n"/>
      <c r="M477" s="23" t="n"/>
      <c r="N477" s="24" t="n"/>
      <c r="O477" s="23" t="n"/>
      <c r="P477" s="23" t="n"/>
    </row>
    <row r="478">
      <c r="A478" s="23" t="n"/>
      <c r="B478" s="23" t="n"/>
      <c r="C478" s="23" t="n"/>
      <c r="D478" s="23" t="n"/>
      <c r="E478" s="23" t="n"/>
      <c r="F478" s="23" t="n"/>
      <c r="G478" s="23" t="n"/>
      <c r="H478" s="23" t="n"/>
      <c r="I478" s="23" t="n"/>
      <c r="J478" s="23" t="n"/>
      <c r="K478" s="24" t="n"/>
      <c r="L478" s="23" t="n"/>
      <c r="M478" s="23" t="n"/>
      <c r="N478" s="24" t="n"/>
      <c r="O478" s="23" t="n"/>
      <c r="P478" s="23" t="n"/>
    </row>
    <row r="479">
      <c r="A479" s="23" t="n"/>
      <c r="B479" s="23" t="n"/>
      <c r="C479" s="23" t="n"/>
      <c r="D479" s="23" t="n"/>
      <c r="E479" s="23" t="n"/>
      <c r="F479" s="23" t="n"/>
      <c r="G479" s="23" t="n"/>
      <c r="H479" s="23" t="n"/>
      <c r="I479" s="23" t="n"/>
      <c r="J479" s="23" t="n"/>
      <c r="K479" s="24" t="n"/>
      <c r="L479" s="23" t="n"/>
      <c r="M479" s="23" t="n"/>
      <c r="N479" s="24" t="n"/>
      <c r="O479" s="23" t="n"/>
      <c r="P479" s="23" t="n"/>
    </row>
    <row r="480">
      <c r="A480" s="23" t="n"/>
      <c r="B480" s="23" t="n"/>
      <c r="C480" s="23" t="n"/>
      <c r="D480" s="23" t="n"/>
      <c r="E480" s="23" t="n"/>
      <c r="F480" s="23" t="n"/>
      <c r="G480" s="23" t="n"/>
      <c r="H480" s="23" t="n"/>
      <c r="I480" s="23" t="n"/>
      <c r="J480" s="23" t="n"/>
      <c r="K480" s="24" t="n"/>
      <c r="L480" s="23" t="n"/>
      <c r="M480" s="23" t="n"/>
      <c r="N480" s="24" t="n"/>
      <c r="O480" s="23" t="n"/>
      <c r="P480" s="23" t="n"/>
    </row>
    <row r="481">
      <c r="A481" s="23" t="n"/>
      <c r="B481" s="23" t="n"/>
      <c r="C481" s="23" t="n"/>
      <c r="D481" s="23" t="n"/>
      <c r="E481" s="23" t="n"/>
      <c r="F481" s="23" t="n"/>
      <c r="G481" s="23" t="n"/>
      <c r="H481" s="23" t="n"/>
      <c r="I481" s="23" t="n"/>
      <c r="J481" s="23" t="n"/>
      <c r="K481" s="24" t="n"/>
      <c r="L481" s="23" t="n"/>
      <c r="M481" s="23" t="n"/>
      <c r="N481" s="24" t="n"/>
      <c r="O481" s="23" t="n"/>
      <c r="P481" s="23" t="n"/>
    </row>
    <row r="482">
      <c r="A482" s="23" t="n"/>
      <c r="B482" s="23" t="n"/>
      <c r="C482" s="23" t="n"/>
      <c r="D482" s="23" t="n"/>
      <c r="E482" s="23" t="n"/>
      <c r="F482" s="23" t="n"/>
      <c r="G482" s="23" t="n"/>
      <c r="H482" s="23" t="n"/>
      <c r="I482" s="23" t="n"/>
      <c r="J482" s="23" t="n"/>
      <c r="K482" s="24" t="n"/>
      <c r="L482" s="23" t="n"/>
      <c r="M482" s="23" t="n"/>
      <c r="N482" s="24" t="n"/>
      <c r="O482" s="23" t="n"/>
      <c r="P482" s="23" t="n"/>
    </row>
    <row r="483">
      <c r="A483" s="23" t="n"/>
      <c r="B483" s="23" t="n"/>
      <c r="C483" s="23" t="n"/>
      <c r="D483" s="23" t="n"/>
      <c r="E483" s="23" t="n"/>
      <c r="F483" s="23" t="n"/>
      <c r="G483" s="23" t="n"/>
      <c r="H483" s="23" t="n"/>
      <c r="I483" s="23" t="n"/>
      <c r="J483" s="23" t="n"/>
      <c r="K483" s="24" t="n"/>
      <c r="L483" s="23" t="n"/>
      <c r="M483" s="23" t="n"/>
      <c r="N483" s="24" t="n"/>
      <c r="O483" s="23" t="n"/>
      <c r="P483" s="23" t="n"/>
    </row>
    <row r="484">
      <c r="A484" s="23" t="n"/>
      <c r="B484" s="23" t="n"/>
      <c r="C484" s="23" t="n"/>
      <c r="D484" s="23" t="n"/>
      <c r="E484" s="23" t="n"/>
      <c r="F484" s="23" t="n"/>
      <c r="G484" s="23" t="n"/>
      <c r="H484" s="23" t="n"/>
      <c r="I484" s="23" t="n"/>
      <c r="J484" s="23" t="n"/>
      <c r="K484" s="24" t="n"/>
      <c r="L484" s="23" t="n"/>
      <c r="M484" s="23" t="n"/>
      <c r="N484" s="24" t="n"/>
      <c r="O484" s="23" t="n"/>
      <c r="P484" s="23" t="n"/>
    </row>
    <row r="485">
      <c r="A485" s="23" t="n"/>
      <c r="B485" s="23" t="n"/>
      <c r="C485" s="23" t="n"/>
      <c r="D485" s="23" t="n"/>
      <c r="E485" s="23" t="n"/>
      <c r="F485" s="23" t="n"/>
      <c r="G485" s="23" t="n"/>
      <c r="H485" s="23" t="n"/>
      <c r="I485" s="23" t="n"/>
      <c r="J485" s="23" t="n"/>
      <c r="K485" s="24" t="n"/>
      <c r="L485" s="23" t="n"/>
      <c r="M485" s="23" t="n"/>
      <c r="N485" s="24" t="n"/>
      <c r="O485" s="23" t="n"/>
      <c r="P485" s="23" t="n"/>
    </row>
    <row r="486">
      <c r="A486" s="23" t="n"/>
      <c r="B486" s="23" t="n"/>
      <c r="C486" s="23" t="n"/>
      <c r="D486" s="23" t="n"/>
      <c r="E486" s="23" t="n"/>
      <c r="F486" s="23" t="n"/>
      <c r="G486" s="23" t="n"/>
      <c r="H486" s="23" t="n"/>
      <c r="I486" s="23" t="n"/>
      <c r="J486" s="23" t="n"/>
      <c r="K486" s="24" t="n"/>
      <c r="L486" s="23" t="n"/>
      <c r="M486" s="23" t="n"/>
      <c r="N486" s="24" t="n"/>
      <c r="O486" s="23" t="n"/>
      <c r="P486" s="23" t="n"/>
    </row>
    <row r="487">
      <c r="A487" s="23" t="n"/>
      <c r="B487" s="23" t="n"/>
      <c r="C487" s="23" t="n"/>
      <c r="D487" s="23" t="n"/>
      <c r="E487" s="23" t="n"/>
      <c r="F487" s="23" t="n"/>
      <c r="G487" s="23" t="n"/>
      <c r="H487" s="23" t="n"/>
      <c r="I487" s="23" t="n"/>
      <c r="J487" s="23" t="n"/>
      <c r="K487" s="24" t="n"/>
      <c r="L487" s="23" t="n"/>
      <c r="M487" s="23" t="n"/>
      <c r="N487" s="24" t="n"/>
      <c r="O487" s="23" t="n"/>
      <c r="P487" s="23" t="n"/>
    </row>
    <row r="488">
      <c r="A488" s="23" t="n"/>
      <c r="B488" s="23" t="n"/>
      <c r="C488" s="23" t="n"/>
      <c r="D488" s="23" t="n"/>
      <c r="E488" s="23" t="n"/>
      <c r="F488" s="23" t="n"/>
      <c r="G488" s="23" t="n"/>
      <c r="H488" s="23" t="n"/>
      <c r="I488" s="23" t="n"/>
      <c r="J488" s="23" t="n"/>
      <c r="K488" s="24" t="n"/>
      <c r="L488" s="23" t="n"/>
      <c r="M488" s="23" t="n"/>
      <c r="N488" s="24" t="n"/>
      <c r="O488" s="23" t="n"/>
      <c r="P488" s="23" t="n"/>
    </row>
    <row r="489">
      <c r="A489" s="23" t="n"/>
      <c r="B489" s="23" t="n"/>
      <c r="C489" s="23" t="n"/>
      <c r="D489" s="23" t="n"/>
      <c r="E489" s="23" t="n"/>
      <c r="F489" s="23" t="n"/>
      <c r="G489" s="23" t="n"/>
      <c r="H489" s="23" t="n"/>
      <c r="I489" s="23" t="n"/>
      <c r="J489" s="23" t="n"/>
      <c r="K489" s="24" t="n"/>
      <c r="L489" s="23" t="n"/>
      <c r="M489" s="23" t="n"/>
      <c r="N489" s="24" t="n"/>
      <c r="O489" s="23" t="n"/>
      <c r="P489" s="23" t="n"/>
    </row>
    <row r="490">
      <c r="A490" s="23" t="n"/>
      <c r="B490" s="23" t="n"/>
      <c r="C490" s="23" t="n"/>
      <c r="D490" s="23" t="n"/>
      <c r="E490" s="23" t="n"/>
      <c r="F490" s="23" t="n"/>
      <c r="G490" s="23" t="n"/>
      <c r="H490" s="23" t="n"/>
      <c r="I490" s="23" t="n"/>
      <c r="J490" s="23" t="n"/>
      <c r="K490" s="24" t="n"/>
      <c r="L490" s="23" t="n"/>
      <c r="M490" s="23" t="n"/>
      <c r="N490" s="24" t="n"/>
      <c r="O490" s="23" t="n"/>
      <c r="P490" s="23" t="n"/>
    </row>
    <row r="491">
      <c r="A491" s="23" t="n"/>
      <c r="B491" s="23" t="n"/>
      <c r="C491" s="23" t="n"/>
      <c r="D491" s="23" t="n"/>
      <c r="E491" s="23" t="n"/>
      <c r="F491" s="23" t="n"/>
      <c r="G491" s="23" t="n"/>
      <c r="H491" s="23" t="n"/>
      <c r="I491" s="23" t="n"/>
      <c r="J491" s="23" t="n"/>
      <c r="K491" s="24" t="n"/>
      <c r="L491" s="23" t="n"/>
      <c r="M491" s="23" t="n"/>
      <c r="N491" s="24" t="n"/>
      <c r="O491" s="23" t="n"/>
      <c r="P491" s="23" t="n"/>
    </row>
    <row r="492">
      <c r="A492" s="23" t="n"/>
      <c r="B492" s="23" t="n"/>
      <c r="C492" s="23" t="n"/>
      <c r="D492" s="23" t="n"/>
      <c r="E492" s="23" t="n"/>
      <c r="F492" s="23" t="n"/>
      <c r="G492" s="23" t="n"/>
      <c r="H492" s="23" t="n"/>
      <c r="I492" s="23" t="n"/>
      <c r="J492" s="23" t="n"/>
      <c r="K492" s="24" t="n"/>
      <c r="L492" s="23" t="n"/>
      <c r="M492" s="23" t="n"/>
      <c r="N492" s="24" t="n"/>
      <c r="O492" s="23" t="n"/>
      <c r="P492" s="23" t="n"/>
    </row>
    <row r="493">
      <c r="A493" s="23" t="n"/>
      <c r="B493" s="23" t="n"/>
      <c r="C493" s="23" t="n"/>
      <c r="D493" s="23" t="n"/>
      <c r="E493" s="23" t="n"/>
      <c r="F493" s="23" t="n"/>
      <c r="G493" s="23" t="n"/>
      <c r="H493" s="23" t="n"/>
      <c r="I493" s="23" t="n"/>
      <c r="J493" s="23" t="n"/>
      <c r="K493" s="24" t="n"/>
      <c r="L493" s="23" t="n"/>
      <c r="M493" s="23" t="n"/>
      <c r="N493" s="24" t="n"/>
      <c r="O493" s="23" t="n"/>
      <c r="P493" s="23" t="n"/>
    </row>
    <row r="494">
      <c r="A494" s="23" t="n"/>
      <c r="B494" s="23" t="n"/>
      <c r="C494" s="23" t="n"/>
      <c r="D494" s="23" t="n"/>
      <c r="E494" s="23" t="n"/>
      <c r="F494" s="23" t="n"/>
      <c r="G494" s="23" t="n"/>
      <c r="H494" s="23" t="n"/>
      <c r="I494" s="23" t="n"/>
      <c r="J494" s="23" t="n"/>
      <c r="K494" s="24" t="n"/>
      <c r="L494" s="23" t="n"/>
      <c r="M494" s="23" t="n"/>
      <c r="N494" s="24" t="n"/>
      <c r="O494" s="23" t="n"/>
      <c r="P494" s="23" t="n"/>
    </row>
    <row r="495">
      <c r="A495" s="23" t="n"/>
      <c r="B495" s="23" t="n"/>
      <c r="C495" s="23" t="n"/>
      <c r="D495" s="23" t="n"/>
      <c r="E495" s="23" t="n"/>
      <c r="F495" s="23" t="n"/>
      <c r="G495" s="23" t="n"/>
      <c r="H495" s="23" t="n"/>
      <c r="I495" s="23" t="n"/>
      <c r="J495" s="23" t="n"/>
      <c r="K495" s="24" t="n"/>
      <c r="L495" s="23" t="n"/>
      <c r="M495" s="23" t="n"/>
      <c r="N495" s="24" t="n"/>
      <c r="O495" s="23" t="n"/>
      <c r="P495" s="23" t="n"/>
    </row>
    <row r="496">
      <c r="A496" s="23" t="n"/>
      <c r="B496" s="23" t="n"/>
      <c r="C496" s="23" t="n"/>
      <c r="D496" s="23" t="n"/>
      <c r="E496" s="23" t="n"/>
      <c r="F496" s="23" t="n"/>
      <c r="G496" s="23" t="n"/>
      <c r="H496" s="23" t="n"/>
      <c r="I496" s="23" t="n"/>
      <c r="J496" s="23" t="n"/>
      <c r="K496" s="24" t="n"/>
      <c r="L496" s="23" t="n"/>
      <c r="M496" s="23" t="n"/>
      <c r="N496" s="24" t="n"/>
      <c r="O496" s="23" t="n"/>
      <c r="P496" s="23" t="n"/>
    </row>
    <row r="497">
      <c r="A497" s="23" t="n"/>
      <c r="B497" s="23" t="n"/>
      <c r="C497" s="23" t="n"/>
      <c r="D497" s="23" t="n"/>
      <c r="E497" s="23" t="n"/>
      <c r="F497" s="23" t="n"/>
      <c r="G497" s="23" t="n"/>
      <c r="H497" s="23" t="n"/>
      <c r="I497" s="23" t="n"/>
      <c r="J497" s="23" t="n"/>
      <c r="K497" s="24" t="n"/>
      <c r="L497" s="23" t="n"/>
      <c r="M497" s="23" t="n"/>
      <c r="N497" s="24" t="n"/>
      <c r="O497" s="23" t="n"/>
      <c r="P497" s="23" t="n"/>
    </row>
    <row r="498">
      <c r="A498" s="23" t="n"/>
      <c r="B498" s="23" t="n"/>
      <c r="C498" s="23" t="n"/>
      <c r="D498" s="23" t="n"/>
      <c r="E498" s="23" t="n"/>
      <c r="F498" s="23" t="n"/>
      <c r="G498" s="23" t="n"/>
      <c r="H498" s="23" t="n"/>
      <c r="I498" s="23" t="n"/>
      <c r="J498" s="23" t="n"/>
      <c r="K498" s="24" t="n"/>
      <c r="L498" s="23" t="n"/>
      <c r="M498" s="23" t="n"/>
      <c r="N498" s="24" t="n"/>
      <c r="O498" s="23" t="n"/>
      <c r="P498" s="23" t="n"/>
    </row>
    <row r="499">
      <c r="A499" s="23" t="n"/>
      <c r="B499" s="23" t="n"/>
      <c r="C499" s="23" t="n"/>
      <c r="D499" s="23" t="n"/>
      <c r="E499" s="23" t="n"/>
      <c r="F499" s="23" t="n"/>
      <c r="G499" s="23" t="n"/>
      <c r="H499" s="23" t="n"/>
      <c r="I499" s="23" t="n"/>
      <c r="J499" s="23" t="n"/>
      <c r="K499" s="24" t="n"/>
      <c r="L499" s="23" t="n"/>
      <c r="M499" s="23" t="n"/>
      <c r="N499" s="24" t="n"/>
      <c r="O499" s="23" t="n"/>
      <c r="P499" s="23" t="n"/>
    </row>
    <row r="500">
      <c r="A500" s="23" t="n"/>
      <c r="B500" s="23" t="n"/>
      <c r="C500" s="23" t="n"/>
      <c r="D500" s="23" t="n"/>
      <c r="E500" s="23" t="n"/>
      <c r="F500" s="23" t="n"/>
      <c r="G500" s="23" t="n"/>
      <c r="H500" s="23" t="n"/>
      <c r="I500" s="23" t="n"/>
      <c r="J500" s="23" t="n"/>
      <c r="K500" s="24" t="n"/>
      <c r="L500" s="23" t="n"/>
      <c r="M500" s="23" t="n"/>
      <c r="N500" s="24" t="n"/>
      <c r="O500" s="23" t="n"/>
      <c r="P500" s="23" t="n"/>
    </row>
    <row r="501">
      <c r="A501" s="23" t="n"/>
      <c r="B501" s="23" t="n"/>
      <c r="C501" s="23" t="n"/>
      <c r="D501" s="23" t="n"/>
      <c r="E501" s="23" t="n"/>
      <c r="F501" s="23" t="n"/>
      <c r="G501" s="23" t="n"/>
      <c r="H501" s="23" t="n"/>
      <c r="I501" s="23" t="n"/>
      <c r="J501" s="23" t="n"/>
      <c r="K501" s="24" t="n"/>
      <c r="L501" s="23" t="n"/>
      <c r="M501" s="23" t="n"/>
      <c r="N501" s="24" t="n"/>
      <c r="O501" s="23" t="n"/>
      <c r="P501" s="23" t="n"/>
    </row>
    <row r="502">
      <c r="A502" s="23" t="n"/>
      <c r="B502" s="23" t="n"/>
      <c r="C502" s="23" t="n"/>
      <c r="D502" s="23" t="n"/>
      <c r="E502" s="23" t="n"/>
      <c r="F502" s="23" t="n"/>
      <c r="G502" s="23" t="n"/>
      <c r="H502" s="23" t="n"/>
      <c r="I502" s="23" t="n"/>
      <c r="J502" s="23" t="n"/>
      <c r="K502" s="24" t="n"/>
      <c r="L502" s="23" t="n"/>
      <c r="M502" s="23" t="n"/>
      <c r="N502" s="24" t="n"/>
      <c r="O502" s="23" t="n"/>
      <c r="P502" s="23" t="n"/>
    </row>
    <row r="503">
      <c r="A503" s="23" t="n"/>
      <c r="B503" s="23" t="n"/>
      <c r="C503" s="23" t="n"/>
      <c r="D503" s="23" t="n"/>
      <c r="E503" s="23" t="n"/>
      <c r="F503" s="23" t="n"/>
      <c r="G503" s="23" t="n"/>
      <c r="H503" s="23" t="n"/>
      <c r="I503" s="23" t="n"/>
      <c r="J503" s="23" t="n"/>
      <c r="K503" s="24" t="n"/>
      <c r="L503" s="23" t="n"/>
      <c r="M503" s="23" t="n"/>
      <c r="N503" s="24" t="n"/>
      <c r="O503" s="23" t="n"/>
      <c r="P503" s="23" t="n"/>
    </row>
    <row r="504">
      <c r="A504" s="23" t="n"/>
      <c r="B504" s="23" t="n"/>
      <c r="C504" s="23" t="n"/>
      <c r="D504" s="23" t="n"/>
      <c r="E504" s="23" t="n"/>
      <c r="F504" s="23" t="n"/>
      <c r="G504" s="23" t="n"/>
      <c r="H504" s="23" t="n"/>
      <c r="I504" s="23" t="n"/>
      <c r="J504" s="23" t="n"/>
      <c r="K504" s="24" t="n"/>
      <c r="L504" s="23" t="n"/>
      <c r="M504" s="23" t="n"/>
      <c r="N504" s="24" t="n"/>
      <c r="O504" s="23" t="n"/>
      <c r="P504" s="23" t="n"/>
    </row>
    <row r="505">
      <c r="A505" s="23" t="n"/>
      <c r="B505" s="23" t="n"/>
      <c r="C505" s="23" t="n"/>
      <c r="D505" s="23" t="n"/>
      <c r="E505" s="23" t="n"/>
      <c r="F505" s="23" t="n"/>
      <c r="G505" s="23" t="n"/>
      <c r="H505" s="23" t="n"/>
      <c r="I505" s="23" t="n"/>
      <c r="J505" s="23" t="n"/>
      <c r="K505" s="24" t="n"/>
      <c r="L505" s="23" t="n"/>
      <c r="M505" s="23" t="n"/>
      <c r="N505" s="24" t="n"/>
      <c r="O505" s="23" t="n"/>
      <c r="P505" s="23" t="n"/>
    </row>
    <row r="506">
      <c r="A506" s="23" t="n"/>
      <c r="B506" s="23" t="n"/>
      <c r="C506" s="23" t="n"/>
      <c r="D506" s="23" t="n"/>
      <c r="E506" s="23" t="n"/>
      <c r="F506" s="23" t="n"/>
      <c r="G506" s="23" t="n"/>
      <c r="H506" s="23" t="n"/>
      <c r="I506" s="23" t="n"/>
      <c r="J506" s="23" t="n"/>
      <c r="K506" s="24" t="n"/>
      <c r="L506" s="23" t="n"/>
      <c r="M506" s="23" t="n"/>
      <c r="N506" s="24" t="n"/>
      <c r="O506" s="23" t="n"/>
      <c r="P506" s="23" t="n"/>
    </row>
    <row r="507">
      <c r="A507" s="23" t="n"/>
      <c r="B507" s="23" t="n"/>
      <c r="C507" s="23" t="n"/>
      <c r="D507" s="23" t="n"/>
      <c r="E507" s="23" t="n"/>
      <c r="F507" s="23" t="n"/>
      <c r="G507" s="23" t="n"/>
      <c r="H507" s="23" t="n"/>
      <c r="I507" s="23" t="n"/>
      <c r="J507" s="23" t="n"/>
      <c r="K507" s="24" t="n"/>
      <c r="L507" s="23" t="n"/>
      <c r="M507" s="23" t="n"/>
      <c r="N507" s="24" t="n"/>
      <c r="O507" s="23" t="n"/>
      <c r="P507" s="23" t="n"/>
    </row>
    <row r="508">
      <c r="A508" s="23" t="n"/>
      <c r="B508" s="23" t="n"/>
      <c r="C508" s="23" t="n"/>
      <c r="D508" s="23" t="n"/>
      <c r="E508" s="23" t="n"/>
      <c r="F508" s="23" t="n"/>
      <c r="G508" s="23" t="n"/>
      <c r="H508" s="23" t="n"/>
      <c r="I508" s="23" t="n"/>
      <c r="J508" s="23" t="n"/>
      <c r="K508" s="24" t="n"/>
      <c r="L508" s="23" t="n"/>
      <c r="M508" s="23" t="n"/>
      <c r="N508" s="24" t="n"/>
      <c r="O508" s="23" t="n"/>
      <c r="P508" s="23" t="n"/>
    </row>
    <row r="509">
      <c r="A509" s="23" t="n"/>
      <c r="B509" s="23" t="n"/>
      <c r="C509" s="23" t="n"/>
      <c r="D509" s="23" t="n"/>
      <c r="E509" s="23" t="n"/>
      <c r="F509" s="23" t="n"/>
      <c r="G509" s="23" t="n"/>
      <c r="H509" s="23" t="n"/>
      <c r="I509" s="23" t="n"/>
      <c r="J509" s="23" t="n"/>
      <c r="K509" s="24" t="n"/>
      <c r="L509" s="23" t="n"/>
      <c r="M509" s="23" t="n"/>
      <c r="N509" s="24" t="n"/>
      <c r="O509" s="23" t="n"/>
      <c r="P509" s="23" t="n"/>
    </row>
    <row r="510">
      <c r="A510" s="23" t="n"/>
      <c r="B510" s="23" t="n"/>
      <c r="C510" s="23" t="n"/>
      <c r="D510" s="23" t="n"/>
      <c r="E510" s="23" t="n"/>
      <c r="F510" s="23" t="n"/>
      <c r="G510" s="23" t="n"/>
      <c r="H510" s="23" t="n"/>
      <c r="I510" s="23" t="n"/>
      <c r="J510" s="23" t="n"/>
      <c r="K510" s="24" t="n"/>
      <c r="L510" s="23" t="n"/>
      <c r="M510" s="23" t="n"/>
      <c r="N510" s="24" t="n"/>
      <c r="O510" s="23" t="n"/>
      <c r="P510" s="23" t="n"/>
    </row>
    <row r="511">
      <c r="A511" s="23" t="n"/>
      <c r="B511" s="23" t="n"/>
      <c r="C511" s="23" t="n"/>
      <c r="D511" s="23" t="n"/>
      <c r="E511" s="23" t="n"/>
      <c r="F511" s="23" t="n"/>
      <c r="G511" s="23" t="n"/>
      <c r="H511" s="23" t="n"/>
      <c r="I511" s="23" t="n"/>
      <c r="J511" s="23" t="n"/>
      <c r="K511" s="24" t="n"/>
      <c r="L511" s="23" t="n"/>
      <c r="M511" s="23" t="n"/>
      <c r="N511" s="24" t="n"/>
      <c r="O511" s="23" t="n"/>
      <c r="P511" s="23" t="n"/>
    </row>
    <row r="512">
      <c r="A512" s="23" t="n"/>
      <c r="B512" s="23" t="n"/>
      <c r="C512" s="23" t="n"/>
      <c r="D512" s="23" t="n"/>
      <c r="E512" s="23" t="n"/>
      <c r="F512" s="23" t="n"/>
      <c r="G512" s="23" t="n"/>
      <c r="H512" s="23" t="n"/>
      <c r="I512" s="23" t="n"/>
      <c r="J512" s="23" t="n"/>
      <c r="K512" s="24" t="n"/>
      <c r="L512" s="23" t="n"/>
      <c r="M512" s="23" t="n"/>
      <c r="N512" s="24" t="n"/>
      <c r="O512" s="23" t="n"/>
      <c r="P512" s="23" t="n"/>
    </row>
    <row r="513">
      <c r="A513" s="23" t="n"/>
      <c r="B513" s="23" t="n"/>
      <c r="C513" s="23" t="n"/>
      <c r="D513" s="23" t="n"/>
      <c r="E513" s="23" t="n"/>
      <c r="F513" s="23" t="n"/>
      <c r="G513" s="23" t="n"/>
      <c r="H513" s="23" t="n"/>
      <c r="I513" s="23" t="n"/>
      <c r="J513" s="23" t="n"/>
      <c r="K513" s="24" t="n"/>
      <c r="L513" s="23" t="n"/>
      <c r="M513" s="23" t="n"/>
      <c r="N513" s="24" t="n"/>
      <c r="O513" s="23" t="n"/>
      <c r="P513" s="23" t="n"/>
    </row>
    <row r="514">
      <c r="A514" s="23" t="n"/>
      <c r="B514" s="23" t="n"/>
      <c r="C514" s="23" t="n"/>
      <c r="D514" s="23" t="n"/>
      <c r="E514" s="23" t="n"/>
      <c r="F514" s="23" t="n"/>
      <c r="G514" s="23" t="n"/>
      <c r="H514" s="23" t="n"/>
      <c r="I514" s="23" t="n"/>
      <c r="J514" s="23" t="n"/>
      <c r="K514" s="24" t="n"/>
      <c r="L514" s="23" t="n"/>
      <c r="M514" s="23" t="n"/>
      <c r="N514" s="24" t="n"/>
      <c r="O514" s="23" t="n"/>
      <c r="P514" s="23" t="n"/>
    </row>
    <row r="515">
      <c r="A515" s="23" t="n"/>
      <c r="B515" s="23" t="n"/>
      <c r="C515" s="23" t="n"/>
      <c r="D515" s="23" t="n"/>
      <c r="E515" s="23" t="n"/>
      <c r="F515" s="23" t="n"/>
      <c r="G515" s="23" t="n"/>
      <c r="H515" s="23" t="n"/>
      <c r="I515" s="23" t="n"/>
      <c r="J515" s="23" t="n"/>
      <c r="K515" s="24" t="n"/>
      <c r="L515" s="23" t="n"/>
      <c r="M515" s="23" t="n"/>
      <c r="N515" s="24" t="n"/>
      <c r="O515" s="23" t="n"/>
      <c r="P515" s="23" t="n"/>
    </row>
    <row r="516">
      <c r="A516" s="23" t="n"/>
      <c r="B516" s="23" t="n"/>
      <c r="C516" s="23" t="n"/>
      <c r="D516" s="23" t="n"/>
      <c r="E516" s="23" t="n"/>
      <c r="F516" s="23" t="n"/>
      <c r="G516" s="23" t="n"/>
      <c r="H516" s="23" t="n"/>
      <c r="I516" s="23" t="n"/>
      <c r="J516" s="23" t="n"/>
      <c r="K516" s="24" t="n"/>
      <c r="L516" s="23" t="n"/>
      <c r="M516" s="23" t="n"/>
      <c r="N516" s="24" t="n"/>
      <c r="O516" s="23" t="n"/>
      <c r="P516" s="23" t="n"/>
    </row>
    <row r="517">
      <c r="A517" s="23" t="n"/>
      <c r="B517" s="23" t="n"/>
      <c r="C517" s="23" t="n"/>
      <c r="D517" s="23" t="n"/>
      <c r="E517" s="23" t="n"/>
      <c r="F517" s="23" t="n"/>
      <c r="G517" s="23" t="n"/>
      <c r="H517" s="23" t="n"/>
      <c r="I517" s="23" t="n"/>
      <c r="J517" s="23" t="n"/>
      <c r="K517" s="24" t="n"/>
      <c r="L517" s="23" t="n"/>
      <c r="M517" s="23" t="n"/>
      <c r="N517" s="24" t="n"/>
      <c r="O517" s="23" t="n"/>
      <c r="P517" s="23" t="n"/>
    </row>
    <row r="518">
      <c r="A518" s="23" t="n"/>
      <c r="B518" s="23" t="n"/>
      <c r="C518" s="23" t="n"/>
      <c r="D518" s="23" t="n"/>
      <c r="E518" s="23" t="n"/>
      <c r="F518" s="23" t="n"/>
      <c r="G518" s="23" t="n"/>
      <c r="H518" s="23" t="n"/>
      <c r="I518" s="23" t="n"/>
      <c r="J518" s="23" t="n"/>
      <c r="K518" s="24" t="n"/>
      <c r="L518" s="23" t="n"/>
      <c r="M518" s="23" t="n"/>
      <c r="N518" s="24" t="n"/>
      <c r="O518" s="23" t="n"/>
      <c r="P518" s="23" t="n"/>
    </row>
    <row r="519">
      <c r="A519" s="23" t="n"/>
      <c r="B519" s="23" t="n"/>
      <c r="C519" s="23" t="n"/>
      <c r="D519" s="23" t="n"/>
      <c r="E519" s="23" t="n"/>
      <c r="F519" s="23" t="n"/>
      <c r="G519" s="23" t="n"/>
      <c r="H519" s="23" t="n"/>
      <c r="I519" s="23" t="n"/>
      <c r="J519" s="23" t="n"/>
      <c r="K519" s="24" t="n"/>
      <c r="L519" s="23" t="n"/>
      <c r="M519" s="23" t="n"/>
      <c r="N519" s="24" t="n"/>
      <c r="O519" s="23" t="n"/>
      <c r="P519" s="23" t="n"/>
    </row>
    <row r="520">
      <c r="A520" s="23" t="n"/>
      <c r="B520" s="23" t="n"/>
      <c r="C520" s="23" t="n"/>
      <c r="D520" s="23" t="n"/>
      <c r="E520" s="23" t="n"/>
      <c r="F520" s="23" t="n"/>
      <c r="G520" s="23" t="n"/>
      <c r="H520" s="23" t="n"/>
      <c r="I520" s="23" t="n"/>
      <c r="J520" s="23" t="n"/>
      <c r="K520" s="24" t="n"/>
      <c r="L520" s="23" t="n"/>
      <c r="M520" s="23" t="n"/>
      <c r="N520" s="24" t="n"/>
      <c r="O520" s="23" t="n"/>
      <c r="P520" s="23" t="n"/>
    </row>
    <row r="521">
      <c r="A521" s="23" t="n"/>
      <c r="B521" s="23" t="n"/>
      <c r="C521" s="23" t="n"/>
      <c r="D521" s="23" t="n"/>
      <c r="E521" s="23" t="n"/>
      <c r="F521" s="23" t="n"/>
      <c r="G521" s="23" t="n"/>
      <c r="H521" s="23" t="n"/>
      <c r="I521" s="23" t="n"/>
      <c r="J521" s="23" t="n"/>
      <c r="K521" s="24" t="n"/>
      <c r="L521" s="23" t="n"/>
      <c r="M521" s="23" t="n"/>
      <c r="N521" s="24" t="n"/>
      <c r="O521" s="23" t="n"/>
      <c r="P521" s="23" t="n"/>
    </row>
    <row r="522">
      <c r="A522" s="23" t="n"/>
      <c r="B522" s="23" t="n"/>
      <c r="C522" s="23" t="n"/>
      <c r="D522" s="23" t="n"/>
      <c r="E522" s="23" t="n"/>
      <c r="F522" s="23" t="n"/>
      <c r="G522" s="23" t="n"/>
      <c r="H522" s="23" t="n"/>
      <c r="I522" s="23" t="n"/>
      <c r="J522" s="23" t="n"/>
      <c r="K522" s="24" t="n"/>
      <c r="L522" s="23" t="n"/>
      <c r="M522" s="23" t="n"/>
      <c r="N522" s="24" t="n"/>
      <c r="O522" s="23" t="n"/>
      <c r="P522" s="23" t="n"/>
    </row>
    <row r="523">
      <c r="A523" s="23" t="n"/>
      <c r="B523" s="23" t="n"/>
      <c r="C523" s="23" t="n"/>
      <c r="D523" s="23" t="n"/>
      <c r="E523" s="23" t="n"/>
      <c r="F523" s="23" t="n"/>
      <c r="G523" s="23" t="n"/>
      <c r="H523" s="23" t="n"/>
      <c r="I523" s="23" t="n"/>
      <c r="J523" s="23" t="n"/>
      <c r="K523" s="24" t="n"/>
      <c r="L523" s="23" t="n"/>
      <c r="M523" s="23" t="n"/>
      <c r="N523" s="24" t="n"/>
      <c r="O523" s="23" t="n"/>
      <c r="P523" s="23" t="n"/>
    </row>
    <row r="524">
      <c r="A524" s="23" t="n"/>
      <c r="B524" s="23" t="n"/>
      <c r="C524" s="23" t="n"/>
      <c r="D524" s="23" t="n"/>
      <c r="E524" s="23" t="n"/>
      <c r="F524" s="23" t="n"/>
      <c r="G524" s="23" t="n"/>
      <c r="H524" s="23" t="n"/>
      <c r="I524" s="23" t="n"/>
      <c r="J524" s="23" t="n"/>
      <c r="K524" s="24" t="n"/>
      <c r="L524" s="23" t="n"/>
      <c r="M524" s="23" t="n"/>
      <c r="N524" s="24" t="n"/>
      <c r="O524" s="23" t="n"/>
      <c r="P524" s="23" t="n"/>
    </row>
    <row r="525">
      <c r="A525" s="23" t="n"/>
      <c r="B525" s="23" t="n"/>
      <c r="C525" s="23" t="n"/>
      <c r="D525" s="23" t="n"/>
      <c r="E525" s="23" t="n"/>
      <c r="F525" s="23" t="n"/>
      <c r="G525" s="23" t="n"/>
      <c r="H525" s="23" t="n"/>
      <c r="I525" s="23" t="n"/>
      <c r="J525" s="23" t="n"/>
      <c r="K525" s="24" t="n"/>
      <c r="L525" s="23" t="n"/>
      <c r="M525" s="23" t="n"/>
      <c r="N525" s="24" t="n"/>
      <c r="O525" s="23" t="n"/>
      <c r="P525" s="23" t="n"/>
    </row>
    <row r="526">
      <c r="A526" s="23" t="n"/>
      <c r="B526" s="23" t="n"/>
      <c r="C526" s="23" t="n"/>
      <c r="D526" s="23" t="n"/>
      <c r="E526" s="23" t="n"/>
      <c r="F526" s="23" t="n"/>
      <c r="G526" s="23" t="n"/>
      <c r="H526" s="23" t="n"/>
      <c r="I526" s="23" t="n"/>
      <c r="J526" s="23" t="n"/>
      <c r="K526" s="24" t="n"/>
      <c r="L526" s="23" t="n"/>
      <c r="M526" s="23" t="n"/>
      <c r="N526" s="24" t="n"/>
      <c r="O526" s="23" t="n"/>
      <c r="P526" s="23" t="n"/>
    </row>
    <row r="527">
      <c r="A527" s="23" t="n"/>
      <c r="B527" s="23" t="n"/>
      <c r="C527" s="23" t="n"/>
      <c r="D527" s="23" t="n"/>
      <c r="E527" s="23" t="n"/>
      <c r="F527" s="23" t="n"/>
      <c r="G527" s="23" t="n"/>
      <c r="H527" s="23" t="n"/>
      <c r="I527" s="23" t="n"/>
      <c r="J527" s="23" t="n"/>
      <c r="K527" s="24" t="n"/>
      <c r="L527" s="23" t="n"/>
      <c r="M527" s="23" t="n"/>
      <c r="N527" s="24" t="n"/>
      <c r="O527" s="23" t="n"/>
      <c r="P527" s="23" t="n"/>
    </row>
    <row r="528">
      <c r="A528" s="23" t="n"/>
      <c r="B528" s="23" t="n"/>
      <c r="C528" s="23" t="n"/>
      <c r="D528" s="23" t="n"/>
      <c r="E528" s="23" t="n"/>
      <c r="F528" s="23" t="n"/>
      <c r="G528" s="23" t="n"/>
      <c r="H528" s="23" t="n"/>
      <c r="I528" s="23" t="n"/>
      <c r="J528" s="23" t="n"/>
      <c r="K528" s="24" t="n"/>
      <c r="L528" s="23" t="n"/>
      <c r="M528" s="23" t="n"/>
      <c r="N528" s="24" t="n"/>
      <c r="O528" s="23" t="n"/>
      <c r="P528" s="23" t="n"/>
    </row>
    <row r="529">
      <c r="A529" s="23" t="n"/>
      <c r="B529" s="23" t="n"/>
      <c r="C529" s="23" t="n"/>
      <c r="D529" s="23" t="n"/>
      <c r="E529" s="23" t="n"/>
      <c r="F529" s="23" t="n"/>
      <c r="G529" s="23" t="n"/>
      <c r="H529" s="23" t="n"/>
      <c r="I529" s="23" t="n"/>
      <c r="J529" s="23" t="n"/>
      <c r="K529" s="24" t="n"/>
      <c r="L529" s="23" t="n"/>
      <c r="M529" s="23" t="n"/>
      <c r="N529" s="24" t="n"/>
      <c r="O529" s="23" t="n"/>
      <c r="P529" s="23" t="n"/>
    </row>
    <row r="530">
      <c r="A530" s="23" t="n"/>
      <c r="B530" s="23" t="n"/>
      <c r="C530" s="23" t="n"/>
      <c r="D530" s="23" t="n"/>
      <c r="E530" s="23" t="n"/>
      <c r="F530" s="23" t="n"/>
      <c r="G530" s="23" t="n"/>
      <c r="H530" s="23" t="n"/>
      <c r="I530" s="23" t="n"/>
      <c r="J530" s="23" t="n"/>
      <c r="K530" s="24" t="n"/>
      <c r="L530" s="23" t="n"/>
      <c r="M530" s="23" t="n"/>
      <c r="N530" s="24" t="n"/>
      <c r="O530" s="23" t="n"/>
      <c r="P530" s="23" t="n"/>
    </row>
    <row r="531">
      <c r="A531" s="23" t="n"/>
      <c r="B531" s="23" t="n"/>
      <c r="C531" s="23" t="n"/>
      <c r="D531" s="23" t="n"/>
      <c r="E531" s="23" t="n"/>
      <c r="F531" s="23" t="n"/>
      <c r="G531" s="23" t="n"/>
      <c r="H531" s="23" t="n"/>
      <c r="I531" s="23" t="n"/>
      <c r="J531" s="23" t="n"/>
      <c r="K531" s="24" t="n"/>
      <c r="L531" s="23" t="n"/>
      <c r="M531" s="23" t="n"/>
      <c r="N531" s="24" t="n"/>
      <c r="O531" s="23" t="n"/>
      <c r="P531" s="23" t="n"/>
    </row>
    <row r="532">
      <c r="A532" s="23" t="n"/>
      <c r="B532" s="23" t="n"/>
      <c r="C532" s="23" t="n"/>
      <c r="D532" s="23" t="n"/>
      <c r="E532" s="23" t="n"/>
      <c r="F532" s="23" t="n"/>
      <c r="G532" s="23" t="n"/>
      <c r="H532" s="23" t="n"/>
      <c r="I532" s="23" t="n"/>
      <c r="J532" s="23" t="n"/>
      <c r="K532" s="24" t="n"/>
      <c r="L532" s="23" t="n"/>
      <c r="M532" s="23" t="n"/>
      <c r="N532" s="24" t="n"/>
      <c r="O532" s="23" t="n"/>
      <c r="P532" s="23" t="n"/>
    </row>
    <row r="533">
      <c r="A533" s="23" t="n"/>
      <c r="B533" s="23" t="n"/>
      <c r="C533" s="23" t="n"/>
      <c r="D533" s="23" t="n"/>
      <c r="E533" s="23" t="n"/>
      <c r="F533" s="23" t="n"/>
      <c r="G533" s="23" t="n"/>
      <c r="H533" s="23" t="n"/>
      <c r="I533" s="23" t="n"/>
      <c r="J533" s="23" t="n"/>
      <c r="K533" s="24" t="n"/>
      <c r="L533" s="23" t="n"/>
      <c r="M533" s="23" t="n"/>
      <c r="N533" s="24" t="n"/>
      <c r="O533" s="23" t="n"/>
      <c r="P533" s="23" t="n"/>
    </row>
    <row r="534">
      <c r="A534" s="23" t="n"/>
      <c r="B534" s="23" t="n"/>
      <c r="C534" s="23" t="n"/>
      <c r="D534" s="23" t="n"/>
      <c r="E534" s="23" t="n"/>
      <c r="F534" s="23" t="n"/>
      <c r="G534" s="23" t="n"/>
      <c r="H534" s="23" t="n"/>
      <c r="I534" s="23" t="n"/>
      <c r="J534" s="23" t="n"/>
      <c r="K534" s="24" t="n"/>
      <c r="L534" s="23" t="n"/>
      <c r="M534" s="23" t="n"/>
      <c r="N534" s="24" t="n"/>
      <c r="O534" s="23" t="n"/>
      <c r="P534" s="23" t="n"/>
    </row>
    <row r="535">
      <c r="A535" s="23" t="n"/>
      <c r="B535" s="23" t="n"/>
      <c r="C535" s="23" t="n"/>
      <c r="D535" s="23" t="n"/>
      <c r="E535" s="23" t="n"/>
      <c r="F535" s="23" t="n"/>
      <c r="G535" s="23" t="n"/>
      <c r="H535" s="23" t="n"/>
      <c r="I535" s="23" t="n"/>
      <c r="J535" s="23" t="n"/>
      <c r="K535" s="24" t="n"/>
      <c r="L535" s="23" t="n"/>
      <c r="M535" s="23" t="n"/>
      <c r="N535" s="24" t="n"/>
      <c r="O535" s="23" t="n"/>
      <c r="P535" s="23" t="n"/>
    </row>
    <row r="536">
      <c r="A536" s="23" t="n"/>
      <c r="B536" s="23" t="n"/>
      <c r="C536" s="23" t="n"/>
      <c r="D536" s="23" t="n"/>
      <c r="E536" s="23" t="n"/>
      <c r="F536" s="23" t="n"/>
      <c r="G536" s="23" t="n"/>
      <c r="H536" s="23" t="n"/>
      <c r="I536" s="23" t="n"/>
      <c r="J536" s="23" t="n"/>
      <c r="K536" s="24" t="n"/>
      <c r="L536" s="23" t="n"/>
      <c r="M536" s="23" t="n"/>
      <c r="N536" s="24" t="n"/>
      <c r="O536" s="23" t="n"/>
      <c r="P536" s="23" t="n"/>
    </row>
    <row r="537">
      <c r="A537" s="23" t="n"/>
      <c r="B537" s="23" t="n"/>
      <c r="C537" s="23" t="n"/>
      <c r="D537" s="23" t="n"/>
      <c r="E537" s="23" t="n"/>
      <c r="F537" s="23" t="n"/>
      <c r="G537" s="23" t="n"/>
      <c r="H537" s="23" t="n"/>
      <c r="I537" s="23" t="n"/>
      <c r="J537" s="23" t="n"/>
      <c r="K537" s="24" t="n"/>
      <c r="L537" s="23" t="n"/>
      <c r="M537" s="23" t="n"/>
      <c r="N537" s="24" t="n"/>
      <c r="O537" s="23" t="n"/>
      <c r="P537" s="23" t="n"/>
    </row>
    <row r="538">
      <c r="A538" s="23" t="n"/>
      <c r="B538" s="23" t="n"/>
      <c r="C538" s="23" t="n"/>
      <c r="D538" s="23" t="n"/>
      <c r="E538" s="23" t="n"/>
      <c r="F538" s="23" t="n"/>
      <c r="G538" s="23" t="n"/>
      <c r="H538" s="23" t="n"/>
      <c r="I538" s="23" t="n"/>
      <c r="J538" s="23" t="n"/>
      <c r="K538" s="24" t="n"/>
      <c r="L538" s="23" t="n"/>
      <c r="M538" s="23" t="n"/>
      <c r="N538" s="24" t="n"/>
      <c r="O538" s="23" t="n"/>
      <c r="P538" s="23" t="n"/>
    </row>
    <row r="539">
      <c r="A539" s="23" t="n"/>
      <c r="B539" s="23" t="n"/>
      <c r="C539" s="23" t="n"/>
      <c r="D539" s="23" t="n"/>
      <c r="E539" s="23" t="n"/>
      <c r="F539" s="23" t="n"/>
      <c r="G539" s="23" t="n"/>
      <c r="H539" s="23" t="n"/>
      <c r="I539" s="23" t="n"/>
      <c r="J539" s="23" t="n"/>
      <c r="K539" s="24" t="n"/>
      <c r="L539" s="23" t="n"/>
      <c r="M539" s="23" t="n"/>
      <c r="N539" s="24" t="n"/>
      <c r="O539" s="23" t="n"/>
      <c r="P539" s="23" t="n"/>
    </row>
    <row r="540">
      <c r="A540" s="23" t="n"/>
      <c r="B540" s="23" t="n"/>
      <c r="C540" s="23" t="n"/>
      <c r="D540" s="23" t="n"/>
      <c r="E540" s="23" t="n"/>
      <c r="F540" s="23" t="n"/>
      <c r="G540" s="23" t="n"/>
      <c r="H540" s="23" t="n"/>
      <c r="I540" s="23" t="n"/>
      <c r="J540" s="23" t="n"/>
      <c r="K540" s="24" t="n"/>
      <c r="L540" s="23" t="n"/>
      <c r="M540" s="23" t="n"/>
      <c r="N540" s="24" t="n"/>
      <c r="O540" s="23" t="n"/>
      <c r="P540" s="23" t="n"/>
    </row>
    <row r="541">
      <c r="A541" s="23" t="n"/>
      <c r="B541" s="23" t="n"/>
      <c r="C541" s="23" t="n"/>
      <c r="D541" s="23" t="n"/>
      <c r="E541" s="23" t="n"/>
      <c r="F541" s="23" t="n"/>
      <c r="G541" s="23" t="n"/>
      <c r="H541" s="23" t="n"/>
      <c r="I541" s="23" t="n"/>
      <c r="J541" s="23" t="n"/>
      <c r="K541" s="24" t="n"/>
      <c r="L541" s="23" t="n"/>
      <c r="M541" s="23" t="n"/>
      <c r="N541" s="24" t="n"/>
      <c r="O541" s="23" t="n"/>
      <c r="P541" s="23" t="n"/>
    </row>
    <row r="542">
      <c r="A542" s="23" t="n"/>
      <c r="B542" s="23" t="n"/>
      <c r="C542" s="23" t="n"/>
      <c r="D542" s="23" t="n"/>
      <c r="E542" s="23" t="n"/>
      <c r="F542" s="23" t="n"/>
      <c r="G542" s="23" t="n"/>
      <c r="H542" s="23" t="n"/>
      <c r="I542" s="23" t="n"/>
      <c r="J542" s="23" t="n"/>
      <c r="K542" s="24" t="n"/>
      <c r="L542" s="23" t="n"/>
      <c r="M542" s="23" t="n"/>
      <c r="N542" s="24" t="n"/>
      <c r="O542" s="23" t="n"/>
      <c r="P542" s="23" t="n"/>
    </row>
    <row r="543">
      <c r="A543" s="23" t="n"/>
      <c r="B543" s="23" t="n"/>
      <c r="C543" s="23" t="n"/>
      <c r="D543" s="23" t="n"/>
      <c r="E543" s="23" t="n"/>
      <c r="F543" s="23" t="n"/>
      <c r="G543" s="23" t="n"/>
      <c r="H543" s="23" t="n"/>
      <c r="I543" s="23" t="n"/>
      <c r="J543" s="23" t="n"/>
      <c r="K543" s="24" t="n"/>
      <c r="L543" s="23" t="n"/>
      <c r="M543" s="23" t="n"/>
      <c r="N543" s="24" t="n"/>
      <c r="O543" s="23" t="n"/>
      <c r="P543" s="23" t="n"/>
    </row>
    <row r="544">
      <c r="A544" s="23" t="n"/>
      <c r="B544" s="23" t="n"/>
      <c r="C544" s="23" t="n"/>
      <c r="D544" s="23" t="n"/>
      <c r="E544" s="23" t="n"/>
      <c r="F544" s="23" t="n"/>
      <c r="G544" s="23" t="n"/>
      <c r="H544" s="23" t="n"/>
      <c r="I544" s="23" t="n"/>
      <c r="J544" s="23" t="n"/>
      <c r="K544" s="24" t="n"/>
      <c r="L544" s="23" t="n"/>
      <c r="M544" s="23" t="n"/>
      <c r="N544" s="24" t="n"/>
      <c r="O544" s="23" t="n"/>
      <c r="P544" s="23" t="n"/>
    </row>
    <row r="545">
      <c r="A545" s="23" t="n"/>
      <c r="B545" s="23" t="n"/>
      <c r="C545" s="23" t="n"/>
      <c r="D545" s="23" t="n"/>
      <c r="E545" s="23" t="n"/>
      <c r="F545" s="23" t="n"/>
      <c r="G545" s="23" t="n"/>
      <c r="H545" s="23" t="n"/>
      <c r="I545" s="23" t="n"/>
      <c r="J545" s="23" t="n"/>
      <c r="K545" s="24" t="n"/>
      <c r="L545" s="23" t="n"/>
      <c r="M545" s="23" t="n"/>
      <c r="N545" s="24" t="n"/>
      <c r="O545" s="23" t="n"/>
      <c r="P545" s="23" t="n"/>
    </row>
    <row r="546">
      <c r="A546" s="23" t="n"/>
      <c r="B546" s="23" t="n"/>
      <c r="C546" s="23" t="n"/>
      <c r="D546" s="23" t="n"/>
      <c r="E546" s="23" t="n"/>
      <c r="F546" s="23" t="n"/>
      <c r="G546" s="23" t="n"/>
      <c r="H546" s="23" t="n"/>
      <c r="I546" s="23" t="n"/>
      <c r="J546" s="23" t="n"/>
      <c r="K546" s="24" t="n"/>
      <c r="L546" s="23" t="n"/>
      <c r="M546" s="23" t="n"/>
      <c r="N546" s="24" t="n"/>
      <c r="O546" s="23" t="n"/>
      <c r="P546" s="23" t="n"/>
    </row>
    <row r="547">
      <c r="A547" s="23" t="n"/>
      <c r="B547" s="23" t="n"/>
      <c r="C547" s="23" t="n"/>
      <c r="D547" s="23" t="n"/>
      <c r="E547" s="23" t="n"/>
      <c r="F547" s="23" t="n"/>
      <c r="G547" s="23" t="n"/>
      <c r="H547" s="23" t="n"/>
      <c r="I547" s="23" t="n"/>
      <c r="J547" s="23" t="n"/>
      <c r="K547" s="24" t="n"/>
      <c r="L547" s="23" t="n"/>
      <c r="M547" s="23" t="n"/>
      <c r="N547" s="24" t="n"/>
      <c r="O547" s="23" t="n"/>
      <c r="P547" s="23" t="n"/>
    </row>
    <row r="548">
      <c r="A548" s="23" t="n"/>
      <c r="B548" s="23" t="n"/>
      <c r="C548" s="23" t="n"/>
      <c r="D548" s="23" t="n"/>
      <c r="E548" s="23" t="n"/>
      <c r="F548" s="23" t="n"/>
      <c r="G548" s="23" t="n"/>
      <c r="H548" s="23" t="n"/>
      <c r="I548" s="23" t="n"/>
      <c r="J548" s="23" t="n"/>
      <c r="K548" s="24" t="n"/>
      <c r="L548" s="23" t="n"/>
      <c r="M548" s="23" t="n"/>
      <c r="N548" s="24" t="n"/>
      <c r="O548" s="23" t="n"/>
      <c r="P548" s="23" t="n"/>
    </row>
    <row r="549">
      <c r="A549" s="23" t="n"/>
      <c r="B549" s="23" t="n"/>
      <c r="C549" s="23" t="n"/>
      <c r="D549" s="23" t="n"/>
      <c r="E549" s="23" t="n"/>
      <c r="F549" s="23" t="n"/>
      <c r="G549" s="23" t="n"/>
      <c r="H549" s="23" t="n"/>
      <c r="I549" s="23" t="n"/>
      <c r="J549" s="23" t="n"/>
      <c r="K549" s="24" t="n"/>
      <c r="L549" s="23" t="n"/>
      <c r="M549" s="23" t="n"/>
      <c r="N549" s="24" t="n"/>
      <c r="O549" s="23" t="n"/>
      <c r="P549" s="23" t="n"/>
    </row>
    <row r="550">
      <c r="A550" s="23" t="n"/>
      <c r="B550" s="23" t="n"/>
      <c r="C550" s="23" t="n"/>
      <c r="D550" s="23" t="n"/>
      <c r="E550" s="23" t="n"/>
      <c r="F550" s="23" t="n"/>
      <c r="G550" s="23" t="n"/>
      <c r="H550" s="23" t="n"/>
      <c r="I550" s="23" t="n"/>
      <c r="J550" s="23" t="n"/>
      <c r="K550" s="24" t="n"/>
      <c r="L550" s="23" t="n"/>
      <c r="M550" s="23" t="n"/>
      <c r="N550" s="24" t="n"/>
      <c r="O550" s="23" t="n"/>
      <c r="P550" s="23" t="n"/>
    </row>
    <row r="551">
      <c r="A551" s="23" t="n"/>
      <c r="B551" s="23" t="n"/>
      <c r="C551" s="23" t="n"/>
      <c r="D551" s="23" t="n"/>
      <c r="E551" s="23" t="n"/>
      <c r="F551" s="23" t="n"/>
      <c r="G551" s="23" t="n"/>
      <c r="H551" s="23" t="n"/>
      <c r="I551" s="23" t="n"/>
      <c r="J551" s="23" t="n"/>
      <c r="K551" s="24" t="n"/>
      <c r="L551" s="23" t="n"/>
      <c r="M551" s="23" t="n"/>
      <c r="N551" s="24" t="n"/>
      <c r="O551" s="23" t="n"/>
      <c r="P551" s="23" t="n"/>
    </row>
    <row r="552">
      <c r="A552" s="23" t="n"/>
      <c r="B552" s="23" t="n"/>
      <c r="C552" s="23" t="n"/>
      <c r="D552" s="23" t="n"/>
      <c r="E552" s="23" t="n"/>
      <c r="F552" s="23" t="n"/>
      <c r="G552" s="23" t="n"/>
      <c r="H552" s="23" t="n"/>
      <c r="I552" s="23" t="n"/>
      <c r="J552" s="23" t="n"/>
      <c r="K552" s="24" t="n"/>
      <c r="L552" s="23" t="n"/>
      <c r="M552" s="23" t="n"/>
      <c r="N552" s="24" t="n"/>
      <c r="O552" s="23" t="n"/>
      <c r="P552" s="23" t="n"/>
    </row>
    <row r="553">
      <c r="A553" s="23" t="n"/>
      <c r="B553" s="23" t="n"/>
      <c r="C553" s="23" t="n"/>
      <c r="D553" s="23" t="n"/>
      <c r="E553" s="23" t="n"/>
      <c r="F553" s="23" t="n"/>
      <c r="G553" s="23" t="n"/>
      <c r="H553" s="23" t="n"/>
      <c r="I553" s="23" t="n"/>
      <c r="J553" s="23" t="n"/>
      <c r="K553" s="24" t="n"/>
      <c r="L553" s="23" t="n"/>
      <c r="M553" s="23" t="n"/>
      <c r="N553" s="24" t="n"/>
      <c r="O553" s="23" t="n"/>
      <c r="P553" s="23" t="n"/>
    </row>
    <row r="554">
      <c r="A554" s="23" t="n"/>
      <c r="B554" s="23" t="n"/>
      <c r="C554" s="23" t="n"/>
      <c r="D554" s="23" t="n"/>
      <c r="E554" s="23" t="n"/>
      <c r="F554" s="23" t="n"/>
      <c r="G554" s="23" t="n"/>
      <c r="H554" s="23" t="n"/>
      <c r="I554" s="23" t="n"/>
      <c r="J554" s="23" t="n"/>
      <c r="K554" s="24" t="n"/>
      <c r="L554" s="23" t="n"/>
      <c r="M554" s="23" t="n"/>
      <c r="N554" s="24" t="n"/>
      <c r="O554" s="23" t="n"/>
      <c r="P554" s="23" t="n"/>
    </row>
    <row r="555">
      <c r="A555" s="23" t="n"/>
      <c r="B555" s="23" t="n"/>
      <c r="C555" s="23" t="n"/>
      <c r="D555" s="23" t="n"/>
      <c r="E555" s="23" t="n"/>
      <c r="F555" s="23" t="n"/>
      <c r="G555" s="23" t="n"/>
      <c r="H555" s="23" t="n"/>
      <c r="I555" s="23" t="n"/>
      <c r="J555" s="23" t="n"/>
      <c r="K555" s="24" t="n"/>
      <c r="L555" s="23" t="n"/>
      <c r="M555" s="23" t="n"/>
      <c r="N555" s="24" t="n"/>
      <c r="O555" s="23" t="n"/>
      <c r="P555" s="23" t="n"/>
    </row>
    <row r="556">
      <c r="A556" s="23" t="n"/>
      <c r="B556" s="23" t="n"/>
      <c r="C556" s="23" t="n"/>
      <c r="D556" s="23" t="n"/>
      <c r="E556" s="23" t="n"/>
      <c r="F556" s="23" t="n"/>
      <c r="G556" s="23" t="n"/>
      <c r="H556" s="23" t="n"/>
      <c r="I556" s="23" t="n"/>
      <c r="J556" s="23" t="n"/>
      <c r="K556" s="24" t="n"/>
      <c r="L556" s="23" t="n"/>
      <c r="M556" s="23" t="n"/>
      <c r="N556" s="24" t="n"/>
      <c r="O556" s="23" t="n"/>
      <c r="P556" s="23" t="n"/>
    </row>
    <row r="557">
      <c r="A557" s="23" t="n"/>
      <c r="B557" s="23" t="n"/>
      <c r="C557" s="23" t="n"/>
      <c r="D557" s="23" t="n"/>
      <c r="E557" s="23" t="n"/>
      <c r="F557" s="23" t="n"/>
      <c r="G557" s="23" t="n"/>
      <c r="H557" s="23" t="n"/>
      <c r="I557" s="23" t="n"/>
      <c r="J557" s="23" t="n"/>
      <c r="K557" s="24" t="n"/>
      <c r="L557" s="23" t="n"/>
      <c r="M557" s="23" t="n"/>
      <c r="N557" s="24" t="n"/>
      <c r="O557" s="23" t="n"/>
      <c r="P557" s="23" t="n"/>
    </row>
    <row r="558">
      <c r="A558" s="23" t="n"/>
      <c r="B558" s="23" t="n"/>
      <c r="C558" s="23" t="n"/>
      <c r="D558" s="23" t="n"/>
      <c r="E558" s="23" t="n"/>
      <c r="F558" s="23" t="n"/>
      <c r="G558" s="23" t="n"/>
      <c r="H558" s="23" t="n"/>
      <c r="I558" s="23" t="n"/>
      <c r="J558" s="23" t="n"/>
      <c r="K558" s="24" t="n"/>
      <c r="L558" s="23" t="n"/>
      <c r="M558" s="23" t="n"/>
      <c r="N558" s="24" t="n"/>
      <c r="O558" s="23" t="n"/>
      <c r="P558" s="23" t="n"/>
    </row>
    <row r="559">
      <c r="A559" s="23" t="n"/>
      <c r="B559" s="23" t="n"/>
      <c r="C559" s="23" t="n"/>
      <c r="D559" s="23" t="n"/>
      <c r="E559" s="23" t="n"/>
      <c r="F559" s="23" t="n"/>
      <c r="G559" s="23" t="n"/>
      <c r="H559" s="23" t="n"/>
      <c r="I559" s="23" t="n"/>
      <c r="J559" s="23" t="n"/>
      <c r="K559" s="24" t="n"/>
      <c r="L559" s="23" t="n"/>
      <c r="M559" s="23" t="n"/>
      <c r="N559" s="24" t="n"/>
      <c r="O559" s="23" t="n"/>
      <c r="P559" s="23" t="n"/>
    </row>
    <row r="560">
      <c r="A560" s="23" t="n"/>
      <c r="B560" s="23" t="n"/>
      <c r="C560" s="23" t="n"/>
      <c r="D560" s="23" t="n"/>
      <c r="E560" s="23" t="n"/>
      <c r="F560" s="23" t="n"/>
      <c r="G560" s="23" t="n"/>
      <c r="H560" s="23" t="n"/>
      <c r="I560" s="23" t="n"/>
      <c r="J560" s="23" t="n"/>
      <c r="K560" s="24" t="n"/>
      <c r="L560" s="23" t="n"/>
      <c r="M560" s="23" t="n"/>
      <c r="N560" s="24" t="n"/>
      <c r="O560" s="23" t="n"/>
      <c r="P560" s="23" t="n"/>
    </row>
    <row r="561">
      <c r="A561" s="23" t="n"/>
      <c r="B561" s="23" t="n"/>
      <c r="C561" s="23" t="n"/>
      <c r="D561" s="23" t="n"/>
      <c r="E561" s="23" t="n"/>
      <c r="F561" s="23" t="n"/>
      <c r="G561" s="23" t="n"/>
      <c r="H561" s="23" t="n"/>
      <c r="I561" s="23" t="n"/>
      <c r="J561" s="23" t="n"/>
      <c r="K561" s="24" t="n"/>
      <c r="L561" s="23" t="n"/>
      <c r="M561" s="23" t="n"/>
      <c r="N561" s="24" t="n"/>
      <c r="O561" s="23" t="n"/>
      <c r="P561" s="23" t="n"/>
    </row>
    <row r="562">
      <c r="A562" s="23" t="n"/>
      <c r="B562" s="23" t="n"/>
      <c r="C562" s="23" t="n"/>
      <c r="D562" s="23" t="n"/>
      <c r="E562" s="23" t="n"/>
      <c r="F562" s="23" t="n"/>
      <c r="G562" s="23" t="n"/>
      <c r="H562" s="23" t="n"/>
      <c r="I562" s="23" t="n"/>
      <c r="J562" s="23" t="n"/>
      <c r="K562" s="24" t="n"/>
      <c r="L562" s="23" t="n"/>
      <c r="M562" s="23" t="n"/>
      <c r="N562" s="24" t="n"/>
      <c r="O562" s="23" t="n"/>
      <c r="P562" s="23" t="n"/>
    </row>
    <row r="563">
      <c r="A563" s="23" t="n"/>
      <c r="B563" s="23" t="n"/>
      <c r="C563" s="23" t="n"/>
      <c r="D563" s="23" t="n"/>
      <c r="E563" s="23" t="n"/>
      <c r="F563" s="23" t="n"/>
      <c r="G563" s="23" t="n"/>
      <c r="H563" s="23" t="n"/>
      <c r="I563" s="23" t="n"/>
      <c r="J563" s="23" t="n"/>
      <c r="K563" s="24" t="n"/>
      <c r="L563" s="23" t="n"/>
      <c r="M563" s="23" t="n"/>
      <c r="N563" s="24" t="n"/>
      <c r="O563" s="23" t="n"/>
      <c r="P563" s="23" t="n"/>
    </row>
    <row r="564">
      <c r="A564" s="23" t="n"/>
      <c r="B564" s="23" t="n"/>
      <c r="C564" s="23" t="n"/>
      <c r="D564" s="23" t="n"/>
      <c r="E564" s="23" t="n"/>
      <c r="F564" s="23" t="n"/>
      <c r="G564" s="23" t="n"/>
      <c r="H564" s="23" t="n"/>
      <c r="I564" s="23" t="n"/>
      <c r="J564" s="23" t="n"/>
      <c r="K564" s="24" t="n"/>
      <c r="L564" s="23" t="n"/>
      <c r="M564" s="23" t="n"/>
      <c r="N564" s="24" t="n"/>
      <c r="O564" s="23" t="n"/>
      <c r="P564" s="23" t="n"/>
    </row>
    <row r="565">
      <c r="A565" s="23" t="n"/>
      <c r="B565" s="23" t="n"/>
      <c r="C565" s="23" t="n"/>
      <c r="D565" s="23" t="n"/>
      <c r="E565" s="23" t="n"/>
      <c r="F565" s="23" t="n"/>
      <c r="G565" s="23" t="n"/>
      <c r="H565" s="23" t="n"/>
      <c r="I565" s="23" t="n"/>
      <c r="J565" s="23" t="n"/>
      <c r="K565" s="24" t="n"/>
      <c r="L565" s="23" t="n"/>
      <c r="M565" s="23" t="n"/>
      <c r="N565" s="24" t="n"/>
      <c r="O565" s="23" t="n"/>
      <c r="P565" s="23" t="n"/>
    </row>
    <row r="566">
      <c r="A566" s="23" t="n"/>
      <c r="B566" s="23" t="n"/>
      <c r="C566" s="23" t="n"/>
      <c r="D566" s="23" t="n"/>
      <c r="E566" s="23" t="n"/>
      <c r="F566" s="23" t="n"/>
      <c r="G566" s="23" t="n"/>
      <c r="H566" s="23" t="n"/>
      <c r="I566" s="23" t="n"/>
      <c r="J566" s="23" t="n"/>
      <c r="K566" s="24" t="n"/>
      <c r="L566" s="23" t="n"/>
      <c r="M566" s="23" t="n"/>
      <c r="N566" s="24" t="n"/>
      <c r="O566" s="23" t="n"/>
      <c r="P566" s="23" t="n"/>
    </row>
    <row r="567">
      <c r="A567" s="23" t="n"/>
      <c r="B567" s="23" t="n"/>
      <c r="C567" s="23" t="n"/>
      <c r="D567" s="23" t="n"/>
      <c r="E567" s="23" t="n"/>
      <c r="F567" s="23" t="n"/>
      <c r="G567" s="23" t="n"/>
      <c r="H567" s="23" t="n"/>
      <c r="I567" s="23" t="n"/>
      <c r="J567" s="23" t="n"/>
      <c r="K567" s="24" t="n"/>
      <c r="L567" s="23" t="n"/>
      <c r="M567" s="23" t="n"/>
      <c r="N567" s="24" t="n"/>
      <c r="O567" s="23" t="n"/>
      <c r="P567" s="23" t="n"/>
    </row>
    <row r="568">
      <c r="A568" s="23" t="n"/>
      <c r="B568" s="23" t="n"/>
      <c r="C568" s="23" t="n"/>
      <c r="D568" s="23" t="n"/>
      <c r="E568" s="23" t="n"/>
      <c r="F568" s="23" t="n"/>
      <c r="G568" s="23" t="n"/>
      <c r="H568" s="23" t="n"/>
      <c r="I568" s="23" t="n"/>
      <c r="J568" s="23" t="n"/>
      <c r="K568" s="24" t="n"/>
      <c r="L568" s="23" t="n"/>
      <c r="M568" s="23" t="n"/>
      <c r="N568" s="24" t="n"/>
      <c r="O568" s="23" t="n"/>
      <c r="P568" s="23" t="n"/>
    </row>
    <row r="569">
      <c r="A569" s="23" t="n"/>
      <c r="B569" s="23" t="n"/>
      <c r="C569" s="23" t="n"/>
      <c r="D569" s="23" t="n"/>
      <c r="E569" s="23" t="n"/>
      <c r="F569" s="23" t="n"/>
      <c r="G569" s="23" t="n"/>
      <c r="H569" s="23" t="n"/>
      <c r="I569" s="23" t="n"/>
      <c r="J569" s="23" t="n"/>
      <c r="K569" s="24" t="n"/>
      <c r="L569" s="23" t="n"/>
      <c r="M569" s="23" t="n"/>
      <c r="N569" s="24" t="n"/>
      <c r="O569" s="23" t="n"/>
      <c r="P569" s="23" t="n"/>
    </row>
    <row r="570">
      <c r="A570" s="23" t="n"/>
      <c r="B570" s="23" t="n"/>
      <c r="C570" s="23" t="n"/>
      <c r="D570" s="23" t="n"/>
      <c r="E570" s="23" t="n"/>
      <c r="F570" s="23" t="n"/>
      <c r="G570" s="23" t="n"/>
      <c r="H570" s="23" t="n"/>
      <c r="I570" s="23" t="n"/>
      <c r="J570" s="23" t="n"/>
      <c r="K570" s="24" t="n"/>
      <c r="L570" s="23" t="n"/>
      <c r="M570" s="23" t="n"/>
      <c r="N570" s="24" t="n"/>
      <c r="O570" s="23" t="n"/>
      <c r="P570" s="23" t="n"/>
    </row>
    <row r="571">
      <c r="A571" s="23" t="n"/>
      <c r="B571" s="23" t="n"/>
      <c r="C571" s="23" t="n"/>
      <c r="D571" s="23" t="n"/>
      <c r="E571" s="23" t="n"/>
      <c r="F571" s="23" t="n"/>
      <c r="G571" s="23" t="n"/>
      <c r="H571" s="23" t="n"/>
      <c r="I571" s="23" t="n"/>
      <c r="J571" s="23" t="n"/>
      <c r="K571" s="24" t="n"/>
      <c r="L571" s="23" t="n"/>
      <c r="M571" s="23" t="n"/>
      <c r="N571" s="24" t="n"/>
      <c r="O571" s="23" t="n"/>
      <c r="P571" s="23" t="n"/>
    </row>
    <row r="572">
      <c r="A572" s="23" t="n"/>
      <c r="B572" s="23" t="n"/>
      <c r="C572" s="23" t="n"/>
      <c r="D572" s="23" t="n"/>
      <c r="E572" s="23" t="n"/>
      <c r="F572" s="23" t="n"/>
      <c r="G572" s="23" t="n"/>
      <c r="H572" s="23" t="n"/>
      <c r="I572" s="23" t="n"/>
      <c r="J572" s="23" t="n"/>
      <c r="K572" s="24" t="n"/>
      <c r="L572" s="23" t="n"/>
      <c r="M572" s="23" t="n"/>
      <c r="N572" s="24" t="n"/>
      <c r="O572" s="23" t="n"/>
      <c r="P572" s="23" t="n"/>
    </row>
    <row r="573">
      <c r="A573" s="23" t="n"/>
      <c r="B573" s="23" t="n"/>
      <c r="C573" s="23" t="n"/>
      <c r="D573" s="23" t="n"/>
      <c r="E573" s="23" t="n"/>
      <c r="F573" s="23" t="n"/>
      <c r="G573" s="23" t="n"/>
      <c r="H573" s="23" t="n"/>
      <c r="I573" s="23" t="n"/>
      <c r="J573" s="23" t="n"/>
      <c r="K573" s="24" t="n"/>
      <c r="L573" s="23" t="n"/>
      <c r="M573" s="23" t="n"/>
      <c r="N573" s="24" t="n"/>
      <c r="O573" s="23" t="n"/>
      <c r="P573" s="23" t="n"/>
    </row>
    <row r="574">
      <c r="A574" s="23" t="n"/>
      <c r="B574" s="23" t="n"/>
      <c r="C574" s="23" t="n"/>
      <c r="D574" s="23" t="n"/>
      <c r="E574" s="23" t="n"/>
      <c r="F574" s="23" t="n"/>
      <c r="G574" s="23" t="n"/>
      <c r="H574" s="23" t="n"/>
      <c r="I574" s="23" t="n"/>
      <c r="J574" s="23" t="n"/>
      <c r="K574" s="24" t="n"/>
      <c r="L574" s="23" t="n"/>
      <c r="M574" s="23" t="n"/>
      <c r="N574" s="24" t="n"/>
      <c r="O574" s="23" t="n"/>
      <c r="P574" s="23" t="n"/>
    </row>
    <row r="575">
      <c r="A575" s="23" t="n"/>
      <c r="B575" s="23" t="n"/>
      <c r="C575" s="23" t="n"/>
      <c r="D575" s="23" t="n"/>
      <c r="E575" s="23" t="n"/>
      <c r="F575" s="23" t="n"/>
      <c r="G575" s="23" t="n"/>
      <c r="H575" s="23" t="n"/>
      <c r="I575" s="23" t="n"/>
      <c r="J575" s="23" t="n"/>
      <c r="K575" s="24" t="n"/>
      <c r="L575" s="23" t="n"/>
      <c r="M575" s="23" t="n"/>
      <c r="N575" s="24" t="n"/>
      <c r="O575" s="23" t="n"/>
      <c r="P575" s="23" t="n"/>
    </row>
    <row r="576">
      <c r="A576" s="23" t="n"/>
      <c r="B576" s="23" t="n"/>
      <c r="C576" s="23" t="n"/>
      <c r="D576" s="23" t="n"/>
      <c r="E576" s="23" t="n"/>
      <c r="F576" s="23" t="n"/>
      <c r="G576" s="23" t="n"/>
      <c r="H576" s="23" t="n"/>
      <c r="I576" s="23" t="n"/>
      <c r="J576" s="23" t="n"/>
      <c r="K576" s="24" t="n"/>
      <c r="L576" s="23" t="n"/>
      <c r="M576" s="23" t="n"/>
      <c r="N576" s="24" t="n"/>
      <c r="O576" s="23" t="n"/>
      <c r="P576" s="23" t="n"/>
    </row>
    <row r="577">
      <c r="A577" s="23" t="n"/>
      <c r="B577" s="23" t="n"/>
      <c r="C577" s="23" t="n"/>
      <c r="D577" s="23" t="n"/>
      <c r="E577" s="23" t="n"/>
      <c r="F577" s="23" t="n"/>
      <c r="G577" s="23" t="n"/>
      <c r="H577" s="23" t="n"/>
      <c r="I577" s="23" t="n"/>
      <c r="J577" s="23" t="n"/>
      <c r="K577" s="24" t="n"/>
      <c r="L577" s="23" t="n"/>
      <c r="M577" s="23" t="n"/>
      <c r="N577" s="24" t="n"/>
      <c r="O577" s="23" t="n"/>
      <c r="P577" s="23" t="n"/>
    </row>
    <row r="578">
      <c r="A578" s="23" t="n"/>
      <c r="B578" s="23" t="n"/>
      <c r="C578" s="23" t="n"/>
      <c r="D578" s="23" t="n"/>
      <c r="E578" s="23" t="n"/>
      <c r="F578" s="23" t="n"/>
      <c r="G578" s="23" t="n"/>
      <c r="H578" s="23" t="n"/>
      <c r="I578" s="23" t="n"/>
      <c r="J578" s="23" t="n"/>
      <c r="K578" s="24" t="n"/>
      <c r="L578" s="23" t="n"/>
      <c r="M578" s="23" t="n"/>
      <c r="N578" s="24" t="n"/>
      <c r="O578" s="23" t="n"/>
      <c r="P578" s="23" t="n"/>
    </row>
    <row r="579">
      <c r="A579" s="23" t="n"/>
      <c r="B579" s="23" t="n"/>
      <c r="C579" s="23" t="n"/>
      <c r="D579" s="23" t="n"/>
      <c r="E579" s="23" t="n"/>
      <c r="F579" s="23" t="n"/>
      <c r="G579" s="23" t="n"/>
      <c r="H579" s="23" t="n"/>
      <c r="I579" s="23" t="n"/>
      <c r="J579" s="23" t="n"/>
      <c r="K579" s="24" t="n"/>
      <c r="L579" s="23" t="n"/>
      <c r="M579" s="23" t="n"/>
      <c r="N579" s="24" t="n"/>
      <c r="O579" s="23" t="n"/>
      <c r="P579" s="23" t="n"/>
    </row>
    <row r="580">
      <c r="A580" s="23" t="n"/>
      <c r="B580" s="23" t="n"/>
      <c r="C580" s="23" t="n"/>
      <c r="D580" s="23" t="n"/>
      <c r="E580" s="23" t="n"/>
      <c r="F580" s="23" t="n"/>
      <c r="G580" s="23" t="n"/>
      <c r="H580" s="23" t="n"/>
      <c r="I580" s="23" t="n"/>
      <c r="J580" s="23" t="n"/>
      <c r="K580" s="24" t="n"/>
      <c r="L580" s="23" t="n"/>
      <c r="M580" s="23" t="n"/>
      <c r="N580" s="24" t="n"/>
      <c r="O580" s="23" t="n"/>
      <c r="P580" s="23" t="n"/>
    </row>
    <row r="581">
      <c r="A581" s="23" t="n"/>
      <c r="B581" s="23" t="n"/>
      <c r="C581" s="23" t="n"/>
      <c r="D581" s="23" t="n"/>
      <c r="E581" s="23" t="n"/>
      <c r="F581" s="23" t="n"/>
      <c r="G581" s="23" t="n"/>
      <c r="H581" s="23" t="n"/>
      <c r="I581" s="23" t="n"/>
      <c r="J581" s="23" t="n"/>
      <c r="K581" s="24" t="n"/>
      <c r="L581" s="23" t="n"/>
      <c r="M581" s="23" t="n"/>
      <c r="N581" s="24" t="n"/>
      <c r="O581" s="23" t="n"/>
      <c r="P581" s="23" t="n"/>
    </row>
    <row r="582">
      <c r="A582" s="23" t="n"/>
      <c r="B582" s="23" t="n"/>
      <c r="C582" s="23" t="n"/>
      <c r="D582" s="23" t="n"/>
      <c r="E582" s="23" t="n"/>
      <c r="F582" s="23" t="n"/>
      <c r="G582" s="23" t="n"/>
      <c r="H582" s="23" t="n"/>
      <c r="I582" s="23" t="n"/>
      <c r="J582" s="23" t="n"/>
      <c r="K582" s="24" t="n"/>
      <c r="L582" s="23" t="n"/>
      <c r="M582" s="23" t="n"/>
      <c r="N582" s="24" t="n"/>
      <c r="O582" s="23" t="n"/>
      <c r="P582" s="23" t="n"/>
    </row>
    <row r="583">
      <c r="A583" s="23" t="n"/>
      <c r="B583" s="23" t="n"/>
      <c r="C583" s="23" t="n"/>
      <c r="D583" s="23" t="n"/>
      <c r="E583" s="23" t="n"/>
      <c r="F583" s="23" t="n"/>
      <c r="G583" s="23" t="n"/>
      <c r="H583" s="23" t="n"/>
      <c r="I583" s="23" t="n"/>
      <c r="J583" s="23" t="n"/>
      <c r="K583" s="24" t="n"/>
      <c r="L583" s="23" t="n"/>
      <c r="M583" s="23" t="n"/>
      <c r="N583" s="24" t="n"/>
      <c r="O583" s="23" t="n"/>
      <c r="P583" s="23" t="n"/>
    </row>
    <row r="584">
      <c r="A584" s="23" t="n"/>
      <c r="B584" s="23" t="n"/>
      <c r="C584" s="23" t="n"/>
      <c r="D584" s="23" t="n"/>
      <c r="E584" s="23" t="n"/>
      <c r="F584" s="23" t="n"/>
      <c r="G584" s="23" t="n"/>
      <c r="H584" s="23" t="n"/>
      <c r="I584" s="23" t="n"/>
      <c r="J584" s="23" t="n"/>
      <c r="K584" s="24" t="n"/>
      <c r="L584" s="23" t="n"/>
      <c r="M584" s="23" t="n"/>
      <c r="N584" s="24" t="n"/>
      <c r="O584" s="23" t="n"/>
      <c r="P584" s="23" t="n"/>
    </row>
    <row r="585">
      <c r="A585" s="23" t="n"/>
      <c r="B585" s="23" t="n"/>
      <c r="C585" s="23" t="n"/>
      <c r="D585" s="23" t="n"/>
      <c r="E585" s="23" t="n"/>
      <c r="F585" s="23" t="n"/>
      <c r="G585" s="23" t="n"/>
      <c r="H585" s="23" t="n"/>
      <c r="I585" s="23" t="n"/>
      <c r="J585" s="23" t="n"/>
      <c r="K585" s="24" t="n"/>
      <c r="L585" s="23" t="n"/>
      <c r="M585" s="23" t="n"/>
      <c r="N585" s="24" t="n"/>
      <c r="O585" s="23" t="n"/>
      <c r="P585" s="23" t="n"/>
    </row>
    <row r="586">
      <c r="A586" s="23" t="n"/>
      <c r="B586" s="23" t="n"/>
      <c r="C586" s="23" t="n"/>
      <c r="D586" s="23" t="n"/>
      <c r="E586" s="23" t="n"/>
      <c r="F586" s="23" t="n"/>
      <c r="G586" s="23" t="n"/>
      <c r="H586" s="23" t="n"/>
      <c r="I586" s="23" t="n"/>
      <c r="J586" s="23" t="n"/>
      <c r="K586" s="24" t="n"/>
      <c r="L586" s="23" t="n"/>
      <c r="M586" s="23" t="n"/>
      <c r="N586" s="24" t="n"/>
      <c r="O586" s="23" t="n"/>
      <c r="P586" s="23" t="n"/>
    </row>
    <row r="587">
      <c r="A587" s="23" t="n"/>
      <c r="B587" s="23" t="n"/>
      <c r="C587" s="23" t="n"/>
      <c r="D587" s="23" t="n"/>
      <c r="E587" s="23" t="n"/>
      <c r="F587" s="23" t="n"/>
      <c r="G587" s="23" t="n"/>
      <c r="H587" s="23" t="n"/>
      <c r="I587" s="23" t="n"/>
      <c r="J587" s="23" t="n"/>
      <c r="K587" s="24" t="n"/>
      <c r="L587" s="23" t="n"/>
      <c r="M587" s="23" t="n"/>
      <c r="N587" s="24" t="n"/>
      <c r="O587" s="23" t="n"/>
      <c r="P587" s="23" t="n"/>
    </row>
    <row r="588">
      <c r="A588" s="23" t="n"/>
      <c r="B588" s="23" t="n"/>
      <c r="C588" s="23" t="n"/>
      <c r="D588" s="23" t="n"/>
      <c r="E588" s="23" t="n"/>
      <c r="F588" s="23" t="n"/>
      <c r="G588" s="23" t="n"/>
      <c r="H588" s="23" t="n"/>
      <c r="I588" s="23" t="n"/>
      <c r="J588" s="23" t="n"/>
      <c r="K588" s="24" t="n"/>
      <c r="L588" s="23" t="n"/>
      <c r="M588" s="23" t="n"/>
      <c r="N588" s="24" t="n"/>
      <c r="O588" s="23" t="n"/>
      <c r="P588" s="23" t="n"/>
    </row>
    <row r="589">
      <c r="A589" s="23" t="n"/>
      <c r="B589" s="23" t="n"/>
      <c r="C589" s="23" t="n"/>
      <c r="D589" s="23" t="n"/>
      <c r="E589" s="23" t="n"/>
      <c r="F589" s="23" t="n"/>
      <c r="G589" s="23" t="n"/>
      <c r="H589" s="23" t="n"/>
      <c r="I589" s="23" t="n"/>
      <c r="J589" s="23" t="n"/>
      <c r="K589" s="24" t="n"/>
      <c r="L589" s="23" t="n"/>
      <c r="M589" s="23" t="n"/>
      <c r="N589" s="24" t="n"/>
      <c r="O589" s="23" t="n"/>
      <c r="P589" s="23" t="n"/>
    </row>
    <row r="590">
      <c r="A590" s="23" t="n"/>
      <c r="B590" s="23" t="n"/>
      <c r="C590" s="23" t="n"/>
      <c r="D590" s="23" t="n"/>
      <c r="E590" s="23" t="n"/>
      <c r="F590" s="23" t="n"/>
      <c r="G590" s="23" t="n"/>
      <c r="H590" s="23" t="n"/>
      <c r="I590" s="23" t="n"/>
      <c r="J590" s="23" t="n"/>
      <c r="K590" s="24" t="n"/>
      <c r="L590" s="23" t="n"/>
      <c r="M590" s="23" t="n"/>
      <c r="N590" s="24" t="n"/>
      <c r="O590" s="23" t="n"/>
      <c r="P590" s="23" t="n"/>
    </row>
    <row r="591">
      <c r="A591" s="23" t="n"/>
      <c r="B591" s="23" t="n"/>
      <c r="C591" s="23" t="n"/>
      <c r="D591" s="23" t="n"/>
      <c r="E591" s="23" t="n"/>
      <c r="F591" s="23" t="n"/>
      <c r="G591" s="23" t="n"/>
      <c r="H591" s="23" t="n"/>
      <c r="I591" s="23" t="n"/>
      <c r="J591" s="23" t="n"/>
      <c r="K591" s="24" t="n"/>
      <c r="L591" s="23" t="n"/>
      <c r="M591" s="23" t="n"/>
      <c r="N591" s="24" t="n"/>
      <c r="O591" s="23" t="n"/>
      <c r="P591" s="23" t="n"/>
    </row>
    <row r="592">
      <c r="A592" s="23" t="n"/>
      <c r="B592" s="23" t="n"/>
      <c r="C592" s="23" t="n"/>
      <c r="D592" s="23" t="n"/>
      <c r="E592" s="23" t="n"/>
      <c r="F592" s="23" t="n"/>
      <c r="G592" s="23" t="n"/>
      <c r="H592" s="23" t="n"/>
      <c r="I592" s="23" t="n"/>
      <c r="J592" s="23" t="n"/>
      <c r="K592" s="24" t="n"/>
      <c r="L592" s="23" t="n"/>
      <c r="M592" s="23" t="n"/>
      <c r="N592" s="24" t="n"/>
      <c r="O592" s="23" t="n"/>
      <c r="P592" s="23" t="n"/>
    </row>
    <row r="593">
      <c r="A593" s="23" t="n"/>
      <c r="B593" s="23" t="n"/>
      <c r="C593" s="23" t="n"/>
      <c r="D593" s="23" t="n"/>
      <c r="E593" s="23" t="n"/>
      <c r="F593" s="23" t="n"/>
      <c r="G593" s="23" t="n"/>
      <c r="H593" s="23" t="n"/>
      <c r="I593" s="23" t="n"/>
      <c r="J593" s="23" t="n"/>
      <c r="K593" s="24" t="n"/>
      <c r="L593" s="23" t="n"/>
      <c r="M593" s="23" t="n"/>
      <c r="N593" s="24" t="n"/>
      <c r="O593" s="23" t="n"/>
      <c r="P593" s="23" t="n"/>
    </row>
    <row r="594">
      <c r="A594" s="23" t="n"/>
      <c r="B594" s="23" t="n"/>
      <c r="C594" s="23" t="n"/>
      <c r="D594" s="23" t="n"/>
      <c r="E594" s="23" t="n"/>
      <c r="F594" s="23" t="n"/>
      <c r="G594" s="23" t="n"/>
      <c r="H594" s="23" t="n"/>
      <c r="I594" s="23" t="n"/>
      <c r="J594" s="23" t="n"/>
      <c r="K594" s="24" t="n"/>
      <c r="L594" s="23" t="n"/>
      <c r="M594" s="23" t="n"/>
      <c r="N594" s="24" t="n"/>
      <c r="O594" s="23" t="n"/>
      <c r="P594" s="23" t="n"/>
    </row>
    <row r="595">
      <c r="A595" s="23" t="n"/>
      <c r="B595" s="23" t="n"/>
      <c r="C595" s="23" t="n"/>
      <c r="D595" s="23" t="n"/>
      <c r="E595" s="23" t="n"/>
      <c r="F595" s="23" t="n"/>
      <c r="G595" s="23" t="n"/>
      <c r="H595" s="23" t="n"/>
      <c r="I595" s="23" t="n"/>
      <c r="J595" s="23" t="n"/>
      <c r="K595" s="24" t="n"/>
      <c r="L595" s="23" t="n"/>
      <c r="M595" s="23" t="n"/>
      <c r="N595" s="24" t="n"/>
      <c r="O595" s="23" t="n"/>
      <c r="P595" s="23" t="n"/>
    </row>
    <row r="596">
      <c r="A596" s="23" t="n"/>
      <c r="B596" s="23" t="n"/>
      <c r="C596" s="23" t="n"/>
      <c r="D596" s="23" t="n"/>
      <c r="E596" s="23" t="n"/>
      <c r="F596" s="23" t="n"/>
      <c r="G596" s="23" t="n"/>
      <c r="H596" s="23" t="n"/>
      <c r="I596" s="23" t="n"/>
      <c r="J596" s="23" t="n"/>
      <c r="K596" s="24" t="n"/>
      <c r="L596" s="23" t="n"/>
      <c r="M596" s="23" t="n"/>
      <c r="N596" s="24" t="n"/>
      <c r="O596" s="23" t="n"/>
      <c r="P596" s="23" t="n"/>
    </row>
    <row r="597">
      <c r="A597" s="23" t="n"/>
      <c r="B597" s="23" t="n"/>
      <c r="C597" s="23" t="n"/>
      <c r="D597" s="23" t="n"/>
      <c r="E597" s="23" t="n"/>
      <c r="F597" s="23" t="n"/>
      <c r="G597" s="23" t="n"/>
      <c r="H597" s="23" t="n"/>
      <c r="I597" s="23" t="n"/>
      <c r="J597" s="23" t="n"/>
      <c r="K597" s="24" t="n"/>
      <c r="L597" s="23" t="n"/>
      <c r="M597" s="23" t="n"/>
      <c r="N597" s="24" t="n"/>
      <c r="O597" s="23" t="n"/>
      <c r="P597" s="23" t="n"/>
    </row>
    <row r="598">
      <c r="A598" s="23" t="n"/>
      <c r="B598" s="23" t="n"/>
      <c r="C598" s="23" t="n"/>
      <c r="D598" s="23" t="n"/>
      <c r="E598" s="23" t="n"/>
      <c r="F598" s="23" t="n"/>
      <c r="G598" s="23" t="n"/>
      <c r="H598" s="23" t="n"/>
      <c r="I598" s="23" t="n"/>
      <c r="J598" s="23" t="n"/>
      <c r="K598" s="24" t="n"/>
      <c r="L598" s="23" t="n"/>
      <c r="M598" s="23" t="n"/>
      <c r="N598" s="24" t="n"/>
      <c r="O598" s="23" t="n"/>
      <c r="P598" s="23" t="n"/>
    </row>
    <row r="599">
      <c r="A599" s="23" t="n"/>
      <c r="B599" s="23" t="n"/>
      <c r="C599" s="23" t="n"/>
      <c r="D599" s="23" t="n"/>
      <c r="E599" s="23" t="n"/>
      <c r="F599" s="23" t="n"/>
      <c r="G599" s="23" t="n"/>
      <c r="H599" s="23" t="n"/>
      <c r="I599" s="23" t="n"/>
      <c r="J599" s="23" t="n"/>
      <c r="K599" s="24" t="n"/>
      <c r="L599" s="23" t="n"/>
      <c r="M599" s="23" t="n"/>
      <c r="N599" s="24" t="n"/>
      <c r="O599" s="23" t="n"/>
      <c r="P599" s="23" t="n"/>
    </row>
    <row r="600">
      <c r="A600" s="23" t="n"/>
      <c r="B600" s="23" t="n"/>
      <c r="C600" s="23" t="n"/>
      <c r="D600" s="23" t="n"/>
      <c r="E600" s="23" t="n"/>
      <c r="F600" s="23" t="n"/>
      <c r="G600" s="23" t="n"/>
      <c r="H600" s="23" t="n"/>
      <c r="I600" s="23" t="n"/>
      <c r="J600" s="23" t="n"/>
      <c r="K600" s="24" t="n"/>
      <c r="L600" s="23" t="n"/>
      <c r="M600" s="23" t="n"/>
      <c r="N600" s="24" t="n"/>
      <c r="O600" s="23" t="n"/>
      <c r="P600" s="23" t="n"/>
    </row>
    <row r="601">
      <c r="A601" s="23" t="n"/>
      <c r="B601" s="23" t="n"/>
      <c r="C601" s="23" t="n"/>
      <c r="D601" s="23" t="n"/>
      <c r="E601" s="23" t="n"/>
      <c r="F601" s="23" t="n"/>
      <c r="G601" s="23" t="n"/>
      <c r="H601" s="23" t="n"/>
      <c r="I601" s="23" t="n"/>
      <c r="J601" s="23" t="n"/>
      <c r="K601" s="24" t="n"/>
      <c r="L601" s="23" t="n"/>
      <c r="M601" s="23" t="n"/>
      <c r="N601" s="24" t="n"/>
      <c r="O601" s="23" t="n"/>
      <c r="P601" s="23" t="n"/>
    </row>
    <row r="602">
      <c r="A602" s="23" t="n"/>
      <c r="B602" s="23" t="n"/>
      <c r="C602" s="23" t="n"/>
      <c r="D602" s="23" t="n"/>
      <c r="E602" s="23" t="n"/>
      <c r="F602" s="23" t="n"/>
      <c r="G602" s="23" t="n"/>
      <c r="H602" s="23" t="n"/>
      <c r="I602" s="23" t="n"/>
      <c r="J602" s="23" t="n"/>
      <c r="K602" s="24" t="n"/>
      <c r="L602" s="23" t="n"/>
      <c r="M602" s="23" t="n"/>
      <c r="N602" s="24" t="n"/>
      <c r="O602" s="23" t="n"/>
      <c r="P602" s="23" t="n"/>
    </row>
    <row r="603">
      <c r="A603" s="23" t="n"/>
      <c r="B603" s="23" t="n"/>
      <c r="C603" s="23" t="n"/>
      <c r="D603" s="23" t="n"/>
      <c r="E603" s="23" t="n"/>
      <c r="F603" s="23" t="n"/>
      <c r="G603" s="23" t="n"/>
      <c r="H603" s="23" t="n"/>
      <c r="I603" s="23" t="n"/>
      <c r="J603" s="23" t="n"/>
      <c r="K603" s="24" t="n"/>
      <c r="L603" s="23" t="n"/>
      <c r="M603" s="23" t="n"/>
      <c r="N603" s="24" t="n"/>
      <c r="O603" s="23" t="n"/>
      <c r="P603" s="23" t="n"/>
    </row>
    <row r="604">
      <c r="A604" s="23" t="n"/>
      <c r="B604" s="23" t="n"/>
      <c r="C604" s="23" t="n"/>
      <c r="D604" s="23" t="n"/>
      <c r="E604" s="23" t="n"/>
      <c r="F604" s="23" t="n"/>
      <c r="G604" s="23" t="n"/>
      <c r="H604" s="23" t="n"/>
      <c r="I604" s="23" t="n"/>
      <c r="J604" s="23" t="n"/>
      <c r="K604" s="24" t="n"/>
      <c r="L604" s="23" t="n"/>
      <c r="M604" s="23" t="n"/>
      <c r="N604" s="24" t="n"/>
      <c r="O604" s="23" t="n"/>
      <c r="P604" s="23" t="n"/>
    </row>
    <row r="605">
      <c r="A605" s="23" t="n"/>
      <c r="B605" s="23" t="n"/>
      <c r="C605" s="23" t="n"/>
      <c r="D605" s="23" t="n"/>
      <c r="E605" s="23" t="n"/>
      <c r="F605" s="23" t="n"/>
      <c r="G605" s="23" t="n"/>
      <c r="H605" s="23" t="n"/>
      <c r="I605" s="23" t="n"/>
      <c r="J605" s="23" t="n"/>
      <c r="K605" s="24" t="n"/>
      <c r="L605" s="23" t="n"/>
      <c r="M605" s="23" t="n"/>
      <c r="N605" s="24" t="n"/>
      <c r="O605" s="23" t="n"/>
      <c r="P605" s="23" t="n"/>
    </row>
    <row r="606">
      <c r="A606" s="23" t="n"/>
      <c r="B606" s="23" t="n"/>
      <c r="C606" s="23" t="n"/>
      <c r="D606" s="23" t="n"/>
      <c r="E606" s="23" t="n"/>
      <c r="F606" s="23" t="n"/>
      <c r="G606" s="23" t="n"/>
      <c r="H606" s="23" t="n"/>
      <c r="I606" s="23" t="n"/>
      <c r="J606" s="23" t="n"/>
      <c r="K606" s="24" t="n"/>
      <c r="L606" s="23" t="n"/>
      <c r="M606" s="23" t="n"/>
      <c r="N606" s="24" t="n"/>
      <c r="O606" s="23" t="n"/>
      <c r="P606" s="23" t="n"/>
    </row>
    <row r="607">
      <c r="A607" s="23" t="n"/>
      <c r="B607" s="23" t="n"/>
      <c r="C607" s="23" t="n"/>
      <c r="D607" s="23" t="n"/>
      <c r="E607" s="23" t="n"/>
      <c r="F607" s="23" t="n"/>
      <c r="G607" s="23" t="n"/>
      <c r="H607" s="23" t="n"/>
      <c r="I607" s="23" t="n"/>
      <c r="J607" s="23" t="n"/>
      <c r="K607" s="24" t="n"/>
      <c r="L607" s="23" t="n"/>
      <c r="M607" s="23" t="n"/>
      <c r="N607" s="24" t="n"/>
      <c r="O607" s="23" t="n"/>
      <c r="P607" s="23" t="n"/>
    </row>
    <row r="608">
      <c r="A608" s="23" t="n"/>
      <c r="B608" s="23" t="n"/>
      <c r="C608" s="23" t="n"/>
      <c r="D608" s="23" t="n"/>
      <c r="E608" s="23" t="n"/>
      <c r="F608" s="23" t="n"/>
      <c r="G608" s="23" t="n"/>
      <c r="H608" s="23" t="n"/>
      <c r="I608" s="23" t="n"/>
      <c r="J608" s="23" t="n"/>
      <c r="K608" s="24" t="n"/>
      <c r="L608" s="23" t="n"/>
      <c r="M608" s="23" t="n"/>
      <c r="N608" s="24" t="n"/>
      <c r="O608" s="23" t="n"/>
      <c r="P608" s="23" t="n"/>
    </row>
    <row r="609">
      <c r="A609" s="23" t="n"/>
      <c r="B609" s="23" t="n"/>
      <c r="C609" s="23" t="n"/>
      <c r="D609" s="23" t="n"/>
      <c r="E609" s="23" t="n"/>
      <c r="F609" s="23" t="n"/>
      <c r="G609" s="23" t="n"/>
      <c r="H609" s="23" t="n"/>
      <c r="I609" s="23" t="n"/>
      <c r="J609" s="23" t="n"/>
      <c r="K609" s="24" t="n"/>
      <c r="L609" s="23" t="n"/>
      <c r="M609" s="23" t="n"/>
      <c r="N609" s="24" t="n"/>
      <c r="O609" s="23" t="n"/>
      <c r="P609" s="23" t="n"/>
    </row>
    <row r="610">
      <c r="A610" s="23" t="n"/>
      <c r="B610" s="23" t="n"/>
      <c r="C610" s="23" t="n"/>
      <c r="D610" s="23" t="n"/>
      <c r="E610" s="23" t="n"/>
      <c r="F610" s="23" t="n"/>
      <c r="G610" s="23" t="n"/>
      <c r="H610" s="23" t="n"/>
      <c r="I610" s="23" t="n"/>
      <c r="J610" s="23" t="n"/>
      <c r="K610" s="24" t="n"/>
      <c r="L610" s="23" t="n"/>
      <c r="M610" s="23" t="n"/>
      <c r="N610" s="24" t="n"/>
      <c r="O610" s="23" t="n"/>
      <c r="P610" s="23" t="n"/>
    </row>
    <row r="611">
      <c r="A611" s="23" t="n"/>
      <c r="B611" s="23" t="n"/>
      <c r="C611" s="23" t="n"/>
      <c r="D611" s="23" t="n"/>
      <c r="E611" s="23" t="n"/>
      <c r="F611" s="23" t="n"/>
      <c r="G611" s="23" t="n"/>
      <c r="H611" s="23" t="n"/>
      <c r="I611" s="23" t="n"/>
      <c r="J611" s="23" t="n"/>
      <c r="K611" s="24" t="n"/>
      <c r="L611" s="23" t="n"/>
      <c r="M611" s="23" t="n"/>
      <c r="N611" s="24" t="n"/>
      <c r="O611" s="23" t="n"/>
      <c r="P611" s="23" t="n"/>
    </row>
    <row r="612">
      <c r="A612" s="23" t="n"/>
      <c r="B612" s="23" t="n"/>
      <c r="C612" s="23" t="n"/>
      <c r="D612" s="23" t="n"/>
      <c r="E612" s="23" t="n"/>
      <c r="F612" s="23" t="n"/>
      <c r="G612" s="23" t="n"/>
      <c r="H612" s="23" t="n"/>
      <c r="I612" s="23" t="n"/>
      <c r="J612" s="23" t="n"/>
      <c r="K612" s="24" t="n"/>
      <c r="L612" s="23" t="n"/>
      <c r="M612" s="23" t="n"/>
      <c r="N612" s="24" t="n"/>
      <c r="O612" s="23" t="n"/>
      <c r="P612" s="23" t="n"/>
    </row>
    <row r="613">
      <c r="A613" s="23" t="n"/>
      <c r="B613" s="23" t="n"/>
      <c r="C613" s="23" t="n"/>
      <c r="D613" s="23" t="n"/>
      <c r="E613" s="23" t="n"/>
      <c r="F613" s="23" t="n"/>
      <c r="G613" s="23" t="n"/>
      <c r="H613" s="23" t="n"/>
      <c r="I613" s="23" t="n"/>
      <c r="J613" s="23" t="n"/>
      <c r="K613" s="24" t="n"/>
      <c r="L613" s="23" t="n"/>
      <c r="M613" s="23" t="n"/>
      <c r="N613" s="24" t="n"/>
      <c r="O613" s="23" t="n"/>
      <c r="P613" s="23" t="n"/>
    </row>
    <row r="614">
      <c r="A614" s="23" t="n"/>
      <c r="B614" s="23" t="n"/>
      <c r="C614" s="23" t="n"/>
      <c r="D614" s="23" t="n"/>
      <c r="E614" s="23" t="n"/>
      <c r="F614" s="23" t="n"/>
      <c r="G614" s="23" t="n"/>
      <c r="H614" s="23" t="n"/>
      <c r="I614" s="23" t="n"/>
      <c r="J614" s="23" t="n"/>
      <c r="K614" s="24" t="n"/>
      <c r="L614" s="23" t="n"/>
      <c r="M614" s="23" t="n"/>
      <c r="N614" s="24" t="n"/>
      <c r="O614" s="23" t="n"/>
      <c r="P614" s="23" t="n"/>
    </row>
    <row r="615">
      <c r="A615" s="23" t="n"/>
      <c r="B615" s="23" t="n"/>
      <c r="C615" s="23" t="n"/>
      <c r="D615" s="23" t="n"/>
      <c r="E615" s="23" t="n"/>
      <c r="F615" s="23" t="n"/>
      <c r="G615" s="23" t="n"/>
      <c r="H615" s="23" t="n"/>
      <c r="I615" s="23" t="n"/>
      <c r="J615" s="23" t="n"/>
      <c r="K615" s="24" t="n"/>
      <c r="L615" s="23" t="n"/>
      <c r="M615" s="23" t="n"/>
      <c r="N615" s="24" t="n"/>
      <c r="O615" s="23" t="n"/>
      <c r="P615" s="23" t="n"/>
    </row>
    <row r="616">
      <c r="A616" s="23" t="n"/>
      <c r="B616" s="23" t="n"/>
      <c r="C616" s="23" t="n"/>
      <c r="D616" s="23" t="n"/>
      <c r="E616" s="23" t="n"/>
      <c r="F616" s="23" t="n"/>
      <c r="G616" s="23" t="n"/>
      <c r="H616" s="23" t="n"/>
      <c r="I616" s="23" t="n"/>
      <c r="J616" s="23" t="n"/>
      <c r="K616" s="24" t="n"/>
      <c r="L616" s="23" t="n"/>
      <c r="M616" s="23" t="n"/>
      <c r="N616" s="24" t="n"/>
      <c r="O616" s="23" t="n"/>
      <c r="P616" s="23" t="n"/>
    </row>
    <row r="617">
      <c r="A617" s="23" t="n"/>
      <c r="B617" s="23" t="n"/>
      <c r="C617" s="23" t="n"/>
      <c r="D617" s="23" t="n"/>
      <c r="E617" s="23" t="n"/>
      <c r="F617" s="23" t="n"/>
      <c r="G617" s="23" t="n"/>
      <c r="H617" s="23" t="n"/>
      <c r="I617" s="23" t="n"/>
      <c r="J617" s="23" t="n"/>
      <c r="K617" s="24" t="n"/>
      <c r="L617" s="23" t="n"/>
      <c r="M617" s="23" t="n"/>
      <c r="N617" s="24" t="n"/>
      <c r="O617" s="23" t="n"/>
      <c r="P617" s="23" t="n"/>
    </row>
    <row r="618">
      <c r="A618" s="23" t="n"/>
      <c r="B618" s="23" t="n"/>
      <c r="C618" s="23" t="n"/>
      <c r="D618" s="23" t="n"/>
      <c r="E618" s="23" t="n"/>
      <c r="F618" s="23" t="n"/>
      <c r="G618" s="23" t="n"/>
      <c r="H618" s="23" t="n"/>
      <c r="I618" s="23" t="n"/>
      <c r="J618" s="23" t="n"/>
      <c r="K618" s="24" t="n"/>
      <c r="L618" s="23" t="n"/>
      <c r="M618" s="23" t="n"/>
      <c r="N618" s="24" t="n"/>
      <c r="O618" s="23" t="n"/>
      <c r="P618" s="23" t="n"/>
    </row>
    <row r="619">
      <c r="A619" s="23" t="n"/>
      <c r="B619" s="23" t="n"/>
      <c r="C619" s="23" t="n"/>
      <c r="D619" s="23" t="n"/>
      <c r="E619" s="23" t="n"/>
      <c r="F619" s="23" t="n"/>
      <c r="G619" s="23" t="n"/>
      <c r="H619" s="23" t="n"/>
      <c r="I619" s="23" t="n"/>
      <c r="J619" s="23" t="n"/>
      <c r="K619" s="24" t="n"/>
      <c r="L619" s="23" t="n"/>
      <c r="M619" s="23" t="n"/>
      <c r="N619" s="24" t="n"/>
      <c r="O619" s="23" t="n"/>
      <c r="P619" s="23" t="n"/>
    </row>
    <row r="620">
      <c r="A620" s="23" t="n"/>
      <c r="B620" s="23" t="n"/>
      <c r="C620" s="23" t="n"/>
      <c r="D620" s="23" t="n"/>
      <c r="E620" s="23" t="n"/>
      <c r="F620" s="23" t="n"/>
      <c r="G620" s="23" t="n"/>
      <c r="H620" s="23" t="n"/>
      <c r="I620" s="23" t="n"/>
      <c r="J620" s="23" t="n"/>
      <c r="K620" s="24" t="n"/>
      <c r="L620" s="23" t="n"/>
      <c r="M620" s="23" t="n"/>
      <c r="N620" s="24" t="n"/>
      <c r="O620" s="23" t="n"/>
      <c r="P620" s="23" t="n"/>
    </row>
    <row r="621">
      <c r="A621" s="23" t="n"/>
      <c r="B621" s="23" t="n"/>
      <c r="C621" s="23" t="n"/>
      <c r="D621" s="23" t="n"/>
      <c r="E621" s="23" t="n"/>
      <c r="F621" s="23" t="n"/>
      <c r="G621" s="23" t="n"/>
      <c r="H621" s="23" t="n"/>
      <c r="I621" s="23" t="n"/>
      <c r="J621" s="23" t="n"/>
      <c r="K621" s="24" t="n"/>
      <c r="L621" s="23" t="n"/>
      <c r="M621" s="23" t="n"/>
      <c r="N621" s="24" t="n"/>
      <c r="O621" s="23" t="n"/>
      <c r="P621" s="23" t="n"/>
    </row>
    <row r="622">
      <c r="A622" s="23" t="n"/>
      <c r="B622" s="23" t="n"/>
      <c r="C622" s="23" t="n"/>
      <c r="D622" s="23" t="n"/>
      <c r="E622" s="23" t="n"/>
      <c r="F622" s="23" t="n"/>
      <c r="G622" s="23" t="n"/>
      <c r="H622" s="23" t="n"/>
      <c r="I622" s="23" t="n"/>
      <c r="J622" s="23" t="n"/>
      <c r="K622" s="24" t="n"/>
      <c r="L622" s="23" t="n"/>
      <c r="M622" s="23" t="n"/>
      <c r="N622" s="24" t="n"/>
      <c r="O622" s="23" t="n"/>
      <c r="P622" s="23" t="n"/>
    </row>
    <row r="623">
      <c r="A623" s="23" t="n"/>
      <c r="B623" s="23" t="n"/>
      <c r="C623" s="23" t="n"/>
      <c r="D623" s="23" t="n"/>
      <c r="E623" s="23" t="n"/>
      <c r="F623" s="23" t="n"/>
      <c r="G623" s="23" t="n"/>
      <c r="H623" s="23" t="n"/>
      <c r="I623" s="23" t="n"/>
      <c r="J623" s="23" t="n"/>
      <c r="K623" s="24" t="n"/>
      <c r="L623" s="23" t="n"/>
      <c r="M623" s="23" t="n"/>
      <c r="N623" s="24" t="n"/>
      <c r="O623" s="23" t="n"/>
      <c r="P623" s="23" t="n"/>
    </row>
    <row r="624">
      <c r="A624" s="23" t="n"/>
      <c r="B624" s="23" t="n"/>
      <c r="C624" s="23" t="n"/>
      <c r="D624" s="23" t="n"/>
      <c r="E624" s="23" t="n"/>
      <c r="F624" s="23" t="n"/>
      <c r="G624" s="23" t="n"/>
      <c r="H624" s="23" t="n"/>
      <c r="I624" s="23" t="n"/>
      <c r="J624" s="23" t="n"/>
      <c r="K624" s="24" t="n"/>
      <c r="L624" s="23" t="n"/>
      <c r="M624" s="23" t="n"/>
      <c r="N624" s="24" t="n"/>
      <c r="O624" s="23" t="n"/>
      <c r="P624" s="23" t="n"/>
    </row>
    <row r="625">
      <c r="A625" s="23" t="n"/>
      <c r="B625" s="23" t="n"/>
      <c r="C625" s="23" t="n"/>
      <c r="D625" s="23" t="n"/>
      <c r="E625" s="23" t="n"/>
      <c r="F625" s="23" t="n"/>
      <c r="G625" s="23" t="n"/>
      <c r="H625" s="23" t="n"/>
      <c r="I625" s="23" t="n"/>
      <c r="J625" s="23" t="n"/>
      <c r="K625" s="24" t="n"/>
      <c r="L625" s="23" t="n"/>
      <c r="M625" s="23" t="n"/>
      <c r="N625" s="24" t="n"/>
      <c r="O625" s="23" t="n"/>
      <c r="P625" s="23" t="n"/>
    </row>
    <row r="626">
      <c r="A626" s="23" t="n"/>
      <c r="B626" s="23" t="n"/>
      <c r="C626" s="23" t="n"/>
      <c r="D626" s="23" t="n"/>
      <c r="E626" s="23" t="n"/>
      <c r="F626" s="23" t="n"/>
      <c r="G626" s="23" t="n"/>
      <c r="H626" s="23" t="n"/>
      <c r="I626" s="23" t="n"/>
      <c r="J626" s="23" t="n"/>
      <c r="K626" s="24" t="n"/>
      <c r="L626" s="23" t="n"/>
      <c r="M626" s="23" t="n"/>
      <c r="N626" s="24" t="n"/>
      <c r="O626" s="23" t="n"/>
      <c r="P626" s="23" t="n"/>
    </row>
    <row r="627">
      <c r="A627" s="23" t="n"/>
      <c r="B627" s="23" t="n"/>
      <c r="C627" s="23" t="n"/>
      <c r="D627" s="23" t="n"/>
      <c r="E627" s="23" t="n"/>
      <c r="F627" s="23" t="n"/>
      <c r="G627" s="23" t="n"/>
      <c r="H627" s="23" t="n"/>
      <c r="I627" s="23" t="n"/>
      <c r="J627" s="23" t="n"/>
      <c r="K627" s="24" t="n"/>
      <c r="L627" s="23" t="n"/>
      <c r="M627" s="23" t="n"/>
      <c r="N627" s="24" t="n"/>
      <c r="O627" s="23" t="n"/>
      <c r="P627" s="23" t="n"/>
    </row>
    <row r="628">
      <c r="A628" s="23" t="n"/>
      <c r="B628" s="23" t="n"/>
      <c r="C628" s="23" t="n"/>
      <c r="D628" s="23" t="n"/>
      <c r="E628" s="23" t="n"/>
      <c r="F628" s="23" t="n"/>
      <c r="G628" s="23" t="n"/>
      <c r="H628" s="23" t="n"/>
      <c r="I628" s="23" t="n"/>
      <c r="J628" s="23" t="n"/>
      <c r="K628" s="24" t="n"/>
      <c r="L628" s="23" t="n"/>
      <c r="M628" s="23" t="n"/>
      <c r="N628" s="24" t="n"/>
      <c r="O628" s="23" t="n"/>
      <c r="P628" s="23" t="n"/>
    </row>
    <row r="629">
      <c r="A629" s="23" t="n"/>
      <c r="B629" s="23" t="n"/>
      <c r="C629" s="23" t="n"/>
      <c r="D629" s="23" t="n"/>
      <c r="E629" s="23" t="n"/>
      <c r="F629" s="23" t="n"/>
      <c r="G629" s="23" t="n"/>
      <c r="H629" s="23" t="n"/>
      <c r="I629" s="23" t="n"/>
      <c r="J629" s="23" t="n"/>
      <c r="K629" s="24" t="n"/>
      <c r="L629" s="23" t="n"/>
      <c r="M629" s="23" t="n"/>
      <c r="N629" s="24" t="n"/>
      <c r="O629" s="23" t="n"/>
      <c r="P629" s="23" t="n"/>
    </row>
    <row r="630">
      <c r="A630" s="23" t="n"/>
      <c r="B630" s="23" t="n"/>
      <c r="C630" s="23" t="n"/>
      <c r="D630" s="23" t="n"/>
      <c r="E630" s="23" t="n"/>
      <c r="F630" s="23" t="n"/>
      <c r="G630" s="23" t="n"/>
      <c r="H630" s="23" t="n"/>
      <c r="I630" s="23" t="n"/>
      <c r="J630" s="23" t="n"/>
      <c r="K630" s="24" t="n"/>
      <c r="L630" s="23" t="n"/>
      <c r="M630" s="23" t="n"/>
      <c r="N630" s="24" t="n"/>
      <c r="O630" s="23" t="n"/>
      <c r="P630" s="23" t="n"/>
    </row>
    <row r="631">
      <c r="A631" s="23" t="n"/>
      <c r="B631" s="23" t="n"/>
      <c r="C631" s="23" t="n"/>
      <c r="D631" s="23" t="n"/>
      <c r="E631" s="23" t="n"/>
      <c r="F631" s="23" t="n"/>
      <c r="G631" s="23" t="n"/>
      <c r="H631" s="23" t="n"/>
      <c r="I631" s="23" t="n"/>
      <c r="J631" s="23" t="n"/>
      <c r="K631" s="24" t="n"/>
      <c r="L631" s="23" t="n"/>
      <c r="M631" s="23" t="n"/>
      <c r="N631" s="24" t="n"/>
      <c r="O631" s="23" t="n"/>
      <c r="P631" s="23" t="n"/>
    </row>
    <row r="632">
      <c r="A632" s="23" t="n"/>
      <c r="B632" s="23" t="n"/>
      <c r="C632" s="23" t="n"/>
      <c r="D632" s="23" t="n"/>
      <c r="E632" s="23" t="n"/>
      <c r="F632" s="23" t="n"/>
      <c r="G632" s="23" t="n"/>
      <c r="H632" s="23" t="n"/>
      <c r="I632" s="23" t="n"/>
      <c r="J632" s="23" t="n"/>
      <c r="K632" s="24" t="n"/>
      <c r="L632" s="23" t="n"/>
      <c r="M632" s="23" t="n"/>
      <c r="N632" s="24" t="n"/>
      <c r="O632" s="23" t="n"/>
      <c r="P632" s="23" t="n"/>
    </row>
    <row r="633">
      <c r="A633" s="23" t="n"/>
      <c r="B633" s="23" t="n"/>
      <c r="C633" s="23" t="n"/>
      <c r="D633" s="23" t="n"/>
      <c r="E633" s="23" t="n"/>
      <c r="F633" s="23" t="n"/>
      <c r="G633" s="23" t="n"/>
      <c r="H633" s="23" t="n"/>
      <c r="I633" s="23" t="n"/>
      <c r="J633" s="23" t="n"/>
      <c r="K633" s="24" t="n"/>
      <c r="L633" s="23" t="n"/>
      <c r="M633" s="23" t="n"/>
      <c r="N633" s="24" t="n"/>
      <c r="O633" s="23" t="n"/>
      <c r="P633" s="23" t="n"/>
    </row>
    <row r="634">
      <c r="A634" s="23" t="n"/>
      <c r="B634" s="23" t="n"/>
      <c r="C634" s="23" t="n"/>
      <c r="D634" s="23" t="n"/>
      <c r="E634" s="23" t="n"/>
      <c r="F634" s="23" t="n"/>
      <c r="G634" s="23" t="n"/>
      <c r="H634" s="23" t="n"/>
      <c r="I634" s="23" t="n"/>
      <c r="J634" s="23" t="n"/>
      <c r="K634" s="24" t="n"/>
      <c r="L634" s="23" t="n"/>
      <c r="M634" s="23" t="n"/>
      <c r="N634" s="24" t="n"/>
      <c r="O634" s="23" t="n"/>
      <c r="P634" s="23" t="n"/>
    </row>
    <row r="635">
      <c r="A635" s="23" t="n"/>
      <c r="B635" s="23" t="n"/>
      <c r="C635" s="23" t="n"/>
      <c r="D635" s="23" t="n"/>
      <c r="E635" s="23" t="n"/>
      <c r="F635" s="23" t="n"/>
      <c r="G635" s="23" t="n"/>
      <c r="H635" s="23" t="n"/>
      <c r="I635" s="23" t="n"/>
      <c r="J635" s="23" t="n"/>
      <c r="K635" s="24" t="n"/>
      <c r="L635" s="23" t="n"/>
      <c r="M635" s="23" t="n"/>
      <c r="N635" s="24" t="n"/>
      <c r="O635" s="23" t="n"/>
      <c r="P635" s="23" t="n"/>
    </row>
    <row r="636">
      <c r="A636" s="23" t="n"/>
      <c r="B636" s="23" t="n"/>
      <c r="C636" s="23" t="n"/>
      <c r="D636" s="23" t="n"/>
      <c r="E636" s="23" t="n"/>
      <c r="F636" s="23" t="n"/>
      <c r="G636" s="23" t="n"/>
      <c r="H636" s="23" t="n"/>
      <c r="I636" s="23" t="n"/>
      <c r="J636" s="23" t="n"/>
      <c r="K636" s="24" t="n"/>
      <c r="L636" s="23" t="n"/>
      <c r="M636" s="23" t="n"/>
      <c r="N636" s="24" t="n"/>
      <c r="O636" s="23" t="n"/>
      <c r="P636" s="23" t="n"/>
    </row>
    <row r="637">
      <c r="A637" s="23" t="n"/>
      <c r="B637" s="23" t="n"/>
      <c r="C637" s="23" t="n"/>
      <c r="D637" s="23" t="n"/>
      <c r="E637" s="23" t="n"/>
      <c r="F637" s="23" t="n"/>
      <c r="G637" s="23" t="n"/>
      <c r="H637" s="23" t="n"/>
      <c r="I637" s="23" t="n"/>
      <c r="J637" s="23" t="n"/>
      <c r="K637" s="24" t="n"/>
      <c r="L637" s="23" t="n"/>
      <c r="M637" s="23" t="n"/>
      <c r="N637" s="24" t="n"/>
      <c r="O637" s="23" t="n"/>
      <c r="P637" s="23" t="n"/>
    </row>
    <row r="638">
      <c r="A638" s="23" t="n"/>
      <c r="B638" s="23" t="n"/>
      <c r="C638" s="23" t="n"/>
      <c r="D638" s="23" t="n"/>
      <c r="E638" s="23" t="n"/>
      <c r="F638" s="23" t="n"/>
      <c r="G638" s="23" t="n"/>
      <c r="H638" s="23" t="n"/>
      <c r="I638" s="23" t="n"/>
      <c r="J638" s="23" t="n"/>
      <c r="K638" s="24" t="n"/>
      <c r="L638" s="23" t="n"/>
      <c r="M638" s="23" t="n"/>
      <c r="N638" s="24" t="n"/>
      <c r="O638" s="23" t="n"/>
      <c r="P638" s="23" t="n"/>
    </row>
    <row r="639">
      <c r="A639" s="23" t="n"/>
      <c r="B639" s="23" t="n"/>
      <c r="C639" s="23" t="n"/>
      <c r="D639" s="23" t="n"/>
      <c r="E639" s="23" t="n"/>
      <c r="F639" s="23" t="n"/>
      <c r="G639" s="23" t="n"/>
      <c r="H639" s="23" t="n"/>
      <c r="I639" s="23" t="n"/>
      <c r="J639" s="23" t="n"/>
      <c r="K639" s="24" t="n"/>
      <c r="L639" s="23" t="n"/>
      <c r="M639" s="23" t="n"/>
      <c r="N639" s="24" t="n"/>
      <c r="O639" s="23" t="n"/>
      <c r="P639" s="23" t="n"/>
    </row>
    <row r="640">
      <c r="A640" s="23" t="n"/>
      <c r="B640" s="23" t="n"/>
      <c r="C640" s="23" t="n"/>
      <c r="D640" s="23" t="n"/>
      <c r="E640" s="23" t="n"/>
      <c r="F640" s="23" t="n"/>
      <c r="G640" s="23" t="n"/>
      <c r="H640" s="23" t="n"/>
      <c r="I640" s="23" t="n"/>
      <c r="J640" s="23" t="n"/>
      <c r="K640" s="24" t="n"/>
      <c r="L640" s="23" t="n"/>
      <c r="M640" s="23" t="n"/>
      <c r="N640" s="24" t="n"/>
      <c r="O640" s="23" t="n"/>
      <c r="P640" s="23" t="n"/>
    </row>
    <row r="641">
      <c r="A641" s="23" t="n"/>
      <c r="B641" s="23" t="n"/>
      <c r="C641" s="23" t="n"/>
      <c r="D641" s="23" t="n"/>
      <c r="E641" s="23" t="n"/>
      <c r="F641" s="23" t="n"/>
      <c r="G641" s="23" t="n"/>
      <c r="H641" s="23" t="n"/>
      <c r="I641" s="23" t="n"/>
      <c r="J641" s="23" t="n"/>
      <c r="K641" s="24" t="n"/>
      <c r="L641" s="23" t="n"/>
      <c r="M641" s="23" t="n"/>
      <c r="N641" s="24" t="n"/>
      <c r="O641" s="23" t="n"/>
      <c r="P641" s="23" t="n"/>
    </row>
    <row r="642">
      <c r="A642" s="23" t="n"/>
      <c r="B642" s="23" t="n"/>
      <c r="C642" s="23" t="n"/>
      <c r="D642" s="23" t="n"/>
      <c r="E642" s="23" t="n"/>
      <c r="F642" s="23" t="n"/>
      <c r="G642" s="23" t="n"/>
      <c r="H642" s="23" t="n"/>
      <c r="I642" s="23" t="n"/>
      <c r="J642" s="23" t="n"/>
      <c r="K642" s="24" t="n"/>
      <c r="L642" s="23" t="n"/>
      <c r="M642" s="23" t="n"/>
      <c r="N642" s="24" t="n"/>
      <c r="O642" s="23" t="n"/>
      <c r="P642" s="23" t="n"/>
    </row>
    <row r="643">
      <c r="A643" s="23" t="n"/>
      <c r="B643" s="23" t="n"/>
      <c r="C643" s="23" t="n"/>
      <c r="D643" s="23" t="n"/>
      <c r="E643" s="23" t="n"/>
      <c r="F643" s="23" t="n"/>
      <c r="G643" s="23" t="n"/>
      <c r="H643" s="23" t="n"/>
      <c r="I643" s="23" t="n"/>
      <c r="J643" s="23" t="n"/>
      <c r="K643" s="24" t="n"/>
      <c r="L643" s="23" t="n"/>
      <c r="M643" s="23" t="n"/>
      <c r="N643" s="24" t="n"/>
      <c r="O643" s="23" t="n"/>
      <c r="P643" s="23" t="n"/>
    </row>
    <row r="644">
      <c r="A644" s="23" t="n"/>
      <c r="B644" s="23" t="n"/>
      <c r="C644" s="23" t="n"/>
      <c r="D644" s="23" t="n"/>
      <c r="E644" s="23" t="n"/>
      <c r="F644" s="23" t="n"/>
      <c r="G644" s="23" t="n"/>
      <c r="H644" s="23" t="n"/>
      <c r="I644" s="23" t="n"/>
      <c r="J644" s="23" t="n"/>
      <c r="K644" s="24" t="n"/>
      <c r="L644" s="23" t="n"/>
      <c r="M644" s="23" t="n"/>
      <c r="N644" s="24" t="n"/>
      <c r="O644" s="23" t="n"/>
      <c r="P644" s="23" t="n"/>
    </row>
    <row r="645">
      <c r="A645" s="23" t="n"/>
      <c r="B645" s="23" t="n"/>
      <c r="C645" s="23" t="n"/>
      <c r="D645" s="23" t="n"/>
      <c r="E645" s="23" t="n"/>
      <c r="F645" s="23" t="n"/>
      <c r="G645" s="23" t="n"/>
      <c r="H645" s="23" t="n"/>
      <c r="I645" s="23" t="n"/>
      <c r="J645" s="23" t="n"/>
      <c r="K645" s="24" t="n"/>
      <c r="L645" s="23" t="n"/>
      <c r="M645" s="23" t="n"/>
      <c r="N645" s="24" t="n"/>
      <c r="O645" s="23" t="n"/>
      <c r="P645" s="23" t="n"/>
    </row>
    <row r="646">
      <c r="A646" s="23" t="n"/>
      <c r="B646" s="23" t="n"/>
      <c r="C646" s="23" t="n"/>
      <c r="D646" s="23" t="n"/>
      <c r="E646" s="23" t="n"/>
      <c r="F646" s="23" t="n"/>
      <c r="G646" s="23" t="n"/>
      <c r="H646" s="23" t="n"/>
      <c r="I646" s="23" t="n"/>
      <c r="J646" s="23" t="n"/>
      <c r="K646" s="24" t="n"/>
      <c r="L646" s="23" t="n"/>
      <c r="M646" s="23" t="n"/>
      <c r="N646" s="24" t="n"/>
      <c r="O646" s="23" t="n"/>
      <c r="P646" s="23" t="n"/>
    </row>
    <row r="647">
      <c r="A647" s="23" t="n"/>
      <c r="B647" s="23" t="n"/>
      <c r="C647" s="23" t="n"/>
      <c r="D647" s="23" t="n"/>
      <c r="E647" s="23" t="n"/>
      <c r="F647" s="23" t="n"/>
      <c r="G647" s="23" t="n"/>
      <c r="H647" s="23" t="n"/>
      <c r="I647" s="23" t="n"/>
      <c r="J647" s="23" t="n"/>
      <c r="K647" s="24" t="n"/>
      <c r="L647" s="23" t="n"/>
      <c r="M647" s="23" t="n"/>
      <c r="N647" s="24" t="n"/>
      <c r="O647" s="23" t="n"/>
      <c r="P647" s="23" t="n"/>
    </row>
    <row r="648">
      <c r="A648" s="23" t="n"/>
      <c r="B648" s="23" t="n"/>
      <c r="C648" s="23" t="n"/>
      <c r="D648" s="23" t="n"/>
      <c r="E648" s="23" t="n"/>
      <c r="F648" s="23" t="n"/>
      <c r="G648" s="23" t="n"/>
      <c r="H648" s="23" t="n"/>
      <c r="I648" s="23" t="n"/>
      <c r="J648" s="23" t="n"/>
      <c r="K648" s="24" t="n"/>
      <c r="L648" s="23" t="n"/>
      <c r="M648" s="23" t="n"/>
      <c r="N648" s="24" t="n"/>
      <c r="O648" s="23" t="n"/>
      <c r="P648" s="23" t="n"/>
    </row>
    <row r="649">
      <c r="A649" s="23" t="n"/>
      <c r="B649" s="23" t="n"/>
      <c r="C649" s="23" t="n"/>
      <c r="D649" s="23" t="n"/>
      <c r="E649" s="23" t="n"/>
      <c r="F649" s="23" t="n"/>
      <c r="G649" s="23" t="n"/>
      <c r="H649" s="23" t="n"/>
      <c r="I649" s="23" t="n"/>
      <c r="J649" s="23" t="n"/>
      <c r="K649" s="24" t="n"/>
      <c r="L649" s="23" t="n"/>
      <c r="M649" s="23" t="n"/>
      <c r="N649" s="24" t="n"/>
      <c r="O649" s="23" t="n"/>
      <c r="P649" s="23" t="n"/>
    </row>
    <row r="650">
      <c r="A650" s="23" t="n"/>
      <c r="B650" s="23" t="n"/>
      <c r="C650" s="23" t="n"/>
      <c r="D650" s="23" t="n"/>
      <c r="E650" s="23" t="n"/>
      <c r="F650" s="23" t="n"/>
      <c r="G650" s="23" t="n"/>
      <c r="H650" s="23" t="n"/>
      <c r="I650" s="23" t="n"/>
      <c r="J650" s="23" t="n"/>
      <c r="K650" s="24" t="n"/>
      <c r="L650" s="23" t="n"/>
      <c r="M650" s="23" t="n"/>
      <c r="N650" s="24" t="n"/>
      <c r="O650" s="23" t="n"/>
      <c r="P650" s="23" t="n"/>
    </row>
    <row r="651">
      <c r="A651" s="23" t="n"/>
      <c r="B651" s="23" t="n"/>
      <c r="C651" s="23" t="n"/>
      <c r="D651" s="23" t="n"/>
      <c r="E651" s="23" t="n"/>
      <c r="F651" s="23" t="n"/>
      <c r="G651" s="23" t="n"/>
      <c r="H651" s="23" t="n"/>
      <c r="I651" s="23" t="n"/>
      <c r="J651" s="23" t="n"/>
      <c r="K651" s="24" t="n"/>
      <c r="L651" s="23" t="n"/>
      <c r="M651" s="23" t="n"/>
      <c r="N651" s="24" t="n"/>
      <c r="O651" s="23" t="n"/>
      <c r="P651" s="23" t="n"/>
    </row>
    <row r="652">
      <c r="A652" s="23" t="n"/>
      <c r="B652" s="23" t="n"/>
      <c r="C652" s="23" t="n"/>
      <c r="D652" s="23" t="n"/>
      <c r="E652" s="23" t="n"/>
      <c r="F652" s="23" t="n"/>
      <c r="G652" s="23" t="n"/>
      <c r="H652" s="23" t="n"/>
      <c r="I652" s="23" t="n"/>
      <c r="J652" s="23" t="n"/>
      <c r="K652" s="24" t="n"/>
      <c r="L652" s="23" t="n"/>
      <c r="M652" s="23" t="n"/>
      <c r="N652" s="24" t="n"/>
      <c r="O652" s="23" t="n"/>
      <c r="P652" s="23" t="n"/>
    </row>
    <row r="653">
      <c r="A653" s="23" t="n"/>
      <c r="B653" s="23" t="n"/>
      <c r="C653" s="23" t="n"/>
      <c r="D653" s="23" t="n"/>
      <c r="E653" s="23" t="n"/>
      <c r="F653" s="23" t="n"/>
      <c r="G653" s="23" t="n"/>
      <c r="H653" s="23" t="n"/>
      <c r="I653" s="23" t="n"/>
      <c r="J653" s="23" t="n"/>
      <c r="K653" s="24" t="n"/>
      <c r="L653" s="23" t="n"/>
      <c r="M653" s="23" t="n"/>
      <c r="N653" s="24" t="n"/>
      <c r="O653" s="23" t="n"/>
      <c r="P653" s="23" t="n"/>
    </row>
    <row r="654">
      <c r="A654" s="23" t="n"/>
      <c r="B654" s="23" t="n"/>
      <c r="C654" s="23" t="n"/>
      <c r="D654" s="23" t="n"/>
      <c r="E654" s="23" t="n"/>
      <c r="F654" s="23" t="n"/>
      <c r="G654" s="23" t="n"/>
      <c r="H654" s="23" t="n"/>
      <c r="I654" s="23" t="n"/>
      <c r="J654" s="23" t="n"/>
      <c r="K654" s="24" t="n"/>
      <c r="L654" s="23" t="n"/>
      <c r="M654" s="23" t="n"/>
      <c r="N654" s="24" t="n"/>
      <c r="O654" s="23" t="n"/>
      <c r="P654" s="23" t="n"/>
    </row>
    <row r="655">
      <c r="A655" s="23" t="n"/>
      <c r="B655" s="23" t="n"/>
      <c r="C655" s="23" t="n"/>
      <c r="D655" s="23" t="n"/>
      <c r="E655" s="23" t="n"/>
      <c r="F655" s="23" t="n"/>
      <c r="G655" s="23" t="n"/>
      <c r="H655" s="23" t="n"/>
      <c r="I655" s="23" t="n"/>
      <c r="J655" s="23" t="n"/>
      <c r="K655" s="24" t="n"/>
      <c r="L655" s="23" t="n"/>
      <c r="M655" s="23" t="n"/>
      <c r="N655" s="24" t="n"/>
      <c r="O655" s="23" t="n"/>
      <c r="P655" s="23" t="n"/>
    </row>
    <row r="656">
      <c r="A656" s="23" t="n"/>
      <c r="B656" s="23" t="n"/>
      <c r="C656" s="23" t="n"/>
      <c r="D656" s="23" t="n"/>
      <c r="E656" s="23" t="n"/>
      <c r="F656" s="23" t="n"/>
      <c r="G656" s="23" t="n"/>
      <c r="H656" s="23" t="n"/>
      <c r="I656" s="23" t="n"/>
      <c r="J656" s="23" t="n"/>
      <c r="K656" s="24" t="n"/>
      <c r="L656" s="23" t="n"/>
      <c r="M656" s="23" t="n"/>
      <c r="N656" s="24" t="n"/>
      <c r="O656" s="23" t="n"/>
      <c r="P656" s="23" t="n"/>
    </row>
    <row r="657">
      <c r="A657" s="23" t="n"/>
      <c r="B657" s="23" t="n"/>
      <c r="C657" s="23" t="n"/>
      <c r="D657" s="23" t="n"/>
      <c r="E657" s="23" t="n"/>
      <c r="F657" s="23" t="n"/>
      <c r="G657" s="23" t="n"/>
      <c r="H657" s="23" t="n"/>
      <c r="I657" s="23" t="n"/>
      <c r="J657" s="23" t="n"/>
      <c r="K657" s="24" t="n"/>
      <c r="L657" s="23" t="n"/>
      <c r="M657" s="23" t="n"/>
      <c r="N657" s="24" t="n"/>
      <c r="O657" s="23" t="n"/>
      <c r="P657" s="23" t="n"/>
    </row>
    <row r="658">
      <c r="A658" s="23" t="n"/>
      <c r="B658" s="23" t="n"/>
      <c r="C658" s="23" t="n"/>
      <c r="D658" s="23" t="n"/>
      <c r="E658" s="23" t="n"/>
      <c r="F658" s="23" t="n"/>
      <c r="G658" s="23" t="n"/>
      <c r="H658" s="23" t="n"/>
      <c r="I658" s="23" t="n"/>
      <c r="J658" s="23" t="n"/>
      <c r="K658" s="24" t="n"/>
      <c r="L658" s="23" t="n"/>
      <c r="M658" s="23" t="n"/>
      <c r="N658" s="24" t="n"/>
      <c r="O658" s="23" t="n"/>
      <c r="P658" s="23" t="n"/>
    </row>
    <row r="659">
      <c r="A659" s="23" t="n"/>
      <c r="B659" s="23" t="n"/>
      <c r="C659" s="23" t="n"/>
      <c r="D659" s="23" t="n"/>
      <c r="E659" s="23" t="n"/>
      <c r="F659" s="23" t="n"/>
      <c r="G659" s="23" t="n"/>
      <c r="H659" s="23" t="n"/>
      <c r="I659" s="23" t="n"/>
      <c r="J659" s="23" t="n"/>
      <c r="K659" s="24" t="n"/>
      <c r="L659" s="23" t="n"/>
      <c r="M659" s="23" t="n"/>
      <c r="N659" s="24" t="n"/>
      <c r="O659" s="23" t="n"/>
      <c r="P659" s="23" t="n"/>
    </row>
    <row r="660">
      <c r="A660" s="23" t="n"/>
      <c r="B660" s="23" t="n"/>
      <c r="C660" s="23" t="n"/>
      <c r="D660" s="23" t="n"/>
      <c r="E660" s="23" t="n"/>
      <c r="F660" s="23" t="n"/>
      <c r="G660" s="23" t="n"/>
      <c r="H660" s="23" t="n"/>
      <c r="I660" s="23" t="n"/>
      <c r="J660" s="23" t="n"/>
      <c r="K660" s="24" t="n"/>
      <c r="L660" s="23" t="n"/>
      <c r="M660" s="23" t="n"/>
      <c r="N660" s="24" t="n"/>
      <c r="O660" s="23" t="n"/>
      <c r="P660" s="23" t="n"/>
    </row>
    <row r="661">
      <c r="A661" s="23" t="n"/>
      <c r="B661" s="23" t="n"/>
      <c r="C661" s="23" t="n"/>
      <c r="D661" s="23" t="n"/>
      <c r="E661" s="23" t="n"/>
      <c r="F661" s="23" t="n"/>
      <c r="G661" s="23" t="n"/>
      <c r="H661" s="23" t="n"/>
      <c r="I661" s="23" t="n"/>
      <c r="J661" s="23" t="n"/>
      <c r="K661" s="24" t="n"/>
      <c r="L661" s="23" t="n"/>
      <c r="M661" s="23" t="n"/>
      <c r="N661" s="24" t="n"/>
      <c r="O661" s="23" t="n"/>
      <c r="P661" s="23" t="n"/>
    </row>
    <row r="662">
      <c r="A662" s="23" t="n"/>
      <c r="B662" s="23" t="n"/>
      <c r="C662" s="23" t="n"/>
      <c r="D662" s="23" t="n"/>
      <c r="E662" s="23" t="n"/>
      <c r="F662" s="23" t="n"/>
      <c r="G662" s="23" t="n"/>
      <c r="H662" s="23" t="n"/>
      <c r="I662" s="23" t="n"/>
      <c r="J662" s="23" t="n"/>
      <c r="K662" s="24" t="n"/>
      <c r="L662" s="23" t="n"/>
      <c r="M662" s="23" t="n"/>
      <c r="N662" s="24" t="n"/>
      <c r="O662" s="23" t="n"/>
      <c r="P662" s="23" t="n"/>
    </row>
    <row r="663">
      <c r="A663" s="23" t="n"/>
      <c r="B663" s="23" t="n"/>
      <c r="C663" s="23" t="n"/>
      <c r="D663" s="23" t="n"/>
      <c r="E663" s="23" t="n"/>
      <c r="F663" s="23" t="n"/>
      <c r="G663" s="23" t="n"/>
      <c r="H663" s="23" t="n"/>
      <c r="I663" s="23" t="n"/>
      <c r="J663" s="23" t="n"/>
      <c r="K663" s="24" t="n"/>
      <c r="L663" s="23" t="n"/>
      <c r="M663" s="23" t="n"/>
      <c r="N663" s="24" t="n"/>
      <c r="O663" s="23" t="n"/>
      <c r="P663" s="23" t="n"/>
    </row>
    <row r="664">
      <c r="A664" s="23" t="n"/>
      <c r="B664" s="23" t="n"/>
      <c r="C664" s="23" t="n"/>
      <c r="D664" s="23" t="n"/>
      <c r="E664" s="23" t="n"/>
      <c r="F664" s="23" t="n"/>
      <c r="G664" s="23" t="n"/>
      <c r="H664" s="23" t="n"/>
      <c r="I664" s="23" t="n"/>
      <c r="J664" s="23" t="n"/>
      <c r="K664" s="24" t="n"/>
      <c r="L664" s="23" t="n"/>
      <c r="M664" s="23" t="n"/>
      <c r="N664" s="24" t="n"/>
      <c r="O664" s="23" t="n"/>
      <c r="P664" s="23" t="n"/>
    </row>
    <row r="665">
      <c r="A665" s="23" t="n"/>
      <c r="B665" s="23" t="n"/>
      <c r="C665" s="23" t="n"/>
      <c r="D665" s="23" t="n"/>
      <c r="E665" s="23" t="n"/>
      <c r="F665" s="23" t="n"/>
      <c r="G665" s="23" t="n"/>
      <c r="H665" s="23" t="n"/>
      <c r="I665" s="23" t="n"/>
      <c r="J665" s="23" t="n"/>
      <c r="K665" s="24" t="n"/>
      <c r="L665" s="23" t="n"/>
      <c r="M665" s="23" t="n"/>
      <c r="N665" s="24" t="n"/>
      <c r="O665" s="23" t="n"/>
      <c r="P665" s="23" t="n"/>
    </row>
    <row r="666">
      <c r="A666" s="23" t="n"/>
      <c r="B666" s="23" t="n"/>
      <c r="C666" s="23" t="n"/>
      <c r="D666" s="23" t="n"/>
      <c r="E666" s="23" t="n"/>
      <c r="F666" s="23" t="n"/>
      <c r="G666" s="23" t="n"/>
      <c r="H666" s="23" t="n"/>
      <c r="I666" s="23" t="n"/>
      <c r="J666" s="23" t="n"/>
      <c r="K666" s="24" t="n"/>
      <c r="L666" s="23" t="n"/>
      <c r="M666" s="23" t="n"/>
      <c r="N666" s="24" t="n"/>
      <c r="O666" s="23" t="n"/>
      <c r="P666" s="23" t="n"/>
    </row>
    <row r="667">
      <c r="A667" s="23" t="n"/>
      <c r="B667" s="23" t="n"/>
      <c r="C667" s="23" t="n"/>
      <c r="D667" s="23" t="n"/>
      <c r="E667" s="23" t="n"/>
      <c r="F667" s="23" t="n"/>
      <c r="G667" s="23" t="n"/>
      <c r="H667" s="23" t="n"/>
      <c r="I667" s="23" t="n"/>
      <c r="J667" s="23" t="n"/>
      <c r="K667" s="24" t="n"/>
      <c r="L667" s="23" t="n"/>
      <c r="M667" s="23" t="n"/>
      <c r="N667" s="24" t="n"/>
      <c r="O667" s="23" t="n"/>
      <c r="P667" s="23" t="n"/>
    </row>
    <row r="668">
      <c r="A668" s="23" t="n"/>
      <c r="B668" s="23" t="n"/>
      <c r="C668" s="23" t="n"/>
      <c r="D668" s="23" t="n"/>
      <c r="E668" s="23" t="n"/>
      <c r="F668" s="23" t="n"/>
      <c r="G668" s="23" t="n"/>
      <c r="H668" s="23" t="n"/>
      <c r="I668" s="23" t="n"/>
      <c r="J668" s="23" t="n"/>
      <c r="K668" s="24" t="n"/>
      <c r="L668" s="23" t="n"/>
      <c r="M668" s="23" t="n"/>
      <c r="N668" s="24" t="n"/>
      <c r="O668" s="23" t="n"/>
      <c r="P668" s="23" t="n"/>
    </row>
    <row r="669">
      <c r="A669" s="23" t="n"/>
      <c r="B669" s="23" t="n"/>
      <c r="C669" s="23" t="n"/>
      <c r="D669" s="23" t="n"/>
      <c r="E669" s="23" t="n"/>
      <c r="F669" s="23" t="n"/>
      <c r="G669" s="23" t="n"/>
      <c r="H669" s="23" t="n"/>
      <c r="I669" s="23" t="n"/>
      <c r="J669" s="23" t="n"/>
      <c r="K669" s="24" t="n"/>
      <c r="L669" s="23" t="n"/>
      <c r="M669" s="23" t="n"/>
      <c r="N669" s="24" t="n"/>
      <c r="O669" s="23" t="n"/>
      <c r="P669" s="23" t="n"/>
    </row>
    <row r="670">
      <c r="A670" s="23" t="n"/>
      <c r="B670" s="23" t="n"/>
      <c r="C670" s="23" t="n"/>
      <c r="D670" s="23" t="n"/>
      <c r="E670" s="23" t="n"/>
      <c r="F670" s="23" t="n"/>
      <c r="G670" s="23" t="n"/>
      <c r="H670" s="23" t="n"/>
      <c r="I670" s="23" t="n"/>
      <c r="J670" s="23" t="n"/>
      <c r="K670" s="24" t="n"/>
      <c r="L670" s="23" t="n"/>
      <c r="M670" s="23" t="n"/>
      <c r="N670" s="24" t="n"/>
      <c r="O670" s="23" t="n"/>
      <c r="P670" s="23" t="n"/>
    </row>
    <row r="671">
      <c r="A671" s="23" t="n"/>
      <c r="B671" s="23" t="n"/>
      <c r="C671" s="23" t="n"/>
      <c r="D671" s="23" t="n"/>
      <c r="E671" s="23" t="n"/>
      <c r="F671" s="23" t="n"/>
      <c r="G671" s="23" t="n"/>
      <c r="H671" s="23" t="n"/>
      <c r="I671" s="23" t="n"/>
      <c r="J671" s="23" t="n"/>
      <c r="K671" s="24" t="n"/>
      <c r="L671" s="23" t="n"/>
      <c r="M671" s="23" t="n"/>
      <c r="N671" s="24" t="n"/>
      <c r="O671" s="23" t="n"/>
      <c r="P671" s="23" t="n"/>
    </row>
    <row r="672">
      <c r="A672" s="23" t="n"/>
      <c r="B672" s="23" t="n"/>
      <c r="C672" s="23" t="n"/>
      <c r="D672" s="23" t="n"/>
      <c r="E672" s="23" t="n"/>
      <c r="F672" s="23" t="n"/>
      <c r="G672" s="23" t="n"/>
      <c r="H672" s="23" t="n"/>
      <c r="I672" s="23" t="n"/>
      <c r="J672" s="23" t="n"/>
      <c r="K672" s="24" t="n"/>
      <c r="L672" s="23" t="n"/>
      <c r="M672" s="23" t="n"/>
      <c r="N672" s="24" t="n"/>
      <c r="O672" s="23" t="n"/>
      <c r="P672" s="23" t="n"/>
    </row>
    <row r="673">
      <c r="A673" s="23" t="n"/>
      <c r="B673" s="23" t="n"/>
      <c r="C673" s="23" t="n"/>
      <c r="D673" s="23" t="n"/>
      <c r="E673" s="23" t="n"/>
      <c r="F673" s="23" t="n"/>
      <c r="G673" s="23" t="n"/>
      <c r="H673" s="23" t="n"/>
      <c r="I673" s="23" t="n"/>
      <c r="J673" s="23" t="n"/>
      <c r="K673" s="24" t="n"/>
      <c r="L673" s="23" t="n"/>
      <c r="M673" s="23" t="n"/>
      <c r="N673" s="24" t="n"/>
      <c r="O673" s="23" t="n"/>
      <c r="P673" s="23" t="n"/>
    </row>
    <row r="674">
      <c r="A674" s="23" t="n"/>
      <c r="B674" s="23" t="n"/>
      <c r="C674" s="23" t="n"/>
      <c r="D674" s="23" t="n"/>
      <c r="E674" s="23" t="n"/>
      <c r="F674" s="23" t="n"/>
      <c r="G674" s="23" t="n"/>
      <c r="H674" s="23" t="n"/>
      <c r="I674" s="23" t="n"/>
      <c r="J674" s="23" t="n"/>
      <c r="K674" s="24" t="n"/>
      <c r="L674" s="23" t="n"/>
      <c r="M674" s="23" t="n"/>
      <c r="N674" s="24" t="n"/>
      <c r="O674" s="23" t="n"/>
      <c r="P674" s="23" t="n"/>
    </row>
    <row r="675">
      <c r="A675" s="23" t="n"/>
      <c r="B675" s="23" t="n"/>
      <c r="C675" s="23" t="n"/>
      <c r="D675" s="23" t="n"/>
      <c r="E675" s="23" t="n"/>
      <c r="F675" s="23" t="n"/>
      <c r="G675" s="23" t="n"/>
      <c r="H675" s="23" t="n"/>
      <c r="I675" s="23" t="n"/>
      <c r="J675" s="23" t="n"/>
      <c r="K675" s="24" t="n"/>
      <c r="L675" s="23" t="n"/>
      <c r="M675" s="23" t="n"/>
      <c r="N675" s="24" t="n"/>
      <c r="O675" s="23" t="n"/>
      <c r="P675" s="23" t="n"/>
    </row>
    <row r="676">
      <c r="A676" s="23" t="n"/>
      <c r="B676" s="23" t="n"/>
      <c r="C676" s="23" t="n"/>
      <c r="D676" s="23" t="n"/>
      <c r="E676" s="23" t="n"/>
      <c r="F676" s="23" t="n"/>
      <c r="G676" s="23" t="n"/>
      <c r="H676" s="23" t="n"/>
      <c r="I676" s="23" t="n"/>
      <c r="J676" s="23" t="n"/>
      <c r="K676" s="24" t="n"/>
      <c r="L676" s="23" t="n"/>
      <c r="M676" s="23" t="n"/>
      <c r="N676" s="24" t="n"/>
      <c r="O676" s="23" t="n"/>
      <c r="P676" s="23" t="n"/>
    </row>
    <row r="677">
      <c r="A677" s="23" t="n"/>
      <c r="B677" s="23" t="n"/>
      <c r="C677" s="23" t="n"/>
      <c r="D677" s="23" t="n"/>
      <c r="E677" s="23" t="n"/>
      <c r="F677" s="23" t="n"/>
      <c r="G677" s="23" t="n"/>
      <c r="H677" s="23" t="n"/>
      <c r="I677" s="23" t="n"/>
      <c r="J677" s="23" t="n"/>
      <c r="K677" s="24" t="n"/>
      <c r="L677" s="23" t="n"/>
      <c r="M677" s="23" t="n"/>
      <c r="N677" s="24" t="n"/>
      <c r="O677" s="23" t="n"/>
      <c r="P677" s="23" t="n"/>
    </row>
    <row r="678">
      <c r="A678" s="23" t="n"/>
      <c r="B678" s="23" t="n"/>
      <c r="C678" s="23" t="n"/>
      <c r="D678" s="23" t="n"/>
      <c r="E678" s="23" t="n"/>
      <c r="F678" s="23" t="n"/>
      <c r="G678" s="23" t="n"/>
      <c r="H678" s="23" t="n"/>
      <c r="I678" s="23" t="n"/>
      <c r="J678" s="23" t="n"/>
      <c r="K678" s="24" t="n"/>
      <c r="L678" s="23" t="n"/>
      <c r="M678" s="23" t="n"/>
      <c r="N678" s="24" t="n"/>
      <c r="O678" s="23" t="n"/>
      <c r="P678" s="23" t="n"/>
    </row>
    <row r="679">
      <c r="A679" s="23" t="n"/>
      <c r="B679" s="23" t="n"/>
      <c r="C679" s="23" t="n"/>
      <c r="D679" s="23" t="n"/>
      <c r="E679" s="23" t="n"/>
      <c r="F679" s="23" t="n"/>
      <c r="G679" s="23" t="n"/>
      <c r="H679" s="23" t="n"/>
      <c r="I679" s="23" t="n"/>
      <c r="J679" s="23" t="n"/>
      <c r="K679" s="24" t="n"/>
      <c r="L679" s="23" t="n"/>
      <c r="M679" s="23" t="n"/>
      <c r="N679" s="24" t="n"/>
      <c r="O679" s="23" t="n"/>
      <c r="P679" s="23" t="n"/>
    </row>
    <row r="680">
      <c r="A680" s="23" t="n"/>
      <c r="B680" s="23" t="n"/>
      <c r="C680" s="23" t="n"/>
      <c r="D680" s="23" t="n"/>
      <c r="E680" s="23" t="n"/>
      <c r="F680" s="23" t="n"/>
      <c r="G680" s="23" t="n"/>
      <c r="H680" s="23" t="n"/>
      <c r="I680" s="23" t="n"/>
      <c r="J680" s="23" t="n"/>
      <c r="K680" s="24" t="n"/>
      <c r="L680" s="23" t="n"/>
      <c r="M680" s="23" t="n"/>
      <c r="N680" s="24" t="n"/>
      <c r="O680" s="23" t="n"/>
      <c r="P680" s="23" t="n"/>
    </row>
    <row r="681">
      <c r="A681" s="23" t="n"/>
      <c r="B681" s="23" t="n"/>
      <c r="C681" s="23" t="n"/>
      <c r="D681" s="23" t="n"/>
      <c r="E681" s="23" t="n"/>
      <c r="F681" s="23" t="n"/>
      <c r="G681" s="23" t="n"/>
      <c r="H681" s="23" t="n"/>
      <c r="I681" s="23" t="n"/>
      <c r="J681" s="23" t="n"/>
      <c r="K681" s="24" t="n"/>
      <c r="L681" s="23" t="n"/>
      <c r="M681" s="23" t="n"/>
      <c r="N681" s="24" t="n"/>
      <c r="O681" s="23" t="n"/>
      <c r="P681" s="23" t="n"/>
    </row>
    <row r="682">
      <c r="A682" s="23" t="n"/>
      <c r="B682" s="23" t="n"/>
      <c r="C682" s="23" t="n"/>
      <c r="D682" s="23" t="n"/>
      <c r="E682" s="23" t="n"/>
      <c r="F682" s="23" t="n"/>
      <c r="G682" s="23" t="n"/>
      <c r="H682" s="23" t="n"/>
      <c r="I682" s="23" t="n"/>
      <c r="J682" s="23" t="n"/>
      <c r="K682" s="24" t="n"/>
      <c r="L682" s="23" t="n"/>
      <c r="M682" s="23" t="n"/>
      <c r="N682" s="24" t="n"/>
      <c r="O682" s="23" t="n"/>
      <c r="P682" s="23" t="n"/>
    </row>
    <row r="683">
      <c r="A683" s="23" t="n"/>
      <c r="B683" s="23" t="n"/>
      <c r="C683" s="23" t="n"/>
      <c r="D683" s="23" t="n"/>
      <c r="E683" s="23" t="n"/>
      <c r="F683" s="23" t="n"/>
      <c r="G683" s="23" t="n"/>
      <c r="H683" s="23" t="n"/>
      <c r="I683" s="23" t="n"/>
      <c r="J683" s="23" t="n"/>
      <c r="K683" s="24" t="n"/>
      <c r="L683" s="23" t="n"/>
      <c r="M683" s="23" t="n"/>
      <c r="N683" s="24" t="n"/>
      <c r="O683" s="23" t="n"/>
      <c r="P683" s="23" t="n"/>
    </row>
    <row r="684">
      <c r="A684" s="23" t="n"/>
      <c r="B684" s="23" t="n"/>
      <c r="C684" s="23" t="n"/>
      <c r="D684" s="23" t="n"/>
      <c r="E684" s="23" t="n"/>
      <c r="F684" s="23" t="n"/>
      <c r="G684" s="23" t="n"/>
      <c r="H684" s="23" t="n"/>
      <c r="I684" s="23" t="n"/>
      <c r="J684" s="23" t="n"/>
      <c r="K684" s="24" t="n"/>
      <c r="L684" s="23" t="n"/>
      <c r="M684" s="23" t="n"/>
      <c r="N684" s="24" t="n"/>
      <c r="O684" s="23" t="n"/>
      <c r="P684" s="23" t="n"/>
    </row>
    <row r="685">
      <c r="A685" s="23" t="n"/>
      <c r="B685" s="23" t="n"/>
      <c r="C685" s="23" t="n"/>
      <c r="D685" s="23" t="n"/>
      <c r="E685" s="23" t="n"/>
      <c r="F685" s="23" t="n"/>
      <c r="G685" s="23" t="n"/>
      <c r="H685" s="23" t="n"/>
      <c r="I685" s="23" t="n"/>
      <c r="J685" s="23" t="n"/>
      <c r="K685" s="24" t="n"/>
      <c r="L685" s="23" t="n"/>
      <c r="M685" s="23" t="n"/>
      <c r="N685" s="24" t="n"/>
      <c r="O685" s="23" t="n"/>
      <c r="P685" s="23" t="n"/>
    </row>
    <row r="686">
      <c r="A686" s="23" t="n"/>
      <c r="B686" s="23" t="n"/>
      <c r="C686" s="23" t="n"/>
      <c r="D686" s="23" t="n"/>
      <c r="E686" s="23" t="n"/>
      <c r="F686" s="23" t="n"/>
      <c r="G686" s="23" t="n"/>
      <c r="H686" s="23" t="n"/>
      <c r="I686" s="23" t="n"/>
      <c r="J686" s="23" t="n"/>
      <c r="K686" s="24" t="n"/>
      <c r="L686" s="23" t="n"/>
      <c r="M686" s="23" t="n"/>
      <c r="N686" s="24" t="n"/>
      <c r="O686" s="23" t="n"/>
      <c r="P686" s="23" t="n"/>
    </row>
    <row r="687">
      <c r="A687" s="23" t="n"/>
      <c r="B687" s="23" t="n"/>
      <c r="C687" s="23" t="n"/>
      <c r="D687" s="23" t="n"/>
      <c r="E687" s="23" t="n"/>
      <c r="F687" s="23" t="n"/>
      <c r="G687" s="23" t="n"/>
      <c r="H687" s="23" t="n"/>
      <c r="I687" s="23" t="n"/>
      <c r="J687" s="23" t="n"/>
      <c r="K687" s="24" t="n"/>
      <c r="L687" s="23" t="n"/>
      <c r="M687" s="23" t="n"/>
      <c r="N687" s="24" t="n"/>
      <c r="O687" s="23" t="n"/>
      <c r="P687" s="23" t="n"/>
    </row>
    <row r="688">
      <c r="A688" s="23" t="n"/>
      <c r="B688" s="23" t="n"/>
      <c r="C688" s="23" t="n"/>
      <c r="D688" s="23" t="n"/>
      <c r="E688" s="23" t="n"/>
      <c r="F688" s="23" t="n"/>
      <c r="G688" s="23" t="n"/>
      <c r="H688" s="23" t="n"/>
      <c r="I688" s="23" t="n"/>
      <c r="J688" s="23" t="n"/>
      <c r="K688" s="24" t="n"/>
      <c r="L688" s="23" t="n"/>
      <c r="M688" s="23" t="n"/>
      <c r="N688" s="24" t="n"/>
      <c r="O688" s="23" t="n"/>
      <c r="P688" s="23" t="n"/>
    </row>
    <row r="689">
      <c r="A689" s="23" t="n"/>
      <c r="B689" s="23" t="n"/>
      <c r="C689" s="23" t="n"/>
      <c r="D689" s="23" t="n"/>
      <c r="E689" s="23" t="n"/>
      <c r="F689" s="23" t="n"/>
      <c r="G689" s="23" t="n"/>
      <c r="H689" s="23" t="n"/>
      <c r="I689" s="23" t="n"/>
      <c r="J689" s="23" t="n"/>
      <c r="K689" s="24" t="n"/>
      <c r="L689" s="23" t="n"/>
      <c r="M689" s="23" t="n"/>
      <c r="N689" s="24" t="n"/>
      <c r="O689" s="23" t="n"/>
      <c r="P689" s="23" t="n"/>
    </row>
    <row r="690">
      <c r="A690" s="23" t="n"/>
      <c r="B690" s="23" t="n"/>
      <c r="C690" s="23" t="n"/>
      <c r="D690" s="23" t="n"/>
      <c r="E690" s="23" t="n"/>
      <c r="F690" s="23" t="n"/>
      <c r="G690" s="23" t="n"/>
      <c r="H690" s="23" t="n"/>
      <c r="I690" s="23" t="n"/>
      <c r="J690" s="23" t="n"/>
      <c r="K690" s="24" t="n"/>
      <c r="L690" s="23" t="n"/>
      <c r="M690" s="23" t="n"/>
      <c r="N690" s="24" t="n"/>
      <c r="O690" s="23" t="n"/>
      <c r="P690" s="23" t="n"/>
    </row>
    <row r="691">
      <c r="A691" s="23" t="n"/>
      <c r="B691" s="23" t="n"/>
      <c r="C691" s="23" t="n"/>
      <c r="D691" s="23" t="n"/>
      <c r="E691" s="23" t="n"/>
      <c r="F691" s="23" t="n"/>
      <c r="G691" s="23" t="n"/>
      <c r="H691" s="23" t="n"/>
      <c r="I691" s="23" t="n"/>
      <c r="J691" s="23" t="n"/>
      <c r="K691" s="24" t="n"/>
      <c r="L691" s="23" t="n"/>
      <c r="M691" s="23" t="n"/>
      <c r="N691" s="24" t="n"/>
      <c r="O691" s="23" t="n"/>
      <c r="P691" s="23" t="n"/>
    </row>
    <row r="692">
      <c r="A692" s="23" t="n"/>
      <c r="B692" s="23" t="n"/>
      <c r="C692" s="23" t="n"/>
      <c r="D692" s="23" t="n"/>
      <c r="E692" s="23" t="n"/>
      <c r="F692" s="23" t="n"/>
      <c r="G692" s="23" t="n"/>
      <c r="H692" s="23" t="n"/>
      <c r="I692" s="23" t="n"/>
      <c r="J692" s="23" t="n"/>
      <c r="K692" s="24" t="n"/>
      <c r="L692" s="23" t="n"/>
      <c r="M692" s="23" t="n"/>
      <c r="N692" s="24" t="n"/>
      <c r="O692" s="23" t="n"/>
      <c r="P692" s="23" t="n"/>
    </row>
    <row r="693">
      <c r="A693" s="23" t="n"/>
      <c r="B693" s="23" t="n"/>
      <c r="C693" s="23" t="n"/>
      <c r="D693" s="23" t="n"/>
      <c r="E693" s="23" t="n"/>
      <c r="F693" s="23" t="n"/>
      <c r="G693" s="23" t="n"/>
      <c r="H693" s="23" t="n"/>
      <c r="I693" s="23" t="n"/>
      <c r="J693" s="23" t="n"/>
      <c r="K693" s="24" t="n"/>
      <c r="L693" s="23" t="n"/>
      <c r="M693" s="23" t="n"/>
      <c r="N693" s="24" t="n"/>
      <c r="O693" s="23" t="n"/>
      <c r="P693" s="23" t="n"/>
    </row>
    <row r="694">
      <c r="A694" s="23" t="n"/>
      <c r="B694" s="23" t="n"/>
      <c r="C694" s="23" t="n"/>
      <c r="D694" s="23" t="n"/>
      <c r="E694" s="23" t="n"/>
      <c r="F694" s="23" t="n"/>
      <c r="G694" s="23" t="n"/>
      <c r="H694" s="23" t="n"/>
      <c r="I694" s="23" t="n"/>
      <c r="J694" s="23" t="n"/>
      <c r="K694" s="24" t="n"/>
      <c r="L694" s="23" t="n"/>
      <c r="M694" s="23" t="n"/>
      <c r="N694" s="24" t="n"/>
      <c r="O694" s="23" t="n"/>
      <c r="P694" s="23" t="n"/>
    </row>
    <row r="695">
      <c r="A695" s="23" t="n"/>
      <c r="B695" s="23" t="n"/>
      <c r="C695" s="23" t="n"/>
      <c r="D695" s="23" t="n"/>
      <c r="E695" s="23" t="n"/>
      <c r="F695" s="23" t="n"/>
      <c r="G695" s="23" t="n"/>
      <c r="H695" s="23" t="n"/>
      <c r="I695" s="23" t="n"/>
      <c r="J695" s="23" t="n"/>
      <c r="K695" s="24" t="n"/>
      <c r="L695" s="23" t="n"/>
      <c r="M695" s="23" t="n"/>
      <c r="N695" s="24" t="n"/>
      <c r="O695" s="23" t="n"/>
      <c r="P695" s="23" t="n"/>
    </row>
    <row r="696">
      <c r="A696" s="23" t="n"/>
      <c r="B696" s="23" t="n"/>
      <c r="C696" s="23" t="n"/>
      <c r="D696" s="23" t="n"/>
      <c r="E696" s="23" t="n"/>
      <c r="F696" s="23" t="n"/>
      <c r="G696" s="23" t="n"/>
      <c r="H696" s="23" t="n"/>
      <c r="I696" s="23" t="n"/>
      <c r="J696" s="23" t="n"/>
      <c r="K696" s="24" t="n"/>
      <c r="L696" s="23" t="n"/>
      <c r="M696" s="23" t="n"/>
      <c r="N696" s="24" t="n"/>
      <c r="O696" s="23" t="n"/>
      <c r="P696" s="23" t="n"/>
    </row>
    <row r="697">
      <c r="A697" s="23" t="n"/>
      <c r="B697" s="23" t="n"/>
      <c r="C697" s="23" t="n"/>
      <c r="D697" s="23" t="n"/>
      <c r="E697" s="23" t="n"/>
      <c r="F697" s="23" t="n"/>
      <c r="G697" s="23" t="n"/>
      <c r="H697" s="23" t="n"/>
      <c r="I697" s="23" t="n"/>
      <c r="J697" s="23" t="n"/>
      <c r="K697" s="24" t="n"/>
      <c r="L697" s="23" t="n"/>
      <c r="M697" s="23" t="n"/>
      <c r="N697" s="24" t="n"/>
      <c r="O697" s="23" t="n"/>
      <c r="P697" s="23" t="n"/>
    </row>
    <row r="698">
      <c r="A698" s="23" t="n"/>
      <c r="B698" s="23" t="n"/>
      <c r="C698" s="23" t="n"/>
      <c r="D698" s="23" t="n"/>
      <c r="E698" s="23" t="n"/>
      <c r="F698" s="23" t="n"/>
      <c r="G698" s="23" t="n"/>
      <c r="H698" s="23" t="n"/>
      <c r="I698" s="23" t="n"/>
      <c r="J698" s="23" t="n"/>
      <c r="K698" s="24" t="n"/>
      <c r="L698" s="23" t="n"/>
      <c r="M698" s="23" t="n"/>
      <c r="N698" s="24" t="n"/>
      <c r="O698" s="23" t="n"/>
      <c r="P698" s="23" t="n"/>
    </row>
    <row r="699">
      <c r="A699" s="23" t="n"/>
      <c r="B699" s="23" t="n"/>
      <c r="C699" s="23" t="n"/>
      <c r="D699" s="23" t="n"/>
      <c r="E699" s="23" t="n"/>
      <c r="F699" s="23" t="n"/>
      <c r="G699" s="23" t="n"/>
      <c r="H699" s="23" t="n"/>
      <c r="I699" s="23" t="n"/>
      <c r="J699" s="23" t="n"/>
      <c r="K699" s="24" t="n"/>
      <c r="L699" s="23" t="n"/>
      <c r="M699" s="23" t="n"/>
      <c r="N699" s="24" t="n"/>
      <c r="O699" s="23" t="n"/>
      <c r="P699" s="23" t="n"/>
    </row>
    <row r="700">
      <c r="A700" s="23" t="n"/>
      <c r="B700" s="23" t="n"/>
      <c r="C700" s="23" t="n"/>
      <c r="D700" s="23" t="n"/>
      <c r="E700" s="23" t="n"/>
      <c r="F700" s="23" t="n"/>
      <c r="G700" s="23" t="n"/>
      <c r="H700" s="23" t="n"/>
      <c r="I700" s="23" t="n"/>
      <c r="J700" s="23" t="n"/>
      <c r="K700" s="24" t="n"/>
      <c r="L700" s="23" t="n"/>
      <c r="M700" s="23" t="n"/>
      <c r="N700" s="24" t="n"/>
      <c r="O700" s="23" t="n"/>
      <c r="P700" s="23" t="n"/>
    </row>
    <row r="701">
      <c r="A701" s="23" t="n"/>
      <c r="B701" s="23" t="n"/>
      <c r="C701" s="23" t="n"/>
      <c r="D701" s="23" t="n"/>
      <c r="E701" s="23" t="n"/>
      <c r="F701" s="23" t="n"/>
      <c r="G701" s="23" t="n"/>
      <c r="H701" s="23" t="n"/>
      <c r="I701" s="23" t="n"/>
      <c r="J701" s="23" t="n"/>
      <c r="K701" s="24" t="n"/>
      <c r="L701" s="23" t="n"/>
      <c r="M701" s="23" t="n"/>
      <c r="N701" s="24" t="n"/>
      <c r="O701" s="23" t="n"/>
      <c r="P701" s="23" t="n"/>
    </row>
    <row r="702">
      <c r="A702" s="23" t="n"/>
      <c r="B702" s="23" t="n"/>
      <c r="C702" s="23" t="n"/>
      <c r="D702" s="23" t="n"/>
      <c r="E702" s="23" t="n"/>
      <c r="F702" s="23" t="n"/>
      <c r="G702" s="23" t="n"/>
      <c r="H702" s="23" t="n"/>
      <c r="I702" s="23" t="n"/>
      <c r="J702" s="23" t="n"/>
      <c r="K702" s="24" t="n"/>
      <c r="L702" s="23" t="n"/>
      <c r="M702" s="23" t="n"/>
      <c r="N702" s="24" t="n"/>
      <c r="O702" s="23" t="n"/>
      <c r="P702" s="23" t="n"/>
    </row>
    <row r="703">
      <c r="A703" s="23" t="n"/>
      <c r="B703" s="23" t="n"/>
      <c r="C703" s="23" t="n"/>
      <c r="D703" s="23" t="n"/>
      <c r="E703" s="23" t="n"/>
      <c r="F703" s="23" t="n"/>
      <c r="G703" s="23" t="n"/>
      <c r="H703" s="23" t="n"/>
      <c r="I703" s="23" t="n"/>
      <c r="J703" s="23" t="n"/>
      <c r="K703" s="24" t="n"/>
      <c r="L703" s="23" t="n"/>
      <c r="M703" s="23" t="n"/>
      <c r="N703" s="24" t="n"/>
      <c r="O703" s="23" t="n"/>
      <c r="P703" s="23" t="n"/>
    </row>
    <row r="704">
      <c r="A704" s="23" t="n"/>
      <c r="B704" s="23" t="n"/>
      <c r="C704" s="23" t="n"/>
      <c r="D704" s="23" t="n"/>
      <c r="E704" s="23" t="n"/>
      <c r="F704" s="23" t="n"/>
      <c r="G704" s="23" t="n"/>
      <c r="H704" s="23" t="n"/>
      <c r="I704" s="23" t="n"/>
      <c r="J704" s="23" t="n"/>
      <c r="K704" s="24" t="n"/>
      <c r="L704" s="23" t="n"/>
      <c r="M704" s="23" t="n"/>
      <c r="N704" s="24" t="n"/>
      <c r="O704" s="23" t="n"/>
      <c r="P704" s="23" t="n"/>
    </row>
    <row r="705">
      <c r="A705" s="23" t="n"/>
      <c r="B705" s="23" t="n"/>
      <c r="C705" s="23" t="n"/>
      <c r="D705" s="23" t="n"/>
      <c r="E705" s="23" t="n"/>
      <c r="F705" s="23" t="n"/>
      <c r="G705" s="23" t="n"/>
      <c r="H705" s="23" t="n"/>
      <c r="I705" s="23" t="n"/>
      <c r="J705" s="23" t="n"/>
      <c r="K705" s="24" t="n"/>
      <c r="L705" s="23" t="n"/>
      <c r="M705" s="23" t="n"/>
      <c r="N705" s="24" t="n"/>
      <c r="O705" s="23" t="n"/>
      <c r="P705" s="23" t="n"/>
    </row>
    <row r="706">
      <c r="A706" s="23" t="n"/>
      <c r="B706" s="23" t="n"/>
      <c r="C706" s="23" t="n"/>
      <c r="D706" s="23" t="n"/>
      <c r="E706" s="23" t="n"/>
      <c r="F706" s="23" t="n"/>
      <c r="G706" s="23" t="n"/>
      <c r="H706" s="23" t="n"/>
      <c r="I706" s="23" t="n"/>
      <c r="J706" s="23" t="n"/>
      <c r="K706" s="24" t="n"/>
      <c r="L706" s="23" t="n"/>
      <c r="M706" s="23" t="n"/>
      <c r="N706" s="24" t="n"/>
      <c r="O706" s="23" t="n"/>
      <c r="P706" s="23" t="n"/>
    </row>
    <row r="707">
      <c r="A707" s="23" t="n"/>
      <c r="B707" s="23" t="n"/>
      <c r="C707" s="23" t="n"/>
      <c r="D707" s="23" t="n"/>
      <c r="E707" s="23" t="n"/>
      <c r="F707" s="23" t="n"/>
      <c r="G707" s="23" t="n"/>
      <c r="H707" s="23" t="n"/>
      <c r="I707" s="23" t="n"/>
      <c r="J707" s="23" t="n"/>
      <c r="K707" s="24" t="n"/>
      <c r="L707" s="23" t="n"/>
      <c r="M707" s="23" t="n"/>
      <c r="N707" s="24" t="n"/>
      <c r="O707" s="23" t="n"/>
      <c r="P707" s="23" t="n"/>
    </row>
    <row r="708">
      <c r="A708" s="23" t="n"/>
      <c r="B708" s="23" t="n"/>
      <c r="C708" s="23" t="n"/>
      <c r="D708" s="23" t="n"/>
      <c r="E708" s="23" t="n"/>
      <c r="F708" s="23" t="n"/>
      <c r="G708" s="23" t="n"/>
      <c r="H708" s="23" t="n"/>
      <c r="I708" s="23" t="n"/>
      <c r="J708" s="23" t="n"/>
      <c r="K708" s="24" t="n"/>
      <c r="L708" s="23" t="n"/>
      <c r="M708" s="23" t="n"/>
      <c r="N708" s="24" t="n"/>
      <c r="O708" s="23" t="n"/>
      <c r="P708" s="23" t="n"/>
    </row>
    <row r="709">
      <c r="A709" s="23" t="n"/>
      <c r="B709" s="23" t="n"/>
      <c r="C709" s="23" t="n"/>
      <c r="D709" s="23" t="n"/>
      <c r="E709" s="23" t="n"/>
      <c r="F709" s="23" t="n"/>
      <c r="G709" s="23" t="n"/>
      <c r="H709" s="23" t="n"/>
      <c r="I709" s="23" t="n"/>
      <c r="J709" s="23" t="n"/>
      <c r="K709" s="24" t="n"/>
      <c r="L709" s="23" t="n"/>
      <c r="M709" s="23" t="n"/>
      <c r="N709" s="24" t="n"/>
      <c r="O709" s="23" t="n"/>
      <c r="P709" s="23" t="n"/>
    </row>
    <row r="710">
      <c r="A710" s="23" t="n"/>
      <c r="B710" s="23" t="n"/>
      <c r="C710" s="23" t="n"/>
      <c r="D710" s="23" t="n"/>
      <c r="E710" s="23" t="n"/>
      <c r="F710" s="23" t="n"/>
      <c r="G710" s="23" t="n"/>
      <c r="H710" s="23" t="n"/>
      <c r="I710" s="23" t="n"/>
      <c r="J710" s="23" t="n"/>
      <c r="K710" s="24" t="n"/>
      <c r="L710" s="23" t="n"/>
      <c r="M710" s="23" t="n"/>
      <c r="N710" s="24" t="n"/>
      <c r="O710" s="23" t="n"/>
      <c r="P710" s="23" t="n"/>
    </row>
    <row r="711">
      <c r="A711" s="23" t="n"/>
      <c r="B711" s="23" t="n"/>
      <c r="C711" s="23" t="n"/>
      <c r="D711" s="23" t="n"/>
      <c r="E711" s="23" t="n"/>
      <c r="F711" s="23" t="n"/>
      <c r="G711" s="23" t="n"/>
      <c r="H711" s="23" t="n"/>
      <c r="I711" s="23" t="n"/>
      <c r="J711" s="23" t="n"/>
      <c r="K711" s="24" t="n"/>
      <c r="L711" s="23" t="n"/>
      <c r="M711" s="23" t="n"/>
      <c r="N711" s="24" t="n"/>
      <c r="O711" s="23" t="n"/>
      <c r="P711" s="23" t="n"/>
    </row>
    <row r="712">
      <c r="A712" s="23" t="n"/>
      <c r="B712" s="23" t="n"/>
      <c r="C712" s="23" t="n"/>
      <c r="D712" s="23" t="n"/>
      <c r="E712" s="23" t="n"/>
      <c r="F712" s="23" t="n"/>
      <c r="G712" s="23" t="n"/>
      <c r="H712" s="23" t="n"/>
      <c r="I712" s="23" t="n"/>
      <c r="J712" s="23" t="n"/>
      <c r="K712" s="24" t="n"/>
      <c r="L712" s="23" t="n"/>
      <c r="M712" s="23" t="n"/>
      <c r="N712" s="24" t="n"/>
      <c r="O712" s="23" t="n"/>
      <c r="P712" s="23" t="n"/>
    </row>
    <row r="713">
      <c r="A713" s="23" t="n"/>
      <c r="B713" s="23" t="n"/>
      <c r="C713" s="23" t="n"/>
      <c r="D713" s="23" t="n"/>
      <c r="E713" s="23" t="n"/>
      <c r="F713" s="23" t="n"/>
      <c r="G713" s="23" t="n"/>
      <c r="H713" s="23" t="n"/>
      <c r="I713" s="23" t="n"/>
      <c r="J713" s="23" t="n"/>
      <c r="K713" s="24" t="n"/>
      <c r="L713" s="23" t="n"/>
      <c r="M713" s="23" t="n"/>
      <c r="N713" s="24" t="n"/>
      <c r="O713" s="23" t="n"/>
      <c r="P713" s="23" t="n"/>
    </row>
    <row r="714">
      <c r="A714" s="23" t="n"/>
      <c r="B714" s="23" t="n"/>
      <c r="C714" s="23" t="n"/>
      <c r="D714" s="23" t="n"/>
      <c r="E714" s="23" t="n"/>
      <c r="F714" s="23" t="n"/>
      <c r="G714" s="23" t="n"/>
      <c r="H714" s="23" t="n"/>
      <c r="I714" s="23" t="n"/>
      <c r="J714" s="23" t="n"/>
      <c r="K714" s="24" t="n"/>
      <c r="L714" s="23" t="n"/>
      <c r="M714" s="23" t="n"/>
      <c r="N714" s="24" t="n"/>
      <c r="O714" s="23" t="n"/>
      <c r="P714" s="23" t="n"/>
    </row>
    <row r="715">
      <c r="A715" s="23" t="n"/>
      <c r="B715" s="23" t="n"/>
      <c r="C715" s="23" t="n"/>
      <c r="D715" s="23" t="n"/>
      <c r="E715" s="23" t="n"/>
      <c r="F715" s="23" t="n"/>
      <c r="G715" s="23" t="n"/>
      <c r="H715" s="23" t="n"/>
      <c r="I715" s="23" t="n"/>
      <c r="J715" s="23" t="n"/>
      <c r="K715" s="24" t="n"/>
      <c r="L715" s="23" t="n"/>
      <c r="M715" s="23" t="n"/>
      <c r="N715" s="24" t="n"/>
      <c r="O715" s="23" t="n"/>
      <c r="P715" s="23" t="n"/>
    </row>
    <row r="716">
      <c r="A716" s="23" t="n"/>
      <c r="B716" s="23" t="n"/>
      <c r="C716" s="23" t="n"/>
      <c r="D716" s="23" t="n"/>
      <c r="E716" s="23" t="n"/>
      <c r="F716" s="23" t="n"/>
      <c r="G716" s="23" t="n"/>
      <c r="H716" s="23" t="n"/>
      <c r="I716" s="23" t="n"/>
      <c r="J716" s="23" t="n"/>
      <c r="K716" s="24" t="n"/>
      <c r="L716" s="23" t="n"/>
      <c r="M716" s="23" t="n"/>
      <c r="N716" s="24" t="n"/>
      <c r="O716" s="23" t="n"/>
      <c r="P716" s="23" t="n"/>
    </row>
    <row r="717">
      <c r="A717" s="23" t="n"/>
      <c r="B717" s="23" t="n"/>
      <c r="C717" s="23" t="n"/>
      <c r="D717" s="23" t="n"/>
      <c r="E717" s="23" t="n"/>
      <c r="F717" s="23" t="n"/>
      <c r="G717" s="23" t="n"/>
      <c r="H717" s="23" t="n"/>
      <c r="I717" s="23" t="n"/>
      <c r="J717" s="23" t="n"/>
      <c r="K717" s="24" t="n"/>
      <c r="L717" s="23" t="n"/>
      <c r="M717" s="23" t="n"/>
      <c r="N717" s="24" t="n"/>
      <c r="O717" s="23" t="n"/>
      <c r="P717" s="23" t="n"/>
    </row>
    <row r="718">
      <c r="A718" s="23" t="n"/>
      <c r="B718" s="23" t="n"/>
      <c r="C718" s="23" t="n"/>
      <c r="D718" s="23" t="n"/>
      <c r="E718" s="23" t="n"/>
      <c r="F718" s="23" t="n"/>
      <c r="G718" s="23" t="n"/>
      <c r="H718" s="23" t="n"/>
      <c r="I718" s="23" t="n"/>
      <c r="J718" s="23" t="n"/>
      <c r="K718" s="24" t="n"/>
      <c r="L718" s="23" t="n"/>
      <c r="M718" s="23" t="n"/>
      <c r="N718" s="24" t="n"/>
      <c r="O718" s="23" t="n"/>
      <c r="P718" s="23" t="n"/>
    </row>
    <row r="719">
      <c r="A719" s="23" t="n"/>
      <c r="B719" s="23" t="n"/>
      <c r="C719" s="23" t="n"/>
      <c r="D719" s="23" t="n"/>
      <c r="E719" s="23" t="n"/>
      <c r="F719" s="23" t="n"/>
      <c r="G719" s="23" t="n"/>
      <c r="H719" s="23" t="n"/>
      <c r="I719" s="23" t="n"/>
      <c r="J719" s="23" t="n"/>
      <c r="K719" s="24" t="n"/>
      <c r="L719" s="23" t="n"/>
      <c r="M719" s="23" t="n"/>
      <c r="N719" s="24" t="n"/>
      <c r="O719" s="23" t="n"/>
      <c r="P719" s="23" t="n"/>
    </row>
    <row r="720">
      <c r="A720" s="23" t="n"/>
      <c r="B720" s="23" t="n"/>
      <c r="C720" s="23" t="n"/>
      <c r="D720" s="23" t="n"/>
      <c r="E720" s="23" t="n"/>
      <c r="F720" s="23" t="n"/>
      <c r="G720" s="23" t="n"/>
      <c r="H720" s="23" t="n"/>
      <c r="I720" s="23" t="n"/>
      <c r="J720" s="23" t="n"/>
      <c r="K720" s="24" t="n"/>
      <c r="L720" s="23" t="n"/>
      <c r="M720" s="23" t="n"/>
      <c r="N720" s="24" t="n"/>
      <c r="O720" s="23" t="n"/>
      <c r="P720" s="23" t="n"/>
    </row>
    <row r="721">
      <c r="A721" s="23" t="n"/>
      <c r="B721" s="23" t="n"/>
      <c r="C721" s="23" t="n"/>
      <c r="D721" s="23" t="n"/>
      <c r="E721" s="23" t="n"/>
      <c r="F721" s="23" t="n"/>
      <c r="G721" s="23" t="n"/>
      <c r="H721" s="23" t="n"/>
      <c r="I721" s="23" t="n"/>
      <c r="J721" s="23" t="n"/>
      <c r="K721" s="24" t="n"/>
      <c r="L721" s="23" t="n"/>
      <c r="M721" s="23" t="n"/>
      <c r="N721" s="24" t="n"/>
      <c r="O721" s="23" t="n"/>
      <c r="P721" s="23" t="n"/>
    </row>
    <row r="722">
      <c r="A722" s="23" t="n"/>
      <c r="B722" s="23" t="n"/>
      <c r="C722" s="23" t="n"/>
      <c r="D722" s="23" t="n"/>
      <c r="E722" s="23" t="n"/>
      <c r="F722" s="23" t="n"/>
      <c r="G722" s="23" t="n"/>
      <c r="H722" s="23" t="n"/>
      <c r="I722" s="23" t="n"/>
      <c r="J722" s="23" t="n"/>
      <c r="K722" s="24" t="n"/>
      <c r="L722" s="23" t="n"/>
      <c r="M722" s="23" t="n"/>
      <c r="N722" s="24" t="n"/>
      <c r="O722" s="23" t="n"/>
      <c r="P722" s="23" t="n"/>
    </row>
    <row r="723">
      <c r="A723" s="23" t="n"/>
      <c r="B723" s="23" t="n"/>
      <c r="C723" s="23" t="n"/>
      <c r="D723" s="23" t="n"/>
      <c r="E723" s="23" t="n"/>
      <c r="F723" s="23" t="n"/>
      <c r="G723" s="23" t="n"/>
      <c r="H723" s="23" t="n"/>
      <c r="I723" s="23" t="n"/>
      <c r="J723" s="23" t="n"/>
      <c r="K723" s="24" t="n"/>
      <c r="L723" s="23" t="n"/>
      <c r="M723" s="23" t="n"/>
      <c r="N723" s="24" t="n"/>
      <c r="O723" s="23" t="n"/>
      <c r="P723" s="23" t="n"/>
    </row>
    <row r="724">
      <c r="A724" s="23" t="n"/>
      <c r="B724" s="23" t="n"/>
      <c r="C724" s="23" t="n"/>
      <c r="D724" s="23" t="n"/>
      <c r="E724" s="23" t="n"/>
      <c r="F724" s="23" t="n"/>
      <c r="G724" s="23" t="n"/>
      <c r="H724" s="23" t="n"/>
      <c r="I724" s="23" t="n"/>
      <c r="J724" s="23" t="n"/>
      <c r="K724" s="24" t="n"/>
      <c r="L724" s="23" t="n"/>
      <c r="M724" s="23" t="n"/>
      <c r="N724" s="24" t="n"/>
      <c r="O724" s="23" t="n"/>
      <c r="P724" s="23" t="n"/>
    </row>
    <row r="725">
      <c r="A725" s="23" t="n"/>
      <c r="B725" s="23" t="n"/>
      <c r="C725" s="23" t="n"/>
      <c r="D725" s="23" t="n"/>
      <c r="E725" s="23" t="n"/>
      <c r="F725" s="23" t="n"/>
      <c r="G725" s="23" t="n"/>
      <c r="H725" s="23" t="n"/>
      <c r="I725" s="23" t="n"/>
      <c r="J725" s="23" t="n"/>
      <c r="K725" s="24" t="n"/>
      <c r="L725" s="23" t="n"/>
      <c r="M725" s="23" t="n"/>
      <c r="N725" s="24" t="n"/>
      <c r="O725" s="23" t="n"/>
      <c r="P725" s="23" t="n"/>
    </row>
    <row r="726">
      <c r="A726" s="23" t="n"/>
      <c r="B726" s="23" t="n"/>
      <c r="C726" s="23" t="n"/>
      <c r="D726" s="23" t="n"/>
      <c r="E726" s="23" t="n"/>
      <c r="F726" s="23" t="n"/>
      <c r="G726" s="23" t="n"/>
      <c r="H726" s="23" t="n"/>
      <c r="I726" s="23" t="n"/>
      <c r="J726" s="23" t="n"/>
      <c r="K726" s="24" t="n"/>
      <c r="L726" s="23" t="n"/>
      <c r="M726" s="23" t="n"/>
      <c r="N726" s="24" t="n"/>
      <c r="O726" s="23" t="n"/>
      <c r="P726" s="23" t="n"/>
    </row>
    <row r="727">
      <c r="A727" s="23" t="n"/>
      <c r="B727" s="23" t="n"/>
      <c r="C727" s="23" t="n"/>
      <c r="D727" s="23" t="n"/>
      <c r="E727" s="23" t="n"/>
      <c r="F727" s="23" t="n"/>
      <c r="G727" s="23" t="n"/>
      <c r="H727" s="23" t="n"/>
      <c r="I727" s="23" t="n"/>
      <c r="J727" s="23" t="n"/>
      <c r="K727" s="24" t="n"/>
      <c r="L727" s="23" t="n"/>
      <c r="M727" s="23" t="n"/>
      <c r="N727" s="24" t="n"/>
      <c r="O727" s="23" t="n"/>
      <c r="P727" s="23" t="n"/>
    </row>
    <row r="728">
      <c r="A728" s="23" t="n"/>
      <c r="B728" s="23" t="n"/>
      <c r="C728" s="23" t="n"/>
      <c r="D728" s="23" t="n"/>
      <c r="E728" s="23" t="n"/>
      <c r="F728" s="23" t="n"/>
      <c r="G728" s="23" t="n"/>
      <c r="H728" s="23" t="n"/>
      <c r="I728" s="23" t="n"/>
      <c r="J728" s="23" t="n"/>
      <c r="K728" s="24" t="n"/>
      <c r="L728" s="23" t="n"/>
      <c r="M728" s="23" t="n"/>
      <c r="N728" s="24" t="n"/>
      <c r="O728" s="23" t="n"/>
      <c r="P728" s="23" t="n"/>
    </row>
    <row r="729">
      <c r="A729" s="23" t="n"/>
      <c r="B729" s="23" t="n"/>
      <c r="C729" s="23" t="n"/>
      <c r="D729" s="23" t="n"/>
      <c r="E729" s="23" t="n"/>
      <c r="F729" s="23" t="n"/>
      <c r="G729" s="23" t="n"/>
      <c r="H729" s="23" t="n"/>
      <c r="I729" s="23" t="n"/>
      <c r="J729" s="23" t="n"/>
      <c r="K729" s="24" t="n"/>
      <c r="L729" s="23" t="n"/>
      <c r="M729" s="23" t="n"/>
      <c r="N729" s="24" t="n"/>
      <c r="O729" s="23" t="n"/>
      <c r="P729" s="23" t="n"/>
    </row>
    <row r="730">
      <c r="A730" s="23" t="n"/>
      <c r="B730" s="23" t="n"/>
      <c r="C730" s="23" t="n"/>
      <c r="D730" s="23" t="n"/>
      <c r="E730" s="23" t="n"/>
      <c r="F730" s="23" t="n"/>
      <c r="G730" s="23" t="n"/>
      <c r="H730" s="23" t="n"/>
      <c r="I730" s="23" t="n"/>
      <c r="J730" s="23" t="n"/>
      <c r="K730" s="24" t="n"/>
      <c r="L730" s="23" t="n"/>
      <c r="M730" s="23" t="n"/>
      <c r="N730" s="24" t="n"/>
      <c r="O730" s="23" t="n"/>
      <c r="P730" s="23" t="n"/>
    </row>
    <row r="731">
      <c r="A731" s="23" t="n"/>
      <c r="B731" s="23" t="n"/>
      <c r="C731" s="23" t="n"/>
      <c r="D731" s="23" t="n"/>
      <c r="E731" s="23" t="n"/>
      <c r="F731" s="23" t="n"/>
      <c r="G731" s="23" t="n"/>
      <c r="H731" s="23" t="n"/>
      <c r="I731" s="23" t="n"/>
      <c r="J731" s="23" t="n"/>
      <c r="K731" s="24" t="n"/>
      <c r="L731" s="23" t="n"/>
      <c r="M731" s="23" t="n"/>
      <c r="N731" s="24" t="n"/>
      <c r="O731" s="23" t="n"/>
      <c r="P731" s="23" t="n"/>
    </row>
    <row r="732">
      <c r="A732" s="23" t="n"/>
      <c r="B732" s="23" t="n"/>
      <c r="C732" s="23" t="n"/>
      <c r="D732" s="23" t="n"/>
      <c r="E732" s="23" t="n"/>
      <c r="F732" s="23" t="n"/>
      <c r="G732" s="23" t="n"/>
      <c r="H732" s="23" t="n"/>
      <c r="I732" s="23" t="n"/>
      <c r="J732" s="23" t="n"/>
      <c r="K732" s="24" t="n"/>
      <c r="L732" s="23" t="n"/>
      <c r="M732" s="23" t="n"/>
      <c r="N732" s="24" t="n"/>
      <c r="O732" s="23" t="n"/>
      <c r="P732" s="23" t="n"/>
    </row>
    <row r="733">
      <c r="A733" s="23" t="n"/>
      <c r="B733" s="23" t="n"/>
      <c r="C733" s="23" t="n"/>
      <c r="D733" s="23" t="n"/>
      <c r="E733" s="23" t="n"/>
      <c r="F733" s="23" t="n"/>
      <c r="G733" s="23" t="n"/>
      <c r="H733" s="23" t="n"/>
      <c r="I733" s="23" t="n"/>
      <c r="J733" s="23" t="n"/>
      <c r="K733" s="24" t="n"/>
      <c r="L733" s="23" t="n"/>
      <c r="M733" s="23" t="n"/>
      <c r="N733" s="24" t="n"/>
      <c r="O733" s="23" t="n"/>
      <c r="P733" s="23" t="n"/>
    </row>
    <row r="734">
      <c r="A734" s="23" t="n"/>
      <c r="B734" s="23" t="n"/>
      <c r="C734" s="23" t="n"/>
      <c r="D734" s="23" t="n"/>
      <c r="E734" s="23" t="n"/>
      <c r="F734" s="23" t="n"/>
      <c r="G734" s="23" t="n"/>
      <c r="H734" s="23" t="n"/>
      <c r="I734" s="23" t="n"/>
      <c r="J734" s="23" t="n"/>
      <c r="K734" s="24" t="n"/>
      <c r="L734" s="23" t="n"/>
      <c r="M734" s="23" t="n"/>
      <c r="N734" s="24" t="n"/>
      <c r="O734" s="23" t="n"/>
      <c r="P734" s="23" t="n"/>
    </row>
    <row r="735">
      <c r="A735" s="23" t="n"/>
      <c r="B735" s="23" t="n"/>
      <c r="C735" s="23" t="n"/>
      <c r="D735" s="23" t="n"/>
      <c r="E735" s="23" t="n"/>
      <c r="F735" s="23" t="n"/>
      <c r="G735" s="23" t="n"/>
      <c r="H735" s="23" t="n"/>
      <c r="I735" s="23" t="n"/>
      <c r="J735" s="23" t="n"/>
      <c r="K735" s="24" t="n"/>
      <c r="L735" s="23" t="n"/>
      <c r="M735" s="23" t="n"/>
      <c r="N735" s="24" t="n"/>
      <c r="O735" s="23" t="n"/>
      <c r="P735" s="23" t="n"/>
    </row>
    <row r="736">
      <c r="A736" s="23" t="n"/>
      <c r="B736" s="23" t="n"/>
      <c r="C736" s="23" t="n"/>
      <c r="D736" s="23" t="n"/>
      <c r="E736" s="23" t="n"/>
      <c r="F736" s="23" t="n"/>
      <c r="G736" s="23" t="n"/>
      <c r="H736" s="23" t="n"/>
      <c r="I736" s="23" t="n"/>
      <c r="J736" s="23" t="n"/>
      <c r="K736" s="24" t="n"/>
      <c r="L736" s="23" t="n"/>
      <c r="M736" s="23" t="n"/>
      <c r="N736" s="24" t="n"/>
      <c r="O736" s="23" t="n"/>
      <c r="P736" s="23" t="n"/>
    </row>
    <row r="737">
      <c r="A737" s="23" t="n"/>
      <c r="B737" s="23" t="n"/>
      <c r="C737" s="23" t="n"/>
      <c r="D737" s="23" t="n"/>
      <c r="E737" s="23" t="n"/>
      <c r="F737" s="23" t="n"/>
      <c r="G737" s="23" t="n"/>
      <c r="H737" s="23" t="n"/>
      <c r="I737" s="23" t="n"/>
      <c r="J737" s="23" t="n"/>
      <c r="K737" s="24" t="n"/>
      <c r="L737" s="23" t="n"/>
      <c r="M737" s="23" t="n"/>
      <c r="N737" s="24" t="n"/>
      <c r="O737" s="23" t="n"/>
      <c r="P737" s="23" t="n"/>
    </row>
    <row r="738">
      <c r="A738" s="23" t="n"/>
      <c r="B738" s="23" t="n"/>
      <c r="C738" s="23" t="n"/>
      <c r="D738" s="23" t="n"/>
      <c r="E738" s="23" t="n"/>
      <c r="F738" s="23" t="n"/>
      <c r="G738" s="23" t="n"/>
      <c r="H738" s="23" t="n"/>
      <c r="I738" s="23" t="n"/>
      <c r="J738" s="23" t="n"/>
      <c r="K738" s="24" t="n"/>
      <c r="L738" s="23" t="n"/>
      <c r="M738" s="23" t="n"/>
      <c r="N738" s="24" t="n"/>
      <c r="O738" s="23" t="n"/>
      <c r="P738" s="23" t="n"/>
    </row>
    <row r="739">
      <c r="A739" s="23" t="n"/>
      <c r="B739" s="23" t="n"/>
      <c r="C739" s="23" t="n"/>
      <c r="D739" s="23" t="n"/>
      <c r="E739" s="23" t="n"/>
      <c r="F739" s="23" t="n"/>
      <c r="G739" s="23" t="n"/>
      <c r="H739" s="23" t="n"/>
      <c r="I739" s="23" t="n"/>
      <c r="J739" s="23" t="n"/>
      <c r="K739" s="24" t="n"/>
      <c r="L739" s="23" t="n"/>
      <c r="M739" s="23" t="n"/>
      <c r="N739" s="24" t="n"/>
      <c r="O739" s="23" t="n"/>
      <c r="P739" s="23" t="n"/>
    </row>
    <row r="740">
      <c r="A740" s="23" t="n"/>
      <c r="B740" s="23" t="n"/>
      <c r="C740" s="23" t="n"/>
      <c r="D740" s="23" t="n"/>
      <c r="E740" s="23" t="n"/>
      <c r="F740" s="23" t="n"/>
      <c r="G740" s="23" t="n"/>
      <c r="H740" s="23" t="n"/>
      <c r="I740" s="23" t="n"/>
      <c r="J740" s="23" t="n"/>
      <c r="K740" s="24" t="n"/>
      <c r="L740" s="23" t="n"/>
      <c r="M740" s="23" t="n"/>
      <c r="N740" s="24" t="n"/>
      <c r="O740" s="23" t="n"/>
      <c r="P740" s="23" t="n"/>
    </row>
    <row r="741">
      <c r="A741" s="23" t="n"/>
      <c r="B741" s="23" t="n"/>
      <c r="C741" s="23" t="n"/>
      <c r="D741" s="23" t="n"/>
      <c r="E741" s="23" t="n"/>
      <c r="F741" s="23" t="n"/>
      <c r="G741" s="23" t="n"/>
      <c r="H741" s="23" t="n"/>
      <c r="I741" s="23" t="n"/>
      <c r="J741" s="23" t="n"/>
      <c r="K741" s="24" t="n"/>
      <c r="L741" s="23" t="n"/>
      <c r="M741" s="23" t="n"/>
      <c r="N741" s="24" t="n"/>
      <c r="O741" s="23" t="n"/>
      <c r="P741" s="23" t="n"/>
    </row>
    <row r="742">
      <c r="A742" s="23" t="n"/>
      <c r="B742" s="23" t="n"/>
      <c r="C742" s="23" t="n"/>
      <c r="D742" s="23" t="n"/>
      <c r="E742" s="23" t="n"/>
      <c r="F742" s="23" t="n"/>
      <c r="G742" s="23" t="n"/>
      <c r="H742" s="23" t="n"/>
      <c r="I742" s="23" t="n"/>
      <c r="J742" s="23" t="n"/>
      <c r="K742" s="24" t="n"/>
      <c r="L742" s="23" t="n"/>
      <c r="M742" s="23" t="n"/>
      <c r="N742" s="24" t="n"/>
      <c r="O742" s="23" t="n"/>
      <c r="P742" s="23" t="n"/>
    </row>
    <row r="743">
      <c r="A743" s="23" t="n"/>
      <c r="B743" s="23" t="n"/>
      <c r="C743" s="23" t="n"/>
      <c r="D743" s="23" t="n"/>
      <c r="E743" s="23" t="n"/>
      <c r="F743" s="23" t="n"/>
      <c r="G743" s="23" t="n"/>
      <c r="H743" s="23" t="n"/>
      <c r="I743" s="23" t="n"/>
      <c r="J743" s="23" t="n"/>
      <c r="K743" s="24" t="n"/>
      <c r="L743" s="23" t="n"/>
      <c r="M743" s="23" t="n"/>
      <c r="N743" s="24" t="n"/>
      <c r="O743" s="23" t="n"/>
      <c r="P743" s="23" t="n"/>
    </row>
    <row r="744">
      <c r="A744" s="23" t="n"/>
      <c r="B744" s="23" t="n"/>
      <c r="C744" s="23" t="n"/>
      <c r="D744" s="23" t="n"/>
      <c r="E744" s="23" t="n"/>
      <c r="F744" s="23" t="n"/>
      <c r="G744" s="23" t="n"/>
      <c r="H744" s="23" t="n"/>
      <c r="I744" s="23" t="n"/>
      <c r="J744" s="23" t="n"/>
      <c r="K744" s="24" t="n"/>
      <c r="L744" s="23" t="n"/>
      <c r="M744" s="23" t="n"/>
      <c r="N744" s="24" t="n"/>
      <c r="O744" s="23" t="n"/>
      <c r="P744" s="23" t="n"/>
    </row>
    <row r="745">
      <c r="A745" s="23" t="n"/>
      <c r="B745" s="23" t="n"/>
      <c r="C745" s="23" t="n"/>
      <c r="D745" s="23" t="n"/>
      <c r="E745" s="23" t="n"/>
      <c r="F745" s="23" t="n"/>
      <c r="G745" s="23" t="n"/>
      <c r="H745" s="23" t="n"/>
      <c r="I745" s="23" t="n"/>
      <c r="J745" s="23" t="n"/>
      <c r="K745" s="24" t="n"/>
      <c r="L745" s="23" t="n"/>
      <c r="M745" s="23" t="n"/>
      <c r="N745" s="24" t="n"/>
      <c r="O745" s="23" t="n"/>
      <c r="P745" s="23" t="n"/>
    </row>
    <row r="746">
      <c r="A746" s="23" t="n"/>
      <c r="B746" s="23" t="n"/>
      <c r="C746" s="23" t="n"/>
      <c r="D746" s="23" t="n"/>
      <c r="E746" s="23" t="n"/>
      <c r="F746" s="23" t="n"/>
      <c r="G746" s="23" t="n"/>
      <c r="H746" s="23" t="n"/>
      <c r="I746" s="23" t="n"/>
      <c r="J746" s="23" t="n"/>
      <c r="K746" s="24" t="n"/>
      <c r="L746" s="23" t="n"/>
      <c r="M746" s="23" t="n"/>
      <c r="N746" s="24" t="n"/>
      <c r="O746" s="23" t="n"/>
      <c r="P746" s="23" t="n"/>
    </row>
    <row r="747">
      <c r="A747" s="23" t="n"/>
      <c r="B747" s="23" t="n"/>
      <c r="C747" s="23" t="n"/>
      <c r="D747" s="23" t="n"/>
      <c r="E747" s="23" t="n"/>
      <c r="F747" s="23" t="n"/>
      <c r="G747" s="23" t="n"/>
      <c r="H747" s="23" t="n"/>
      <c r="I747" s="23" t="n"/>
      <c r="J747" s="23" t="n"/>
      <c r="K747" s="24" t="n"/>
      <c r="L747" s="23" t="n"/>
      <c r="M747" s="23" t="n"/>
      <c r="N747" s="24" t="n"/>
      <c r="O747" s="23" t="n"/>
      <c r="P747" s="23" t="n"/>
    </row>
    <row r="748">
      <c r="A748" s="23" t="n"/>
      <c r="B748" s="23" t="n"/>
      <c r="C748" s="23" t="n"/>
      <c r="D748" s="23" t="n"/>
      <c r="E748" s="23" t="n"/>
      <c r="F748" s="23" t="n"/>
      <c r="G748" s="23" t="n"/>
      <c r="H748" s="23" t="n"/>
      <c r="I748" s="23" t="n"/>
      <c r="J748" s="23" t="n"/>
      <c r="K748" s="24" t="n"/>
      <c r="L748" s="23" t="n"/>
      <c r="M748" s="23" t="n"/>
      <c r="N748" s="24" t="n"/>
      <c r="O748" s="23" t="n"/>
      <c r="P748" s="23" t="n"/>
    </row>
    <row r="749">
      <c r="A749" s="23" t="n"/>
      <c r="B749" s="23" t="n"/>
      <c r="C749" s="23" t="n"/>
      <c r="D749" s="23" t="n"/>
      <c r="E749" s="23" t="n"/>
      <c r="F749" s="23" t="n"/>
      <c r="G749" s="23" t="n"/>
      <c r="H749" s="23" t="n"/>
      <c r="I749" s="23" t="n"/>
      <c r="J749" s="23" t="n"/>
      <c r="K749" s="24" t="n"/>
      <c r="L749" s="23" t="n"/>
      <c r="M749" s="23" t="n"/>
      <c r="N749" s="24" t="n"/>
      <c r="O749" s="23" t="n"/>
      <c r="P749" s="23" t="n"/>
    </row>
    <row r="750">
      <c r="A750" s="23" t="n"/>
      <c r="B750" s="23" t="n"/>
      <c r="C750" s="23" t="n"/>
      <c r="D750" s="23" t="n"/>
      <c r="E750" s="23" t="n"/>
      <c r="F750" s="23" t="n"/>
      <c r="G750" s="23" t="n"/>
      <c r="H750" s="23" t="n"/>
      <c r="I750" s="23" t="n"/>
      <c r="J750" s="23" t="n"/>
      <c r="K750" s="24" t="n"/>
      <c r="L750" s="23" t="n"/>
      <c r="M750" s="23" t="n"/>
      <c r="N750" s="24" t="n"/>
      <c r="O750" s="23" t="n"/>
      <c r="P750" s="23" t="n"/>
    </row>
    <row r="751">
      <c r="A751" s="23" t="n"/>
      <c r="B751" s="23" t="n"/>
      <c r="C751" s="23" t="n"/>
      <c r="D751" s="23" t="n"/>
      <c r="E751" s="23" t="n"/>
      <c r="F751" s="23" t="n"/>
      <c r="G751" s="23" t="n"/>
      <c r="H751" s="23" t="n"/>
      <c r="I751" s="23" t="n"/>
      <c r="J751" s="23" t="n"/>
      <c r="K751" s="24" t="n"/>
      <c r="L751" s="23" t="n"/>
      <c r="M751" s="23" t="n"/>
      <c r="N751" s="24" t="n"/>
      <c r="O751" s="23" t="n"/>
      <c r="P751" s="23" t="n"/>
    </row>
    <row r="752">
      <c r="A752" s="23" t="n"/>
      <c r="B752" s="23" t="n"/>
      <c r="C752" s="23" t="n"/>
      <c r="D752" s="23" t="n"/>
      <c r="E752" s="23" t="n"/>
      <c r="F752" s="23" t="n"/>
      <c r="G752" s="23" t="n"/>
      <c r="H752" s="23" t="n"/>
      <c r="I752" s="23" t="n"/>
      <c r="J752" s="23" t="n"/>
      <c r="K752" s="24" t="n"/>
      <c r="L752" s="23" t="n"/>
      <c r="M752" s="23" t="n"/>
      <c r="N752" s="24" t="n"/>
      <c r="O752" s="23" t="n"/>
      <c r="P752" s="23" t="n"/>
    </row>
    <row r="753">
      <c r="A753" s="23" t="n"/>
      <c r="B753" s="23" t="n"/>
      <c r="C753" s="23" t="n"/>
      <c r="D753" s="23" t="n"/>
      <c r="E753" s="23" t="n"/>
      <c r="F753" s="23" t="n"/>
      <c r="G753" s="23" t="n"/>
      <c r="H753" s="23" t="n"/>
      <c r="I753" s="23" t="n"/>
      <c r="J753" s="23" t="n"/>
      <c r="K753" s="24" t="n"/>
      <c r="L753" s="23" t="n"/>
      <c r="M753" s="23" t="n"/>
      <c r="N753" s="24" t="n"/>
      <c r="O753" s="23" t="n"/>
      <c r="P753" s="23" t="n"/>
    </row>
    <row r="754">
      <c r="A754" s="23" t="n"/>
      <c r="B754" s="23" t="n"/>
      <c r="C754" s="23" t="n"/>
      <c r="D754" s="23" t="n"/>
      <c r="E754" s="23" t="n"/>
      <c r="F754" s="23" t="n"/>
      <c r="G754" s="23" t="n"/>
      <c r="H754" s="23" t="n"/>
      <c r="I754" s="23" t="n"/>
      <c r="J754" s="23" t="n"/>
      <c r="K754" s="24" t="n"/>
      <c r="L754" s="23" t="n"/>
      <c r="M754" s="23" t="n"/>
      <c r="N754" s="24" t="n"/>
      <c r="O754" s="23" t="n"/>
      <c r="P754" s="23" t="n"/>
    </row>
    <row r="755">
      <c r="A755" s="23" t="n"/>
      <c r="B755" s="23" t="n"/>
      <c r="C755" s="23" t="n"/>
      <c r="D755" s="23" t="n"/>
      <c r="E755" s="23" t="n"/>
      <c r="F755" s="23" t="n"/>
      <c r="G755" s="23" t="n"/>
      <c r="H755" s="23" t="n"/>
      <c r="I755" s="23" t="n"/>
      <c r="J755" s="23" t="n"/>
      <c r="K755" s="24" t="n"/>
      <c r="L755" s="23" t="n"/>
      <c r="M755" s="23" t="n"/>
      <c r="N755" s="24" t="n"/>
      <c r="O755" s="23" t="n"/>
      <c r="P755" s="23" t="n"/>
    </row>
    <row r="756">
      <c r="A756" s="23" t="n"/>
      <c r="B756" s="23" t="n"/>
      <c r="C756" s="23" t="n"/>
      <c r="D756" s="23" t="n"/>
      <c r="E756" s="23" t="n"/>
      <c r="F756" s="23" t="n"/>
      <c r="G756" s="23" t="n"/>
      <c r="H756" s="23" t="n"/>
      <c r="I756" s="23" t="n"/>
      <c r="J756" s="23" t="n"/>
      <c r="K756" s="24" t="n"/>
      <c r="L756" s="23" t="n"/>
      <c r="M756" s="23" t="n"/>
      <c r="N756" s="24" t="n"/>
      <c r="O756" s="23" t="n"/>
      <c r="P756" s="23" t="n"/>
    </row>
    <row r="757">
      <c r="A757" s="23" t="n"/>
      <c r="B757" s="23" t="n"/>
      <c r="C757" s="23" t="n"/>
      <c r="D757" s="23" t="n"/>
      <c r="E757" s="23" t="n"/>
      <c r="F757" s="23" t="n"/>
      <c r="G757" s="23" t="n"/>
      <c r="H757" s="23" t="n"/>
      <c r="I757" s="23" t="n"/>
      <c r="J757" s="23" t="n"/>
      <c r="K757" s="24" t="n"/>
      <c r="L757" s="23" t="n"/>
      <c r="M757" s="23" t="n"/>
      <c r="N757" s="24" t="n"/>
      <c r="O757" s="23" t="n"/>
      <c r="P757" s="23" t="n"/>
    </row>
    <row r="758">
      <c r="A758" s="23" t="n"/>
      <c r="B758" s="23" t="n"/>
      <c r="C758" s="23" t="n"/>
      <c r="D758" s="23" t="n"/>
      <c r="E758" s="23" t="n"/>
      <c r="F758" s="23" t="n"/>
      <c r="G758" s="23" t="n"/>
      <c r="H758" s="23" t="n"/>
      <c r="I758" s="23" t="n"/>
      <c r="J758" s="23" t="n"/>
      <c r="K758" s="24" t="n"/>
      <c r="L758" s="23" t="n"/>
      <c r="M758" s="23" t="n"/>
      <c r="N758" s="24" t="n"/>
      <c r="O758" s="23" t="n"/>
      <c r="P758" s="23" t="n"/>
    </row>
    <row r="759">
      <c r="A759" s="23" t="n"/>
      <c r="B759" s="23" t="n"/>
      <c r="C759" s="23" t="n"/>
      <c r="D759" s="23" t="n"/>
      <c r="E759" s="23" t="n"/>
      <c r="F759" s="23" t="n"/>
      <c r="G759" s="23" t="n"/>
      <c r="H759" s="23" t="n"/>
      <c r="I759" s="23" t="n"/>
      <c r="J759" s="23" t="n"/>
      <c r="K759" s="24" t="n"/>
      <c r="L759" s="23" t="n"/>
      <c r="M759" s="23" t="n"/>
      <c r="N759" s="24" t="n"/>
      <c r="O759" s="23" t="n"/>
      <c r="P759" s="23" t="n"/>
    </row>
    <row r="760">
      <c r="A760" s="23" t="n"/>
      <c r="B760" s="23" t="n"/>
      <c r="C760" s="23" t="n"/>
      <c r="D760" s="23" t="n"/>
      <c r="E760" s="23" t="n"/>
      <c r="F760" s="23" t="n"/>
      <c r="G760" s="23" t="n"/>
      <c r="H760" s="23" t="n"/>
      <c r="I760" s="23" t="n"/>
      <c r="J760" s="23" t="n"/>
      <c r="K760" s="24" t="n"/>
      <c r="L760" s="23" t="n"/>
      <c r="M760" s="23" t="n"/>
      <c r="N760" s="24" t="n"/>
      <c r="O760" s="23" t="n"/>
      <c r="P760" s="23" t="n"/>
    </row>
    <row r="761">
      <c r="A761" s="23" t="n"/>
      <c r="B761" s="23" t="n"/>
      <c r="C761" s="23" t="n"/>
      <c r="D761" s="23" t="n"/>
      <c r="E761" s="23" t="n"/>
      <c r="F761" s="23" t="n"/>
      <c r="G761" s="23" t="n"/>
      <c r="H761" s="23" t="n"/>
      <c r="I761" s="23" t="n"/>
      <c r="J761" s="23" t="n"/>
      <c r="K761" s="24" t="n"/>
      <c r="L761" s="23" t="n"/>
      <c r="M761" s="23" t="n"/>
      <c r="N761" s="24" t="n"/>
      <c r="O761" s="23" t="n"/>
      <c r="P761" s="23" t="n"/>
    </row>
    <row r="762">
      <c r="A762" s="23" t="n"/>
      <c r="B762" s="23" t="n"/>
      <c r="C762" s="23" t="n"/>
      <c r="D762" s="23" t="n"/>
      <c r="E762" s="23" t="n"/>
      <c r="F762" s="23" t="n"/>
      <c r="G762" s="23" t="n"/>
      <c r="H762" s="23" t="n"/>
      <c r="I762" s="23" t="n"/>
      <c r="J762" s="23" t="n"/>
      <c r="K762" s="24" t="n"/>
      <c r="L762" s="23" t="n"/>
      <c r="M762" s="23" t="n"/>
      <c r="N762" s="24" t="n"/>
      <c r="O762" s="23" t="n"/>
      <c r="P762" s="23" t="n"/>
    </row>
    <row r="763">
      <c r="A763" s="23" t="n"/>
      <c r="B763" s="23" t="n"/>
      <c r="C763" s="23" t="n"/>
      <c r="D763" s="23" t="n"/>
      <c r="E763" s="23" t="n"/>
      <c r="F763" s="23" t="n"/>
      <c r="G763" s="23" t="n"/>
      <c r="H763" s="23" t="n"/>
      <c r="I763" s="23" t="n"/>
      <c r="J763" s="23" t="n"/>
      <c r="K763" s="24" t="n"/>
      <c r="L763" s="23" t="n"/>
      <c r="M763" s="23" t="n"/>
      <c r="N763" s="24" t="n"/>
      <c r="O763" s="23" t="n"/>
      <c r="P763" s="23" t="n"/>
    </row>
    <row r="764">
      <c r="A764" s="23" t="n"/>
      <c r="B764" s="23" t="n"/>
      <c r="C764" s="23" t="n"/>
      <c r="D764" s="23" t="n"/>
      <c r="E764" s="23" t="n"/>
      <c r="F764" s="23" t="n"/>
      <c r="G764" s="23" t="n"/>
      <c r="H764" s="23" t="n"/>
      <c r="I764" s="23" t="n"/>
      <c r="J764" s="23" t="n"/>
      <c r="K764" s="24" t="n"/>
      <c r="L764" s="23" t="n"/>
      <c r="M764" s="23" t="n"/>
      <c r="N764" s="24" t="n"/>
      <c r="O764" s="23" t="n"/>
      <c r="P764" s="23" t="n"/>
    </row>
    <row r="765">
      <c r="A765" s="23" t="n"/>
      <c r="B765" s="23" t="n"/>
      <c r="C765" s="23" t="n"/>
      <c r="D765" s="23" t="n"/>
      <c r="E765" s="23" t="n"/>
      <c r="F765" s="23" t="n"/>
      <c r="G765" s="23" t="n"/>
      <c r="H765" s="23" t="n"/>
      <c r="I765" s="23" t="n"/>
      <c r="J765" s="23" t="n"/>
      <c r="K765" s="24" t="n"/>
      <c r="L765" s="23" t="n"/>
      <c r="M765" s="23" t="n"/>
      <c r="N765" s="24" t="n"/>
      <c r="O765" s="23" t="n"/>
      <c r="P765" s="23" t="n"/>
    </row>
    <row r="766">
      <c r="A766" s="23" t="n"/>
      <c r="B766" s="23" t="n"/>
      <c r="C766" s="23" t="n"/>
      <c r="D766" s="23" t="n"/>
      <c r="E766" s="23" t="n"/>
      <c r="F766" s="23" t="n"/>
      <c r="G766" s="23" t="n"/>
      <c r="H766" s="23" t="n"/>
      <c r="I766" s="23" t="n"/>
      <c r="J766" s="23" t="n"/>
      <c r="K766" s="24" t="n"/>
      <c r="L766" s="23" t="n"/>
      <c r="M766" s="23" t="n"/>
      <c r="N766" s="24" t="n"/>
      <c r="O766" s="23" t="n"/>
      <c r="P766" s="23" t="n"/>
    </row>
    <row r="767">
      <c r="A767" s="23" t="n"/>
      <c r="B767" s="23" t="n"/>
      <c r="C767" s="23" t="n"/>
      <c r="D767" s="23" t="n"/>
      <c r="E767" s="23" t="n"/>
      <c r="F767" s="23" t="n"/>
      <c r="G767" s="23" t="n"/>
      <c r="H767" s="23" t="n"/>
      <c r="I767" s="23" t="n"/>
      <c r="J767" s="23" t="n"/>
      <c r="K767" s="24" t="n"/>
      <c r="L767" s="23" t="n"/>
      <c r="M767" s="23" t="n"/>
      <c r="N767" s="24" t="n"/>
      <c r="O767" s="23" t="n"/>
      <c r="P767" s="23" t="n"/>
    </row>
    <row r="768">
      <c r="A768" s="23" t="n"/>
      <c r="B768" s="23" t="n"/>
      <c r="C768" s="23" t="n"/>
      <c r="D768" s="23" t="n"/>
      <c r="E768" s="23" t="n"/>
      <c r="F768" s="23" t="n"/>
      <c r="G768" s="23" t="n"/>
      <c r="H768" s="23" t="n"/>
      <c r="I768" s="23" t="n"/>
      <c r="J768" s="23" t="n"/>
      <c r="K768" s="24" t="n"/>
      <c r="L768" s="23" t="n"/>
      <c r="M768" s="23" t="n"/>
      <c r="N768" s="24" t="n"/>
      <c r="O768" s="23" t="n"/>
      <c r="P768" s="23" t="n"/>
    </row>
    <row r="769">
      <c r="A769" s="23" t="n"/>
      <c r="B769" s="23" t="n"/>
      <c r="C769" s="23" t="n"/>
      <c r="D769" s="23" t="n"/>
      <c r="E769" s="23" t="n"/>
      <c r="F769" s="23" t="n"/>
      <c r="G769" s="23" t="n"/>
      <c r="H769" s="23" t="n"/>
      <c r="I769" s="23" t="n"/>
      <c r="J769" s="23" t="n"/>
      <c r="K769" s="24" t="n"/>
      <c r="L769" s="23" t="n"/>
      <c r="M769" s="23" t="n"/>
      <c r="N769" s="24" t="n"/>
      <c r="O769" s="23" t="n"/>
      <c r="P769" s="23" t="n"/>
    </row>
    <row r="770">
      <c r="A770" s="23" t="n"/>
      <c r="B770" s="23" t="n"/>
      <c r="C770" s="23" t="n"/>
      <c r="D770" s="23" t="n"/>
      <c r="E770" s="23" t="n"/>
      <c r="F770" s="23" t="n"/>
      <c r="G770" s="23" t="n"/>
      <c r="H770" s="23" t="n"/>
      <c r="I770" s="23" t="n"/>
      <c r="J770" s="23" t="n"/>
      <c r="K770" s="24" t="n"/>
      <c r="L770" s="23" t="n"/>
      <c r="M770" s="23" t="n"/>
      <c r="N770" s="24" t="n"/>
      <c r="O770" s="23" t="n"/>
      <c r="P770" s="23" t="n"/>
    </row>
    <row r="771">
      <c r="A771" s="23" t="n"/>
      <c r="B771" s="23" t="n"/>
      <c r="C771" s="23" t="n"/>
      <c r="D771" s="23" t="n"/>
      <c r="E771" s="23" t="n"/>
      <c r="F771" s="23" t="n"/>
      <c r="G771" s="23" t="n"/>
      <c r="H771" s="23" t="n"/>
      <c r="I771" s="23" t="n"/>
      <c r="J771" s="23" t="n"/>
      <c r="K771" s="24" t="n"/>
      <c r="L771" s="23" t="n"/>
      <c r="M771" s="23" t="n"/>
      <c r="N771" s="24" t="n"/>
      <c r="O771" s="23" t="n"/>
      <c r="P771" s="23" t="n"/>
    </row>
    <row r="772">
      <c r="A772" s="23" t="n"/>
      <c r="B772" s="23" t="n"/>
      <c r="C772" s="23" t="n"/>
      <c r="D772" s="23" t="n"/>
      <c r="E772" s="23" t="n"/>
      <c r="F772" s="23" t="n"/>
      <c r="G772" s="23" t="n"/>
      <c r="H772" s="23" t="n"/>
      <c r="I772" s="23" t="n"/>
      <c r="J772" s="23" t="n"/>
      <c r="K772" s="24" t="n"/>
      <c r="L772" s="23" t="n"/>
      <c r="M772" s="23" t="n"/>
      <c r="N772" s="24" t="n"/>
      <c r="O772" s="23" t="n"/>
      <c r="P772" s="23" t="n"/>
    </row>
    <row r="773">
      <c r="A773" s="23" t="n"/>
      <c r="B773" s="23" t="n"/>
      <c r="C773" s="23" t="n"/>
      <c r="D773" s="23" t="n"/>
      <c r="E773" s="23" t="n"/>
      <c r="F773" s="23" t="n"/>
      <c r="G773" s="23" t="n"/>
      <c r="H773" s="23" t="n"/>
      <c r="I773" s="23" t="n"/>
      <c r="J773" s="23" t="n"/>
      <c r="K773" s="24" t="n"/>
      <c r="L773" s="23" t="n"/>
      <c r="M773" s="23" t="n"/>
      <c r="N773" s="24" t="n"/>
      <c r="O773" s="23" t="n"/>
      <c r="P773" s="23" t="n"/>
    </row>
    <row r="774">
      <c r="A774" s="23" t="n"/>
      <c r="B774" s="23" t="n"/>
      <c r="C774" s="23" t="n"/>
      <c r="D774" s="23" t="n"/>
      <c r="E774" s="23" t="n"/>
      <c r="F774" s="23" t="n"/>
      <c r="G774" s="23" t="n"/>
      <c r="H774" s="23" t="n"/>
      <c r="I774" s="23" t="n"/>
      <c r="J774" s="23" t="n"/>
      <c r="K774" s="24" t="n"/>
      <c r="L774" s="23" t="n"/>
      <c r="M774" s="23" t="n"/>
      <c r="N774" s="24" t="n"/>
      <c r="O774" s="23" t="n"/>
      <c r="P774" s="23" t="n"/>
    </row>
    <row r="775">
      <c r="A775" s="23" t="n"/>
      <c r="B775" s="23" t="n"/>
      <c r="C775" s="23" t="n"/>
      <c r="D775" s="23" t="n"/>
      <c r="E775" s="23" t="n"/>
      <c r="F775" s="23" t="n"/>
      <c r="G775" s="23" t="n"/>
      <c r="H775" s="23" t="n"/>
      <c r="I775" s="23" t="n"/>
      <c r="J775" s="23" t="n"/>
      <c r="K775" s="24" t="n"/>
      <c r="L775" s="23" t="n"/>
      <c r="M775" s="23" t="n"/>
      <c r="N775" s="24" t="n"/>
      <c r="O775" s="23" t="n"/>
      <c r="P775" s="23" t="n"/>
    </row>
    <row r="776">
      <c r="A776" s="23" t="n"/>
      <c r="B776" s="23" t="n"/>
      <c r="C776" s="23" t="n"/>
      <c r="D776" s="23" t="n"/>
      <c r="E776" s="23" t="n"/>
      <c r="F776" s="23" t="n"/>
      <c r="G776" s="23" t="n"/>
      <c r="H776" s="23" t="n"/>
      <c r="I776" s="23" t="n"/>
      <c r="J776" s="23" t="n"/>
      <c r="K776" s="24" t="n"/>
      <c r="L776" s="23" t="n"/>
      <c r="M776" s="23" t="n"/>
      <c r="N776" s="24" t="n"/>
      <c r="O776" s="23" t="n"/>
      <c r="P776" s="23" t="n"/>
    </row>
    <row r="777">
      <c r="A777" s="23" t="n"/>
      <c r="B777" s="23" t="n"/>
      <c r="C777" s="23" t="n"/>
      <c r="D777" s="23" t="n"/>
      <c r="E777" s="23" t="n"/>
      <c r="F777" s="23" t="n"/>
      <c r="G777" s="23" t="n"/>
      <c r="H777" s="23" t="n"/>
      <c r="I777" s="23" t="n"/>
      <c r="J777" s="23" t="n"/>
      <c r="K777" s="24" t="n"/>
      <c r="L777" s="23" t="n"/>
      <c r="M777" s="23" t="n"/>
      <c r="N777" s="24" t="n"/>
      <c r="O777" s="23" t="n"/>
      <c r="P777" s="23" t="n"/>
    </row>
    <row r="778">
      <c r="A778" s="23" t="n"/>
      <c r="B778" s="23" t="n"/>
      <c r="C778" s="23" t="n"/>
      <c r="D778" s="23" t="n"/>
      <c r="E778" s="23" t="n"/>
      <c r="F778" s="23" t="n"/>
      <c r="G778" s="23" t="n"/>
      <c r="H778" s="23" t="n"/>
      <c r="I778" s="23" t="n"/>
      <c r="J778" s="23" t="n"/>
      <c r="K778" s="24" t="n"/>
      <c r="L778" s="23" t="n"/>
      <c r="M778" s="23" t="n"/>
      <c r="N778" s="24" t="n"/>
      <c r="O778" s="23" t="n"/>
      <c r="P778" s="23" t="n"/>
    </row>
    <row r="779">
      <c r="A779" s="23" t="n"/>
      <c r="B779" s="23" t="n"/>
      <c r="C779" s="23" t="n"/>
      <c r="D779" s="23" t="n"/>
      <c r="E779" s="23" t="n"/>
      <c r="F779" s="23" t="n"/>
      <c r="G779" s="23" t="n"/>
      <c r="H779" s="23" t="n"/>
      <c r="I779" s="23" t="n"/>
      <c r="J779" s="23" t="n"/>
      <c r="K779" s="24" t="n"/>
      <c r="L779" s="23" t="n"/>
      <c r="M779" s="23" t="n"/>
      <c r="N779" s="24" t="n"/>
      <c r="O779" s="23" t="n"/>
      <c r="P779" s="23" t="n"/>
    </row>
    <row r="780">
      <c r="A780" s="23" t="n"/>
      <c r="B780" s="23" t="n"/>
      <c r="C780" s="23" t="n"/>
      <c r="D780" s="23" t="n"/>
      <c r="E780" s="23" t="n"/>
      <c r="F780" s="23" t="n"/>
      <c r="G780" s="23" t="n"/>
      <c r="H780" s="23" t="n"/>
      <c r="I780" s="23" t="n"/>
      <c r="J780" s="23" t="n"/>
      <c r="K780" s="24" t="n"/>
      <c r="L780" s="23" t="n"/>
      <c r="M780" s="23" t="n"/>
      <c r="N780" s="24" t="n"/>
      <c r="O780" s="23" t="n"/>
      <c r="P780" s="23" t="n"/>
    </row>
    <row r="781">
      <c r="A781" s="23" t="n"/>
      <c r="B781" s="23" t="n"/>
      <c r="C781" s="23" t="n"/>
      <c r="D781" s="23" t="n"/>
      <c r="E781" s="23" t="n"/>
      <c r="F781" s="23" t="n"/>
      <c r="G781" s="23" t="n"/>
      <c r="H781" s="23" t="n"/>
      <c r="I781" s="23" t="n"/>
      <c r="J781" s="23" t="n"/>
      <c r="K781" s="24" t="n"/>
      <c r="L781" s="23" t="n"/>
      <c r="M781" s="23" t="n"/>
      <c r="N781" s="24" t="n"/>
      <c r="O781" s="23" t="n"/>
      <c r="P781" s="23" t="n"/>
    </row>
    <row r="782">
      <c r="A782" s="23" t="n"/>
      <c r="B782" s="23" t="n"/>
      <c r="C782" s="23" t="n"/>
      <c r="D782" s="23" t="n"/>
      <c r="E782" s="23" t="n"/>
      <c r="F782" s="23" t="n"/>
      <c r="G782" s="23" t="n"/>
      <c r="H782" s="23" t="n"/>
      <c r="I782" s="23" t="n"/>
      <c r="J782" s="23" t="n"/>
      <c r="K782" s="24" t="n"/>
      <c r="L782" s="23" t="n"/>
      <c r="M782" s="23" t="n"/>
      <c r="N782" s="24" t="n"/>
      <c r="O782" s="23" t="n"/>
      <c r="P782" s="23" t="n"/>
    </row>
    <row r="783">
      <c r="A783" s="23" t="n"/>
      <c r="B783" s="23" t="n"/>
      <c r="C783" s="23" t="n"/>
      <c r="D783" s="23" t="n"/>
      <c r="E783" s="23" t="n"/>
      <c r="F783" s="23" t="n"/>
      <c r="G783" s="23" t="n"/>
      <c r="H783" s="23" t="n"/>
      <c r="I783" s="23" t="n"/>
      <c r="J783" s="23" t="n"/>
      <c r="K783" s="24" t="n"/>
      <c r="L783" s="23" t="n"/>
      <c r="M783" s="23" t="n"/>
      <c r="N783" s="24" t="n"/>
      <c r="O783" s="23" t="n"/>
      <c r="P783" s="23" t="n"/>
    </row>
    <row r="784">
      <c r="A784" s="23" t="n"/>
      <c r="B784" s="23" t="n"/>
      <c r="C784" s="23" t="n"/>
      <c r="D784" s="23" t="n"/>
      <c r="E784" s="23" t="n"/>
      <c r="F784" s="23" t="n"/>
      <c r="G784" s="23" t="n"/>
      <c r="H784" s="23" t="n"/>
      <c r="I784" s="23" t="n"/>
      <c r="J784" s="23" t="n"/>
      <c r="K784" s="24" t="n"/>
      <c r="L784" s="23" t="n"/>
      <c r="M784" s="23" t="n"/>
      <c r="N784" s="24" t="n"/>
      <c r="O784" s="23" t="n"/>
      <c r="P784" s="23" t="n"/>
    </row>
    <row r="785">
      <c r="A785" s="23" t="n"/>
      <c r="B785" s="23" t="n"/>
      <c r="C785" s="23" t="n"/>
      <c r="D785" s="23" t="n"/>
      <c r="E785" s="23" t="n"/>
      <c r="F785" s="23" t="n"/>
      <c r="G785" s="23" t="n"/>
      <c r="H785" s="23" t="n"/>
      <c r="I785" s="23" t="n"/>
      <c r="J785" s="23" t="n"/>
      <c r="K785" s="24" t="n"/>
      <c r="L785" s="23" t="n"/>
      <c r="M785" s="23" t="n"/>
      <c r="N785" s="24" t="n"/>
      <c r="O785" s="23" t="n"/>
      <c r="P785" s="23" t="n"/>
    </row>
    <row r="786">
      <c r="A786" s="23" t="n"/>
      <c r="B786" s="23" t="n"/>
      <c r="C786" s="23" t="n"/>
      <c r="D786" s="23" t="n"/>
      <c r="E786" s="23" t="n"/>
      <c r="F786" s="23" t="n"/>
      <c r="G786" s="23" t="n"/>
      <c r="H786" s="23" t="n"/>
      <c r="I786" s="23" t="n"/>
      <c r="J786" s="23" t="n"/>
      <c r="K786" s="24" t="n"/>
      <c r="L786" s="23" t="n"/>
      <c r="M786" s="23" t="n"/>
      <c r="N786" s="24" t="n"/>
      <c r="O786" s="23" t="n"/>
      <c r="P786" s="23" t="n"/>
    </row>
    <row r="787">
      <c r="A787" s="23" t="n"/>
      <c r="B787" s="23" t="n"/>
      <c r="C787" s="23" t="n"/>
      <c r="D787" s="23" t="n"/>
      <c r="E787" s="23" t="n"/>
      <c r="F787" s="23" t="n"/>
      <c r="G787" s="23" t="n"/>
      <c r="H787" s="23" t="n"/>
      <c r="I787" s="23" t="n"/>
      <c r="J787" s="23" t="n"/>
      <c r="K787" s="24" t="n"/>
      <c r="L787" s="23" t="n"/>
      <c r="M787" s="23" t="n"/>
      <c r="N787" s="24" t="n"/>
      <c r="O787" s="23" t="n"/>
      <c r="P787" s="23" t="n"/>
    </row>
    <row r="788">
      <c r="A788" s="23" t="n"/>
      <c r="B788" s="23" t="n"/>
      <c r="C788" s="23" t="n"/>
      <c r="D788" s="23" t="n"/>
      <c r="E788" s="23" t="n"/>
      <c r="F788" s="23" t="n"/>
      <c r="G788" s="23" t="n"/>
      <c r="H788" s="23" t="n"/>
      <c r="I788" s="23" t="n"/>
      <c r="J788" s="23" t="n"/>
      <c r="K788" s="24" t="n"/>
      <c r="L788" s="23" t="n"/>
      <c r="M788" s="23" t="n"/>
      <c r="N788" s="24" t="n"/>
      <c r="O788" s="23" t="n"/>
      <c r="P788" s="23" t="n"/>
    </row>
    <row r="789">
      <c r="A789" s="23" t="n"/>
      <c r="B789" s="23" t="n"/>
      <c r="C789" s="23" t="n"/>
      <c r="D789" s="23" t="n"/>
      <c r="E789" s="23" t="n"/>
      <c r="F789" s="23" t="n"/>
      <c r="G789" s="23" t="n"/>
      <c r="H789" s="23" t="n"/>
      <c r="I789" s="23" t="n"/>
      <c r="J789" s="23" t="n"/>
      <c r="K789" s="24" t="n"/>
      <c r="L789" s="23" t="n"/>
      <c r="M789" s="23" t="n"/>
      <c r="N789" s="24" t="n"/>
      <c r="O789" s="23" t="n"/>
      <c r="P789" s="23" t="n"/>
    </row>
    <row r="790">
      <c r="A790" s="23" t="n"/>
      <c r="B790" s="23" t="n"/>
      <c r="C790" s="23" t="n"/>
      <c r="D790" s="23" t="n"/>
      <c r="E790" s="23" t="n"/>
      <c r="F790" s="23" t="n"/>
      <c r="G790" s="23" t="n"/>
      <c r="H790" s="23" t="n"/>
      <c r="I790" s="23" t="n"/>
      <c r="J790" s="23" t="n"/>
      <c r="K790" s="24" t="n"/>
      <c r="L790" s="23" t="n"/>
      <c r="M790" s="23" t="n"/>
      <c r="N790" s="24" t="n"/>
      <c r="O790" s="23" t="n"/>
      <c r="P790" s="23" t="n"/>
    </row>
    <row r="791">
      <c r="A791" s="23" t="n"/>
      <c r="B791" s="23" t="n"/>
      <c r="C791" s="23" t="n"/>
      <c r="D791" s="23" t="n"/>
      <c r="E791" s="23" t="n"/>
      <c r="F791" s="23" t="n"/>
      <c r="G791" s="23" t="n"/>
      <c r="H791" s="23" t="n"/>
      <c r="I791" s="23" t="n"/>
      <c r="J791" s="23" t="n"/>
      <c r="K791" s="24" t="n"/>
      <c r="L791" s="23" t="n"/>
      <c r="M791" s="23" t="n"/>
      <c r="N791" s="24" t="n"/>
      <c r="O791" s="23" t="n"/>
      <c r="P791" s="23" t="n"/>
    </row>
    <row r="792">
      <c r="A792" s="23" t="n"/>
      <c r="B792" s="23" t="n"/>
      <c r="C792" s="23" t="n"/>
      <c r="D792" s="23" t="n"/>
      <c r="E792" s="23" t="n"/>
      <c r="F792" s="23" t="n"/>
      <c r="G792" s="23" t="n"/>
      <c r="H792" s="23" t="n"/>
      <c r="I792" s="23" t="n"/>
      <c r="J792" s="23" t="n"/>
      <c r="K792" s="24" t="n"/>
      <c r="L792" s="23" t="n"/>
      <c r="M792" s="23" t="n"/>
      <c r="N792" s="24" t="n"/>
      <c r="O792" s="23" t="n"/>
      <c r="P792" s="23" t="n"/>
    </row>
    <row r="793">
      <c r="A793" s="23" t="n"/>
      <c r="B793" s="23" t="n"/>
      <c r="C793" s="23" t="n"/>
      <c r="D793" s="23" t="n"/>
      <c r="E793" s="23" t="n"/>
      <c r="F793" s="23" t="n"/>
      <c r="G793" s="23" t="n"/>
      <c r="H793" s="23" t="n"/>
      <c r="I793" s="23" t="n"/>
      <c r="J793" s="23" t="n"/>
      <c r="K793" s="24" t="n"/>
      <c r="L793" s="23" t="n"/>
      <c r="M793" s="23" t="n"/>
      <c r="N793" s="24" t="n"/>
      <c r="O793" s="23" t="n"/>
      <c r="P793" s="23" t="n"/>
    </row>
    <row r="794">
      <c r="A794" s="23" t="n"/>
      <c r="B794" s="23" t="n"/>
      <c r="C794" s="23" t="n"/>
      <c r="D794" s="23" t="n"/>
      <c r="E794" s="23" t="n"/>
      <c r="F794" s="23" t="n"/>
      <c r="G794" s="23" t="n"/>
      <c r="H794" s="23" t="n"/>
      <c r="I794" s="23" t="n"/>
      <c r="J794" s="23" t="n"/>
      <c r="K794" s="24" t="n"/>
      <c r="L794" s="23" t="n"/>
      <c r="M794" s="23" t="n"/>
      <c r="N794" s="24" t="n"/>
      <c r="O794" s="23" t="n"/>
      <c r="P794" s="23" t="n"/>
    </row>
    <row r="795">
      <c r="A795" s="23" t="n"/>
      <c r="B795" s="23" t="n"/>
      <c r="C795" s="23" t="n"/>
      <c r="D795" s="23" t="n"/>
      <c r="E795" s="23" t="n"/>
      <c r="F795" s="23" t="n"/>
      <c r="G795" s="23" t="n"/>
      <c r="H795" s="23" t="n"/>
      <c r="I795" s="23" t="n"/>
      <c r="J795" s="23" t="n"/>
      <c r="K795" s="24" t="n"/>
      <c r="L795" s="23" t="n"/>
      <c r="M795" s="23" t="n"/>
      <c r="N795" s="24" t="n"/>
      <c r="O795" s="23" t="n"/>
      <c r="P795" s="23" t="n"/>
    </row>
    <row r="796">
      <c r="A796" s="23" t="n"/>
      <c r="B796" s="23" t="n"/>
      <c r="C796" s="23" t="n"/>
      <c r="D796" s="23" t="n"/>
      <c r="E796" s="23" t="n"/>
      <c r="F796" s="23" t="n"/>
      <c r="G796" s="23" t="n"/>
      <c r="H796" s="23" t="n"/>
      <c r="I796" s="23" t="n"/>
      <c r="J796" s="23" t="n"/>
      <c r="K796" s="24" t="n"/>
      <c r="L796" s="23" t="n"/>
      <c r="M796" s="23" t="n"/>
      <c r="N796" s="24" t="n"/>
      <c r="O796" s="23" t="n"/>
      <c r="P796" s="23" t="n"/>
    </row>
    <row r="797">
      <c r="A797" s="23" t="n"/>
      <c r="B797" s="23" t="n"/>
      <c r="C797" s="23" t="n"/>
      <c r="D797" s="23" t="n"/>
      <c r="E797" s="23" t="n"/>
      <c r="F797" s="23" t="n"/>
      <c r="G797" s="23" t="n"/>
      <c r="H797" s="23" t="n"/>
      <c r="I797" s="23" t="n"/>
      <c r="J797" s="23" t="n"/>
      <c r="K797" s="24" t="n"/>
      <c r="L797" s="23" t="n"/>
      <c r="M797" s="23" t="n"/>
      <c r="N797" s="24" t="n"/>
      <c r="O797" s="23" t="n"/>
      <c r="P797" s="23" t="n"/>
    </row>
    <row r="798">
      <c r="A798" s="23" t="n"/>
      <c r="B798" s="23" t="n"/>
      <c r="C798" s="23" t="n"/>
      <c r="D798" s="23" t="n"/>
      <c r="E798" s="23" t="n"/>
      <c r="F798" s="23" t="n"/>
      <c r="G798" s="23" t="n"/>
      <c r="H798" s="23" t="n"/>
      <c r="I798" s="23" t="n"/>
      <c r="J798" s="23" t="n"/>
      <c r="K798" s="24" t="n"/>
      <c r="L798" s="23" t="n"/>
      <c r="M798" s="23" t="n"/>
      <c r="N798" s="24" t="n"/>
      <c r="O798" s="23" t="n"/>
      <c r="P798" s="23" t="n"/>
    </row>
    <row r="799">
      <c r="A799" s="23" t="n"/>
      <c r="B799" s="23" t="n"/>
      <c r="C799" s="23" t="n"/>
      <c r="D799" s="23" t="n"/>
      <c r="E799" s="23" t="n"/>
      <c r="F799" s="23" t="n"/>
      <c r="G799" s="23" t="n"/>
      <c r="H799" s="23" t="n"/>
      <c r="I799" s="23" t="n"/>
      <c r="J799" s="23" t="n"/>
      <c r="K799" s="24" t="n"/>
      <c r="L799" s="23" t="n"/>
      <c r="M799" s="23" t="n"/>
      <c r="N799" s="24" t="n"/>
      <c r="O799" s="23" t="n"/>
      <c r="P799" s="23" t="n"/>
    </row>
    <row r="800">
      <c r="A800" s="23" t="n"/>
      <c r="B800" s="23" t="n"/>
      <c r="C800" s="23" t="n"/>
      <c r="D800" s="23" t="n"/>
      <c r="E800" s="23" t="n"/>
      <c r="F800" s="23" t="n"/>
      <c r="G800" s="23" t="n"/>
      <c r="H800" s="23" t="n"/>
      <c r="I800" s="23" t="n"/>
      <c r="J800" s="23" t="n"/>
      <c r="K800" s="24" t="n"/>
      <c r="L800" s="23" t="n"/>
      <c r="M800" s="23" t="n"/>
      <c r="N800" s="24" t="n"/>
      <c r="O800" s="23" t="n"/>
      <c r="P800" s="23" t="n"/>
    </row>
    <row r="801">
      <c r="A801" s="23" t="n"/>
      <c r="B801" s="23" t="n"/>
      <c r="C801" s="23" t="n"/>
      <c r="D801" s="23" t="n"/>
      <c r="E801" s="23" t="n"/>
      <c r="F801" s="23" t="n"/>
      <c r="G801" s="23" t="n"/>
      <c r="H801" s="23" t="n"/>
      <c r="I801" s="23" t="n"/>
      <c r="J801" s="23" t="n"/>
      <c r="K801" s="24" t="n"/>
      <c r="L801" s="23" t="n"/>
      <c r="M801" s="23" t="n"/>
      <c r="N801" s="24" t="n"/>
      <c r="O801" s="23" t="n"/>
      <c r="P801" s="23" t="n"/>
    </row>
    <row r="802">
      <c r="A802" s="23" t="n"/>
      <c r="B802" s="23" t="n"/>
      <c r="C802" s="23" t="n"/>
      <c r="D802" s="23" t="n"/>
      <c r="E802" s="23" t="n"/>
      <c r="F802" s="23" t="n"/>
      <c r="G802" s="23" t="n"/>
      <c r="H802" s="23" t="n"/>
      <c r="I802" s="23" t="n"/>
      <c r="J802" s="23" t="n"/>
      <c r="K802" s="24" t="n"/>
      <c r="L802" s="23" t="n"/>
      <c r="M802" s="23" t="n"/>
      <c r="N802" s="24" t="n"/>
      <c r="O802" s="23" t="n"/>
      <c r="P802" s="23" t="n"/>
    </row>
    <row r="803">
      <c r="A803" s="23" t="n"/>
      <c r="B803" s="23" t="n"/>
      <c r="C803" s="23" t="n"/>
      <c r="D803" s="23" t="n"/>
      <c r="E803" s="23" t="n"/>
      <c r="F803" s="23" t="n"/>
      <c r="G803" s="23" t="n"/>
      <c r="H803" s="23" t="n"/>
      <c r="I803" s="23" t="n"/>
      <c r="J803" s="23" t="n"/>
      <c r="K803" s="24" t="n"/>
      <c r="L803" s="23" t="n"/>
      <c r="M803" s="23" t="n"/>
      <c r="N803" s="24" t="n"/>
      <c r="O803" s="23" t="n"/>
      <c r="P803" s="23" t="n"/>
    </row>
    <row r="804">
      <c r="A804" s="23" t="n"/>
      <c r="B804" s="23" t="n"/>
      <c r="C804" s="23" t="n"/>
      <c r="D804" s="23" t="n"/>
      <c r="E804" s="23" t="n"/>
      <c r="F804" s="23" t="n"/>
      <c r="G804" s="23" t="n"/>
      <c r="H804" s="23" t="n"/>
      <c r="I804" s="23" t="n"/>
      <c r="J804" s="23" t="n"/>
      <c r="K804" s="24" t="n"/>
      <c r="L804" s="23" t="n"/>
      <c r="M804" s="23" t="n"/>
      <c r="N804" s="24" t="n"/>
      <c r="O804" s="23" t="n"/>
      <c r="P804" s="23" t="n"/>
    </row>
    <row r="805">
      <c r="A805" s="23" t="n"/>
      <c r="B805" s="23" t="n"/>
      <c r="C805" s="23" t="n"/>
      <c r="D805" s="23" t="n"/>
      <c r="E805" s="23" t="n"/>
      <c r="F805" s="23" t="n"/>
      <c r="G805" s="23" t="n"/>
      <c r="H805" s="23" t="n"/>
      <c r="I805" s="23" t="n"/>
      <c r="J805" s="23" t="n"/>
      <c r="K805" s="24" t="n"/>
      <c r="L805" s="23" t="n"/>
      <c r="M805" s="23" t="n"/>
      <c r="N805" s="24" t="n"/>
      <c r="O805" s="23" t="n"/>
      <c r="P805" s="23" t="n"/>
    </row>
    <row r="806">
      <c r="A806" s="23" t="n"/>
      <c r="B806" s="23" t="n"/>
      <c r="C806" s="23" t="n"/>
      <c r="D806" s="23" t="n"/>
      <c r="E806" s="23" t="n"/>
      <c r="F806" s="23" t="n"/>
      <c r="G806" s="23" t="n"/>
      <c r="H806" s="23" t="n"/>
      <c r="I806" s="23" t="n"/>
      <c r="J806" s="23" t="n"/>
      <c r="K806" s="24" t="n"/>
      <c r="L806" s="23" t="n"/>
      <c r="M806" s="23" t="n"/>
      <c r="N806" s="24" t="n"/>
      <c r="O806" s="23" t="n"/>
      <c r="P806" s="23" t="n"/>
    </row>
    <row r="807">
      <c r="A807" s="23" t="n"/>
      <c r="B807" s="23" t="n"/>
      <c r="C807" s="23" t="n"/>
      <c r="D807" s="23" t="n"/>
      <c r="E807" s="23" t="n"/>
      <c r="F807" s="23" t="n"/>
      <c r="G807" s="23" t="n"/>
      <c r="H807" s="23" t="n"/>
      <c r="I807" s="23" t="n"/>
      <c r="J807" s="23" t="n"/>
      <c r="K807" s="24" t="n"/>
      <c r="L807" s="23" t="n"/>
      <c r="M807" s="23" t="n"/>
      <c r="N807" s="24" t="n"/>
      <c r="O807" s="23" t="n"/>
      <c r="P807" s="23" t="n"/>
    </row>
    <row r="808">
      <c r="A808" s="23" t="n"/>
      <c r="B808" s="23" t="n"/>
      <c r="C808" s="23" t="n"/>
      <c r="D808" s="23" t="n"/>
      <c r="E808" s="23" t="n"/>
      <c r="F808" s="23" t="n"/>
      <c r="G808" s="23" t="n"/>
      <c r="H808" s="23" t="n"/>
      <c r="I808" s="23" t="n"/>
      <c r="J808" s="23" t="n"/>
      <c r="K808" s="24" t="n"/>
      <c r="L808" s="23" t="n"/>
      <c r="M808" s="23" t="n"/>
      <c r="N808" s="24" t="n"/>
      <c r="O808" s="23" t="n"/>
      <c r="P808" s="23" t="n"/>
    </row>
    <row r="809">
      <c r="A809" s="23" t="n"/>
      <c r="B809" s="23" t="n"/>
      <c r="C809" s="23" t="n"/>
      <c r="D809" s="23" t="n"/>
      <c r="E809" s="23" t="n"/>
      <c r="F809" s="23" t="n"/>
      <c r="G809" s="23" t="n"/>
      <c r="H809" s="23" t="n"/>
      <c r="I809" s="23" t="n"/>
      <c r="J809" s="23" t="n"/>
      <c r="K809" s="24" t="n"/>
      <c r="L809" s="23" t="n"/>
      <c r="M809" s="23" t="n"/>
      <c r="N809" s="24" t="n"/>
      <c r="O809" s="23" t="n"/>
      <c r="P809" s="23" t="n"/>
    </row>
    <row r="810">
      <c r="A810" s="23" t="n"/>
      <c r="B810" s="23" t="n"/>
      <c r="C810" s="23" t="n"/>
      <c r="D810" s="23" t="n"/>
      <c r="E810" s="23" t="n"/>
      <c r="F810" s="23" t="n"/>
      <c r="G810" s="23" t="n"/>
      <c r="H810" s="23" t="n"/>
      <c r="I810" s="23" t="n"/>
      <c r="J810" s="23" t="n"/>
      <c r="K810" s="24" t="n"/>
      <c r="L810" s="23" t="n"/>
      <c r="M810" s="23" t="n"/>
      <c r="N810" s="24" t="n"/>
      <c r="O810" s="23" t="n"/>
      <c r="P810" s="23" t="n"/>
    </row>
    <row r="811">
      <c r="A811" s="23" t="n"/>
      <c r="B811" s="23" t="n"/>
      <c r="C811" s="23" t="n"/>
      <c r="D811" s="23" t="n"/>
      <c r="E811" s="23" t="n"/>
      <c r="F811" s="23" t="n"/>
      <c r="G811" s="23" t="n"/>
      <c r="H811" s="23" t="n"/>
      <c r="I811" s="23" t="n"/>
      <c r="J811" s="23" t="n"/>
      <c r="K811" s="24" t="n"/>
      <c r="L811" s="23" t="n"/>
      <c r="M811" s="23" t="n"/>
      <c r="N811" s="24" t="n"/>
      <c r="O811" s="23" t="n"/>
      <c r="P811" s="23" t="n"/>
    </row>
    <row r="812">
      <c r="A812" s="23" t="n"/>
      <c r="B812" s="23" t="n"/>
      <c r="C812" s="23" t="n"/>
      <c r="D812" s="23" t="n"/>
      <c r="E812" s="23" t="n"/>
      <c r="F812" s="23" t="n"/>
      <c r="G812" s="23" t="n"/>
      <c r="H812" s="23" t="n"/>
      <c r="I812" s="23" t="n"/>
      <c r="J812" s="23" t="n"/>
      <c r="K812" s="24" t="n"/>
      <c r="L812" s="23" t="n"/>
      <c r="M812" s="23" t="n"/>
      <c r="N812" s="24" t="n"/>
      <c r="O812" s="23" t="n"/>
      <c r="P812" s="23" t="n"/>
    </row>
    <row r="813">
      <c r="A813" s="23" t="n"/>
      <c r="B813" s="23" t="n"/>
      <c r="C813" s="23" t="n"/>
      <c r="D813" s="23" t="n"/>
      <c r="E813" s="23" t="n"/>
      <c r="F813" s="23" t="n"/>
      <c r="G813" s="23" t="n"/>
      <c r="H813" s="23" t="n"/>
      <c r="I813" s="23" t="n"/>
      <c r="J813" s="23" t="n"/>
      <c r="K813" s="24" t="n"/>
      <c r="L813" s="23" t="n"/>
      <c r="M813" s="23" t="n"/>
      <c r="N813" s="24" t="n"/>
      <c r="O813" s="23" t="n"/>
      <c r="P813" s="23" t="n"/>
    </row>
    <row r="814">
      <c r="A814" s="23" t="n"/>
      <c r="B814" s="23" t="n"/>
      <c r="C814" s="23" t="n"/>
      <c r="D814" s="23" t="n"/>
      <c r="E814" s="23" t="n"/>
      <c r="F814" s="23" t="n"/>
      <c r="G814" s="23" t="n"/>
      <c r="H814" s="23" t="n"/>
      <c r="I814" s="23" t="n"/>
      <c r="J814" s="23" t="n"/>
      <c r="K814" s="24" t="n"/>
      <c r="L814" s="23" t="n"/>
      <c r="M814" s="23" t="n"/>
      <c r="N814" s="24" t="n"/>
      <c r="O814" s="23" t="n"/>
      <c r="P814" s="23" t="n"/>
    </row>
    <row r="815">
      <c r="A815" s="23" t="n"/>
      <c r="B815" s="23" t="n"/>
      <c r="C815" s="23" t="n"/>
      <c r="D815" s="23" t="n"/>
      <c r="E815" s="23" t="n"/>
      <c r="F815" s="23" t="n"/>
      <c r="G815" s="23" t="n"/>
      <c r="H815" s="23" t="n"/>
      <c r="I815" s="23" t="n"/>
      <c r="J815" s="23" t="n"/>
      <c r="K815" s="24" t="n"/>
      <c r="L815" s="23" t="n"/>
      <c r="M815" s="23" t="n"/>
      <c r="N815" s="24" t="n"/>
      <c r="O815" s="23" t="n"/>
      <c r="P815" s="23" t="n"/>
    </row>
    <row r="816">
      <c r="A816" s="23" t="n"/>
      <c r="B816" s="23" t="n"/>
      <c r="C816" s="23" t="n"/>
      <c r="D816" s="23" t="n"/>
      <c r="E816" s="23" t="n"/>
      <c r="F816" s="23" t="n"/>
      <c r="G816" s="23" t="n"/>
      <c r="H816" s="23" t="n"/>
      <c r="I816" s="23" t="n"/>
      <c r="J816" s="23" t="n"/>
      <c r="K816" s="24" t="n"/>
      <c r="L816" s="23" t="n"/>
      <c r="M816" s="23" t="n"/>
      <c r="N816" s="24" t="n"/>
      <c r="O816" s="23" t="n"/>
      <c r="P816" s="23" t="n"/>
    </row>
    <row r="817">
      <c r="A817" s="23" t="n"/>
      <c r="B817" s="23" t="n"/>
      <c r="C817" s="23" t="n"/>
      <c r="D817" s="23" t="n"/>
      <c r="E817" s="23" t="n"/>
      <c r="F817" s="23" t="n"/>
      <c r="G817" s="23" t="n"/>
      <c r="H817" s="23" t="n"/>
      <c r="I817" s="23" t="n"/>
      <c r="J817" s="23" t="n"/>
      <c r="K817" s="24" t="n"/>
      <c r="L817" s="23" t="n"/>
      <c r="M817" s="23" t="n"/>
      <c r="N817" s="24" t="n"/>
      <c r="O817" s="23" t="n"/>
      <c r="P817" s="23" t="n"/>
    </row>
    <row r="818">
      <c r="A818" s="23" t="n"/>
      <c r="B818" s="23" t="n"/>
      <c r="C818" s="23" t="n"/>
      <c r="D818" s="23" t="n"/>
      <c r="E818" s="23" t="n"/>
      <c r="F818" s="23" t="n"/>
      <c r="G818" s="23" t="n"/>
      <c r="H818" s="23" t="n"/>
      <c r="I818" s="23" t="n"/>
      <c r="J818" s="23" t="n"/>
      <c r="K818" s="24" t="n"/>
      <c r="L818" s="23" t="n"/>
      <c r="M818" s="23" t="n"/>
      <c r="N818" s="24" t="n"/>
      <c r="O818" s="23" t="n"/>
      <c r="P818" s="23" t="n"/>
    </row>
    <row r="819">
      <c r="A819" s="23" t="n"/>
      <c r="B819" s="23" t="n"/>
      <c r="C819" s="23" t="n"/>
      <c r="D819" s="23" t="n"/>
      <c r="E819" s="23" t="n"/>
      <c r="F819" s="23" t="n"/>
      <c r="G819" s="23" t="n"/>
      <c r="H819" s="23" t="n"/>
      <c r="I819" s="23" t="n"/>
      <c r="J819" s="23" t="n"/>
      <c r="K819" s="24" t="n"/>
      <c r="L819" s="23" t="n"/>
      <c r="M819" s="23" t="n"/>
      <c r="N819" s="24" t="n"/>
      <c r="O819" s="23" t="n"/>
      <c r="P819" s="23" t="n"/>
    </row>
    <row r="820">
      <c r="A820" s="23" t="n"/>
      <c r="B820" s="23" t="n"/>
      <c r="C820" s="23" t="n"/>
      <c r="D820" s="23" t="n"/>
      <c r="E820" s="23" t="n"/>
      <c r="F820" s="23" t="n"/>
      <c r="G820" s="23" t="n"/>
      <c r="H820" s="23" t="n"/>
      <c r="I820" s="23" t="n"/>
      <c r="J820" s="23" t="n"/>
      <c r="K820" s="24" t="n"/>
      <c r="L820" s="23" t="n"/>
      <c r="M820" s="23" t="n"/>
      <c r="N820" s="24" t="n"/>
      <c r="O820" s="23" t="n"/>
      <c r="P820" s="23" t="n"/>
    </row>
    <row r="821">
      <c r="A821" s="23" t="n"/>
      <c r="B821" s="23" t="n"/>
      <c r="C821" s="23" t="n"/>
      <c r="D821" s="23" t="n"/>
      <c r="E821" s="23" t="n"/>
      <c r="F821" s="23" t="n"/>
      <c r="G821" s="23" t="n"/>
      <c r="H821" s="23" t="n"/>
      <c r="I821" s="23" t="n"/>
      <c r="J821" s="23" t="n"/>
      <c r="K821" s="24" t="n"/>
      <c r="L821" s="23" t="n"/>
      <c r="M821" s="23" t="n"/>
      <c r="N821" s="24" t="n"/>
      <c r="O821" s="23" t="n"/>
      <c r="P821" s="23" t="n"/>
    </row>
    <row r="822">
      <c r="A822" s="23" t="n"/>
      <c r="B822" s="23" t="n"/>
      <c r="C822" s="23" t="n"/>
      <c r="D822" s="23" t="n"/>
      <c r="E822" s="23" t="n"/>
      <c r="F822" s="23" t="n"/>
      <c r="G822" s="23" t="n"/>
      <c r="H822" s="23" t="n"/>
      <c r="I822" s="23" t="n"/>
      <c r="J822" s="23" t="n"/>
      <c r="K822" s="24" t="n"/>
      <c r="L822" s="23" t="n"/>
      <c r="M822" s="23" t="n"/>
      <c r="N822" s="24" t="n"/>
      <c r="O822" s="23" t="n"/>
      <c r="P822" s="23" t="n"/>
    </row>
    <row r="823">
      <c r="A823" s="23" t="n"/>
      <c r="B823" s="23" t="n"/>
      <c r="C823" s="23" t="n"/>
      <c r="D823" s="23" t="n"/>
      <c r="E823" s="23" t="n"/>
      <c r="F823" s="23" t="n"/>
      <c r="G823" s="23" t="n"/>
      <c r="H823" s="23" t="n"/>
      <c r="I823" s="23" t="n"/>
      <c r="J823" s="23" t="n"/>
      <c r="K823" s="24" t="n"/>
      <c r="L823" s="23" t="n"/>
      <c r="M823" s="23" t="n"/>
      <c r="N823" s="24" t="n"/>
      <c r="O823" s="23" t="n"/>
      <c r="P823" s="23" t="n"/>
    </row>
    <row r="824">
      <c r="A824" s="23" t="n"/>
      <c r="B824" s="23" t="n"/>
      <c r="C824" s="23" t="n"/>
      <c r="D824" s="23" t="n"/>
      <c r="E824" s="23" t="n"/>
      <c r="F824" s="23" t="n"/>
      <c r="G824" s="23" t="n"/>
      <c r="H824" s="23" t="n"/>
      <c r="I824" s="23" t="n"/>
      <c r="J824" s="23" t="n"/>
      <c r="K824" s="24" t="n"/>
      <c r="L824" s="23" t="n"/>
      <c r="M824" s="23" t="n"/>
      <c r="N824" s="24" t="n"/>
      <c r="O824" s="23" t="n"/>
      <c r="P824" s="23" t="n"/>
    </row>
    <row r="825">
      <c r="A825" s="23" t="n"/>
      <c r="B825" s="23" t="n"/>
      <c r="C825" s="23" t="n"/>
      <c r="D825" s="23" t="n"/>
      <c r="E825" s="23" t="n"/>
      <c r="F825" s="23" t="n"/>
      <c r="G825" s="23" t="n"/>
      <c r="H825" s="23" t="n"/>
      <c r="I825" s="23" t="n"/>
      <c r="J825" s="23" t="n"/>
      <c r="K825" s="24" t="n"/>
      <c r="L825" s="23" t="n"/>
      <c r="M825" s="23" t="n"/>
      <c r="N825" s="24" t="n"/>
      <c r="O825" s="23" t="n"/>
      <c r="P825" s="23" t="n"/>
    </row>
    <row r="826">
      <c r="A826" s="23" t="n"/>
      <c r="B826" s="23" t="n"/>
      <c r="C826" s="23" t="n"/>
      <c r="D826" s="23" t="n"/>
      <c r="E826" s="23" t="n"/>
      <c r="F826" s="23" t="n"/>
      <c r="G826" s="23" t="n"/>
      <c r="H826" s="23" t="n"/>
      <c r="I826" s="23" t="n"/>
      <c r="J826" s="23" t="n"/>
      <c r="K826" s="24" t="n"/>
      <c r="L826" s="23" t="n"/>
      <c r="M826" s="23" t="n"/>
      <c r="N826" s="24" t="n"/>
      <c r="O826" s="23" t="n"/>
      <c r="P826" s="23" t="n"/>
    </row>
    <row r="827">
      <c r="A827" s="23" t="n"/>
      <c r="B827" s="23" t="n"/>
      <c r="C827" s="23" t="n"/>
      <c r="D827" s="23" t="n"/>
      <c r="E827" s="23" t="n"/>
      <c r="F827" s="23" t="n"/>
      <c r="G827" s="23" t="n"/>
      <c r="H827" s="23" t="n"/>
      <c r="I827" s="23" t="n"/>
      <c r="J827" s="23" t="n"/>
      <c r="K827" s="24" t="n"/>
      <c r="L827" s="23" t="n"/>
      <c r="M827" s="23" t="n"/>
      <c r="N827" s="24" t="n"/>
      <c r="O827" s="23" t="n"/>
      <c r="P827" s="23" t="n"/>
    </row>
    <row r="828">
      <c r="A828" s="23" t="n"/>
      <c r="B828" s="23" t="n"/>
      <c r="C828" s="23" t="n"/>
      <c r="D828" s="23" t="n"/>
      <c r="E828" s="23" t="n"/>
      <c r="F828" s="23" t="n"/>
      <c r="G828" s="23" t="n"/>
      <c r="H828" s="23" t="n"/>
      <c r="I828" s="23" t="n"/>
      <c r="J828" s="23" t="n"/>
      <c r="K828" s="24" t="n"/>
      <c r="L828" s="23" t="n"/>
      <c r="M828" s="23" t="n"/>
      <c r="N828" s="24" t="n"/>
      <c r="O828" s="23" t="n"/>
      <c r="P828" s="23" t="n"/>
    </row>
    <row r="829">
      <c r="A829" s="23" t="n"/>
      <c r="B829" s="23" t="n"/>
      <c r="C829" s="23" t="n"/>
      <c r="D829" s="23" t="n"/>
      <c r="E829" s="23" t="n"/>
      <c r="F829" s="23" t="n"/>
      <c r="G829" s="23" t="n"/>
      <c r="H829" s="23" t="n"/>
      <c r="I829" s="23" t="n"/>
      <c r="J829" s="23" t="n"/>
      <c r="K829" s="24" t="n"/>
      <c r="L829" s="23" t="n"/>
      <c r="M829" s="23" t="n"/>
      <c r="N829" s="24" t="n"/>
      <c r="O829" s="23" t="n"/>
      <c r="P829" s="23" t="n"/>
    </row>
    <row r="830">
      <c r="A830" s="23" t="n"/>
      <c r="B830" s="23" t="n"/>
      <c r="C830" s="23" t="n"/>
      <c r="D830" s="23" t="n"/>
      <c r="E830" s="23" t="n"/>
      <c r="F830" s="23" t="n"/>
      <c r="G830" s="23" t="n"/>
      <c r="H830" s="23" t="n"/>
      <c r="I830" s="23" t="n"/>
      <c r="J830" s="23" t="n"/>
      <c r="K830" s="24" t="n"/>
      <c r="L830" s="23" t="n"/>
      <c r="M830" s="23" t="n"/>
      <c r="N830" s="24" t="n"/>
      <c r="O830" s="23" t="n"/>
      <c r="P830" s="23" t="n"/>
    </row>
    <row r="831">
      <c r="A831" s="23" t="n"/>
      <c r="B831" s="23" t="n"/>
      <c r="C831" s="23" t="n"/>
      <c r="D831" s="23" t="n"/>
      <c r="E831" s="23" t="n"/>
      <c r="F831" s="23" t="n"/>
      <c r="G831" s="23" t="n"/>
      <c r="H831" s="23" t="n"/>
      <c r="I831" s="23" t="n"/>
      <c r="J831" s="23" t="n"/>
      <c r="K831" s="24" t="n"/>
      <c r="L831" s="23" t="n"/>
      <c r="M831" s="23" t="n"/>
      <c r="N831" s="24" t="n"/>
      <c r="O831" s="23" t="n"/>
      <c r="P831" s="23" t="n"/>
    </row>
    <row r="832">
      <c r="A832" s="23" t="n"/>
      <c r="B832" s="23" t="n"/>
      <c r="C832" s="23" t="n"/>
      <c r="D832" s="23" t="n"/>
      <c r="E832" s="23" t="n"/>
      <c r="F832" s="23" t="n"/>
      <c r="G832" s="23" t="n"/>
      <c r="H832" s="23" t="n"/>
      <c r="I832" s="23" t="n"/>
      <c r="J832" s="23" t="n"/>
      <c r="K832" s="24" t="n"/>
      <c r="L832" s="23" t="n"/>
      <c r="M832" s="23" t="n"/>
      <c r="N832" s="24" t="n"/>
      <c r="O832" s="23" t="n"/>
      <c r="P832" s="23" t="n"/>
    </row>
    <row r="833">
      <c r="A833" s="23" t="n"/>
      <c r="B833" s="23" t="n"/>
      <c r="C833" s="23" t="n"/>
      <c r="D833" s="23" t="n"/>
      <c r="E833" s="23" t="n"/>
      <c r="F833" s="23" t="n"/>
      <c r="G833" s="23" t="n"/>
      <c r="H833" s="23" t="n"/>
      <c r="I833" s="23" t="n"/>
      <c r="J833" s="23" t="n"/>
      <c r="K833" s="24" t="n"/>
      <c r="L833" s="23" t="n"/>
      <c r="M833" s="23" t="n"/>
      <c r="N833" s="24" t="n"/>
      <c r="O833" s="23" t="n"/>
      <c r="P833" s="23" t="n"/>
    </row>
    <row r="834">
      <c r="A834" s="23" t="n"/>
      <c r="B834" s="23" t="n"/>
      <c r="C834" s="23" t="n"/>
      <c r="D834" s="23" t="n"/>
      <c r="E834" s="23" t="n"/>
      <c r="F834" s="23" t="n"/>
      <c r="G834" s="23" t="n"/>
      <c r="H834" s="23" t="n"/>
      <c r="I834" s="23" t="n"/>
      <c r="J834" s="23" t="n"/>
      <c r="K834" s="24" t="n"/>
      <c r="L834" s="23" t="n"/>
      <c r="M834" s="23" t="n"/>
      <c r="N834" s="24" t="n"/>
      <c r="O834" s="23" t="n"/>
      <c r="P834" s="23" t="n"/>
    </row>
    <row r="835">
      <c r="A835" s="23" t="n"/>
      <c r="B835" s="23" t="n"/>
      <c r="C835" s="23" t="n"/>
      <c r="D835" s="23" t="n"/>
      <c r="E835" s="23" t="n"/>
      <c r="F835" s="23" t="n"/>
      <c r="G835" s="23" t="n"/>
      <c r="H835" s="23" t="n"/>
      <c r="I835" s="23" t="n"/>
      <c r="J835" s="23" t="n"/>
      <c r="K835" s="24" t="n"/>
      <c r="L835" s="23" t="n"/>
      <c r="M835" s="23" t="n"/>
      <c r="N835" s="24" t="n"/>
      <c r="O835" s="23" t="n"/>
      <c r="P835" s="23" t="n"/>
    </row>
    <row r="836">
      <c r="A836" s="23" t="n"/>
      <c r="B836" s="23" t="n"/>
      <c r="C836" s="23" t="n"/>
      <c r="D836" s="23" t="n"/>
      <c r="E836" s="23" t="n"/>
      <c r="F836" s="23" t="n"/>
      <c r="G836" s="23" t="n"/>
      <c r="H836" s="23" t="n"/>
      <c r="I836" s="23" t="n"/>
      <c r="J836" s="23" t="n"/>
      <c r="K836" s="24" t="n"/>
      <c r="L836" s="23" t="n"/>
      <c r="M836" s="23" t="n"/>
      <c r="N836" s="24" t="n"/>
      <c r="O836" s="23" t="n"/>
      <c r="P836" s="23" t="n"/>
    </row>
    <row r="837">
      <c r="A837" s="23" t="n"/>
      <c r="B837" s="23" t="n"/>
      <c r="C837" s="23" t="n"/>
      <c r="D837" s="23" t="n"/>
      <c r="E837" s="23" t="n"/>
      <c r="F837" s="23" t="n"/>
      <c r="G837" s="23" t="n"/>
      <c r="H837" s="23" t="n"/>
      <c r="I837" s="23" t="n"/>
      <c r="J837" s="23" t="n"/>
      <c r="K837" s="24" t="n"/>
      <c r="L837" s="23" t="n"/>
      <c r="M837" s="23" t="n"/>
      <c r="N837" s="24" t="n"/>
      <c r="O837" s="23" t="n"/>
      <c r="P837" s="23" t="n"/>
    </row>
    <row r="838">
      <c r="A838" s="23" t="n"/>
      <c r="B838" s="23" t="n"/>
      <c r="C838" s="23" t="n"/>
      <c r="D838" s="23" t="n"/>
      <c r="E838" s="23" t="n"/>
      <c r="F838" s="23" t="n"/>
      <c r="G838" s="23" t="n"/>
      <c r="H838" s="23" t="n"/>
      <c r="I838" s="23" t="n"/>
      <c r="J838" s="23" t="n"/>
      <c r="K838" s="24" t="n"/>
      <c r="L838" s="23" t="n"/>
      <c r="M838" s="23" t="n"/>
      <c r="N838" s="24" t="n"/>
      <c r="O838" s="23" t="n"/>
      <c r="P838" s="23" t="n"/>
    </row>
    <row r="839">
      <c r="A839" s="23" t="n"/>
      <c r="B839" s="23" t="n"/>
      <c r="C839" s="23" t="n"/>
      <c r="D839" s="23" t="n"/>
      <c r="E839" s="23" t="n"/>
      <c r="F839" s="23" t="n"/>
      <c r="G839" s="23" t="n"/>
      <c r="H839" s="23" t="n"/>
      <c r="I839" s="23" t="n"/>
      <c r="J839" s="23" t="n"/>
      <c r="K839" s="24" t="n"/>
      <c r="L839" s="23" t="n"/>
      <c r="M839" s="23" t="n"/>
      <c r="N839" s="24" t="n"/>
      <c r="O839" s="23" t="n"/>
      <c r="P839" s="23" t="n"/>
    </row>
    <row r="840">
      <c r="A840" s="23" t="n"/>
      <c r="B840" s="23" t="n"/>
      <c r="C840" s="23" t="n"/>
      <c r="D840" s="23" t="n"/>
      <c r="E840" s="23" t="n"/>
      <c r="F840" s="23" t="n"/>
      <c r="G840" s="23" t="n"/>
      <c r="H840" s="23" t="n"/>
      <c r="I840" s="23" t="n"/>
      <c r="J840" s="23" t="n"/>
      <c r="K840" s="24" t="n"/>
      <c r="L840" s="23" t="n"/>
      <c r="M840" s="23" t="n"/>
      <c r="N840" s="24" t="n"/>
      <c r="O840" s="23" t="n"/>
      <c r="P840" s="23" t="n"/>
    </row>
    <row r="841">
      <c r="A841" s="23" t="n"/>
      <c r="B841" s="23" t="n"/>
      <c r="C841" s="23" t="n"/>
      <c r="D841" s="23" t="n"/>
      <c r="E841" s="23" t="n"/>
      <c r="F841" s="23" t="n"/>
      <c r="G841" s="23" t="n"/>
      <c r="H841" s="23" t="n"/>
      <c r="I841" s="23" t="n"/>
      <c r="J841" s="23" t="n"/>
      <c r="K841" s="24" t="n"/>
      <c r="L841" s="23" t="n"/>
      <c r="M841" s="23" t="n"/>
      <c r="N841" s="24" t="n"/>
      <c r="O841" s="23" t="n"/>
      <c r="P841" s="23" t="n"/>
    </row>
    <row r="842">
      <c r="A842" s="23" t="n"/>
      <c r="B842" s="23" t="n"/>
      <c r="C842" s="23" t="n"/>
      <c r="D842" s="23" t="n"/>
      <c r="E842" s="23" t="n"/>
      <c r="F842" s="23" t="n"/>
      <c r="G842" s="23" t="n"/>
      <c r="H842" s="23" t="n"/>
      <c r="I842" s="23" t="n"/>
      <c r="J842" s="23" t="n"/>
      <c r="K842" s="24" t="n"/>
      <c r="L842" s="23" t="n"/>
      <c r="M842" s="23" t="n"/>
      <c r="N842" s="24" t="n"/>
      <c r="O842" s="23" t="n"/>
      <c r="P842" s="23" t="n"/>
    </row>
    <row r="843">
      <c r="A843" s="23" t="n"/>
      <c r="B843" s="23" t="n"/>
      <c r="C843" s="23" t="n"/>
      <c r="D843" s="23" t="n"/>
      <c r="E843" s="23" t="n"/>
      <c r="F843" s="23" t="n"/>
      <c r="G843" s="23" t="n"/>
      <c r="H843" s="23" t="n"/>
      <c r="I843" s="23" t="n"/>
      <c r="J843" s="23" t="n"/>
      <c r="K843" s="24" t="n"/>
      <c r="L843" s="23" t="n"/>
      <c r="M843" s="23" t="n"/>
      <c r="N843" s="24" t="n"/>
      <c r="O843" s="23" t="n"/>
      <c r="P843" s="23" t="n"/>
    </row>
    <row r="844">
      <c r="A844" s="23" t="n"/>
      <c r="B844" s="23" t="n"/>
      <c r="C844" s="23" t="n"/>
      <c r="D844" s="23" t="n"/>
      <c r="E844" s="23" t="n"/>
      <c r="F844" s="23" t="n"/>
      <c r="G844" s="23" t="n"/>
      <c r="H844" s="23" t="n"/>
      <c r="I844" s="23" t="n"/>
      <c r="J844" s="23" t="n"/>
      <c r="K844" s="24" t="n"/>
      <c r="L844" s="23" t="n"/>
      <c r="M844" s="23" t="n"/>
      <c r="N844" s="24" t="n"/>
      <c r="O844" s="23" t="n"/>
      <c r="P844" s="23" t="n"/>
    </row>
    <row r="845">
      <c r="A845" s="23" t="n"/>
      <c r="B845" s="23" t="n"/>
      <c r="C845" s="23" t="n"/>
      <c r="D845" s="23" t="n"/>
      <c r="E845" s="23" t="n"/>
      <c r="F845" s="23" t="n"/>
      <c r="G845" s="23" t="n"/>
      <c r="H845" s="23" t="n"/>
      <c r="I845" s="23" t="n"/>
      <c r="J845" s="23" t="n"/>
      <c r="K845" s="24" t="n"/>
      <c r="L845" s="23" t="n"/>
      <c r="M845" s="23" t="n"/>
      <c r="N845" s="24" t="n"/>
      <c r="O845" s="23" t="n"/>
      <c r="P845" s="23" t="n"/>
    </row>
    <row r="846">
      <c r="A846" s="23" t="n"/>
      <c r="B846" s="23" t="n"/>
      <c r="C846" s="23" t="n"/>
      <c r="D846" s="23" t="n"/>
      <c r="E846" s="23" t="n"/>
      <c r="F846" s="23" t="n"/>
      <c r="G846" s="23" t="n"/>
      <c r="H846" s="23" t="n"/>
      <c r="I846" s="23" t="n"/>
      <c r="J846" s="23" t="n"/>
      <c r="K846" s="24" t="n"/>
      <c r="L846" s="23" t="n"/>
      <c r="M846" s="23" t="n"/>
      <c r="N846" s="24" t="n"/>
      <c r="O846" s="23" t="n"/>
      <c r="P846" s="23" t="n"/>
    </row>
    <row r="847">
      <c r="A847" s="23" t="n"/>
      <c r="B847" s="23" t="n"/>
      <c r="C847" s="23" t="n"/>
      <c r="D847" s="23" t="n"/>
      <c r="E847" s="23" t="n"/>
      <c r="F847" s="23" t="n"/>
      <c r="G847" s="23" t="n"/>
      <c r="H847" s="23" t="n"/>
      <c r="I847" s="23" t="n"/>
      <c r="J847" s="23" t="n"/>
      <c r="K847" s="24" t="n"/>
      <c r="L847" s="23" t="n"/>
      <c r="M847" s="23" t="n"/>
      <c r="N847" s="24" t="n"/>
      <c r="O847" s="23" t="n"/>
      <c r="P847" s="23" t="n"/>
    </row>
    <row r="848">
      <c r="A848" s="23" t="n"/>
      <c r="B848" s="23" t="n"/>
      <c r="C848" s="23" t="n"/>
      <c r="D848" s="23" t="n"/>
      <c r="E848" s="23" t="n"/>
      <c r="F848" s="23" t="n"/>
      <c r="G848" s="23" t="n"/>
      <c r="H848" s="23" t="n"/>
      <c r="I848" s="23" t="n"/>
      <c r="J848" s="23" t="n"/>
      <c r="K848" s="24" t="n"/>
      <c r="L848" s="23" t="n"/>
      <c r="M848" s="23" t="n"/>
      <c r="N848" s="24" t="n"/>
      <c r="O848" s="23" t="n"/>
      <c r="P848" s="23" t="n"/>
    </row>
    <row r="849">
      <c r="A849" s="23" t="n"/>
      <c r="B849" s="23" t="n"/>
      <c r="C849" s="23" t="n"/>
      <c r="D849" s="23" t="n"/>
      <c r="E849" s="23" t="n"/>
      <c r="F849" s="23" t="n"/>
      <c r="G849" s="23" t="n"/>
      <c r="H849" s="23" t="n"/>
      <c r="I849" s="23" t="n"/>
      <c r="J849" s="23" t="n"/>
      <c r="K849" s="24" t="n"/>
      <c r="L849" s="23" t="n"/>
      <c r="M849" s="23" t="n"/>
      <c r="N849" s="24" t="n"/>
      <c r="O849" s="23" t="n"/>
      <c r="P849" s="23" t="n"/>
    </row>
    <row r="850">
      <c r="A850" s="23" t="n"/>
      <c r="B850" s="23" t="n"/>
      <c r="C850" s="23" t="n"/>
      <c r="D850" s="23" t="n"/>
      <c r="E850" s="23" t="n"/>
      <c r="F850" s="23" t="n"/>
      <c r="G850" s="23" t="n"/>
      <c r="H850" s="23" t="n"/>
      <c r="I850" s="23" t="n"/>
      <c r="J850" s="23" t="n"/>
      <c r="K850" s="24" t="n"/>
      <c r="L850" s="23" t="n"/>
      <c r="M850" s="23" t="n"/>
      <c r="N850" s="24" t="n"/>
      <c r="O850" s="23" t="n"/>
      <c r="P850" s="23" t="n"/>
    </row>
    <row r="851">
      <c r="A851" s="23" t="n"/>
      <c r="B851" s="23" t="n"/>
      <c r="C851" s="23" t="n"/>
      <c r="D851" s="23" t="n"/>
      <c r="E851" s="23" t="n"/>
      <c r="F851" s="23" t="n"/>
      <c r="G851" s="23" t="n"/>
      <c r="H851" s="23" t="n"/>
      <c r="I851" s="23" t="n"/>
      <c r="J851" s="23" t="n"/>
      <c r="K851" s="24" t="n"/>
      <c r="L851" s="23" t="n"/>
      <c r="M851" s="23" t="n"/>
      <c r="N851" s="24" t="n"/>
      <c r="O851" s="23" t="n"/>
      <c r="P851" s="23" t="n"/>
    </row>
    <row r="852">
      <c r="A852" s="23" t="n"/>
      <c r="B852" s="23" t="n"/>
      <c r="C852" s="23" t="n"/>
      <c r="D852" s="23" t="n"/>
      <c r="E852" s="23" t="n"/>
      <c r="F852" s="23" t="n"/>
      <c r="G852" s="23" t="n"/>
      <c r="H852" s="23" t="n"/>
      <c r="I852" s="23" t="n"/>
      <c r="J852" s="23" t="n"/>
      <c r="K852" s="24" t="n"/>
      <c r="L852" s="23" t="n"/>
      <c r="M852" s="23" t="n"/>
      <c r="N852" s="24" t="n"/>
      <c r="O852" s="23" t="n"/>
      <c r="P852" s="23" t="n"/>
    </row>
    <row r="853">
      <c r="A853" s="23" t="n"/>
      <c r="B853" s="23" t="n"/>
      <c r="C853" s="23" t="n"/>
      <c r="D853" s="23" t="n"/>
      <c r="E853" s="23" t="n"/>
      <c r="F853" s="23" t="n"/>
      <c r="G853" s="23" t="n"/>
      <c r="H853" s="23" t="n"/>
      <c r="I853" s="23" t="n"/>
      <c r="J853" s="23" t="n"/>
      <c r="K853" s="24" t="n"/>
      <c r="L853" s="23" t="n"/>
      <c r="M853" s="23" t="n"/>
      <c r="N853" s="24" t="n"/>
      <c r="O853" s="23" t="n"/>
      <c r="P853" s="23" t="n"/>
    </row>
    <row r="854">
      <c r="A854" s="23" t="n"/>
      <c r="B854" s="23" t="n"/>
      <c r="C854" s="23" t="n"/>
      <c r="D854" s="23" t="n"/>
      <c r="E854" s="23" t="n"/>
      <c r="F854" s="23" t="n"/>
      <c r="G854" s="23" t="n"/>
      <c r="H854" s="23" t="n"/>
      <c r="I854" s="23" t="n"/>
      <c r="J854" s="23" t="n"/>
      <c r="K854" s="24" t="n"/>
      <c r="L854" s="23" t="n"/>
      <c r="M854" s="23" t="n"/>
      <c r="N854" s="24" t="n"/>
      <c r="O854" s="23" t="n"/>
      <c r="P854" s="23" t="n"/>
    </row>
    <row r="855">
      <c r="A855" s="23" t="n"/>
      <c r="B855" s="23" t="n"/>
      <c r="C855" s="23" t="n"/>
      <c r="D855" s="23" t="n"/>
      <c r="E855" s="23" t="n"/>
      <c r="F855" s="23" t="n"/>
      <c r="G855" s="23" t="n"/>
      <c r="H855" s="23" t="n"/>
      <c r="I855" s="23" t="n"/>
      <c r="J855" s="23" t="n"/>
      <c r="K855" s="24" t="n"/>
      <c r="L855" s="23" t="n"/>
      <c r="M855" s="23" t="n"/>
      <c r="N855" s="24" t="n"/>
      <c r="O855" s="23" t="n"/>
      <c r="P855" s="23" t="n"/>
    </row>
    <row r="856">
      <c r="A856" s="23" t="n"/>
      <c r="B856" s="23" t="n"/>
      <c r="C856" s="23" t="n"/>
      <c r="D856" s="23" t="n"/>
      <c r="E856" s="23" t="n"/>
      <c r="F856" s="23" t="n"/>
      <c r="G856" s="23" t="n"/>
      <c r="H856" s="23" t="n"/>
      <c r="I856" s="23" t="n"/>
      <c r="J856" s="23" t="n"/>
      <c r="K856" s="24" t="n"/>
      <c r="L856" s="23" t="n"/>
      <c r="M856" s="23" t="n"/>
      <c r="N856" s="24" t="n"/>
      <c r="O856" s="23" t="n"/>
      <c r="P856" s="23" t="n"/>
    </row>
    <row r="857">
      <c r="A857" s="23" t="n"/>
      <c r="B857" s="23" t="n"/>
      <c r="C857" s="23" t="n"/>
      <c r="D857" s="23" t="n"/>
      <c r="E857" s="23" t="n"/>
      <c r="F857" s="23" t="n"/>
      <c r="G857" s="23" t="n"/>
      <c r="H857" s="23" t="n"/>
      <c r="I857" s="23" t="n"/>
      <c r="J857" s="23" t="n"/>
      <c r="K857" s="24" t="n"/>
      <c r="L857" s="23" t="n"/>
      <c r="M857" s="23" t="n"/>
      <c r="N857" s="24" t="n"/>
      <c r="O857" s="23" t="n"/>
      <c r="P857" s="23" t="n"/>
    </row>
    <row r="858">
      <c r="A858" s="23" t="n"/>
      <c r="B858" s="23" t="n"/>
      <c r="C858" s="23" t="n"/>
      <c r="D858" s="23" t="n"/>
      <c r="E858" s="23" t="n"/>
      <c r="F858" s="23" t="n"/>
      <c r="G858" s="23" t="n"/>
      <c r="H858" s="23" t="n"/>
      <c r="I858" s="23" t="n"/>
      <c r="J858" s="23" t="n"/>
      <c r="K858" s="24" t="n"/>
      <c r="L858" s="23" t="n"/>
      <c r="M858" s="23" t="n"/>
      <c r="N858" s="24" t="n"/>
      <c r="O858" s="23" t="n"/>
      <c r="P858" s="23" t="n"/>
    </row>
    <row r="859">
      <c r="A859" s="23" t="n"/>
      <c r="B859" s="23" t="n"/>
      <c r="C859" s="23" t="n"/>
      <c r="D859" s="23" t="n"/>
      <c r="E859" s="23" t="n"/>
      <c r="F859" s="23" t="n"/>
      <c r="G859" s="23" t="n"/>
      <c r="H859" s="23" t="n"/>
      <c r="I859" s="23" t="n"/>
      <c r="J859" s="23" t="n"/>
      <c r="K859" s="24" t="n"/>
      <c r="L859" s="23" t="n"/>
      <c r="M859" s="23" t="n"/>
      <c r="N859" s="24" t="n"/>
      <c r="O859" s="23" t="n"/>
      <c r="P859" s="23" t="n"/>
    </row>
    <row r="860">
      <c r="A860" s="23" t="n"/>
      <c r="B860" s="23" t="n"/>
      <c r="C860" s="23" t="n"/>
      <c r="D860" s="23" t="n"/>
      <c r="E860" s="23" t="n"/>
      <c r="F860" s="23" t="n"/>
      <c r="G860" s="23" t="n"/>
      <c r="H860" s="23" t="n"/>
      <c r="I860" s="23" t="n"/>
      <c r="J860" s="23" t="n"/>
      <c r="K860" s="24" t="n"/>
      <c r="L860" s="23" t="n"/>
      <c r="M860" s="23" t="n"/>
      <c r="N860" s="24" t="n"/>
      <c r="O860" s="23" t="n"/>
      <c r="P860" s="23" t="n"/>
    </row>
    <row r="861">
      <c r="A861" s="23" t="n"/>
      <c r="B861" s="23" t="n"/>
      <c r="C861" s="23" t="n"/>
      <c r="D861" s="23" t="n"/>
      <c r="E861" s="23" t="n"/>
      <c r="F861" s="23" t="n"/>
      <c r="G861" s="23" t="n"/>
      <c r="H861" s="23" t="n"/>
      <c r="I861" s="23" t="n"/>
      <c r="J861" s="23" t="n"/>
      <c r="K861" s="24" t="n"/>
      <c r="L861" s="23" t="n"/>
      <c r="M861" s="23" t="n"/>
      <c r="N861" s="24" t="n"/>
      <c r="O861" s="23" t="n"/>
      <c r="P861" s="23" t="n"/>
    </row>
    <row r="862">
      <c r="A862" s="23" t="n"/>
      <c r="B862" s="23" t="n"/>
      <c r="C862" s="23" t="n"/>
      <c r="D862" s="23" t="n"/>
      <c r="E862" s="23" t="n"/>
      <c r="F862" s="23" t="n"/>
      <c r="G862" s="23" t="n"/>
      <c r="H862" s="23" t="n"/>
      <c r="I862" s="23" t="n"/>
      <c r="J862" s="23" t="n"/>
      <c r="K862" s="24" t="n"/>
      <c r="L862" s="23" t="n"/>
      <c r="M862" s="23" t="n"/>
      <c r="N862" s="24" t="n"/>
      <c r="O862" s="23" t="n"/>
      <c r="P862" s="23" t="n"/>
    </row>
    <row r="863">
      <c r="A863" s="23" t="n"/>
      <c r="B863" s="23" t="n"/>
      <c r="C863" s="23" t="n"/>
      <c r="D863" s="23" t="n"/>
      <c r="E863" s="23" t="n"/>
      <c r="F863" s="23" t="n"/>
      <c r="G863" s="23" t="n"/>
      <c r="H863" s="23" t="n"/>
      <c r="I863" s="23" t="n"/>
      <c r="J863" s="23" t="n"/>
      <c r="K863" s="24" t="n"/>
      <c r="L863" s="23" t="n"/>
      <c r="M863" s="23" t="n"/>
      <c r="N863" s="24" t="n"/>
      <c r="O863" s="23" t="n"/>
      <c r="P863" s="23" t="n"/>
    </row>
    <row r="864">
      <c r="A864" s="23" t="n"/>
      <c r="B864" s="23" t="n"/>
      <c r="C864" s="23" t="n"/>
      <c r="D864" s="23" t="n"/>
      <c r="E864" s="23" t="n"/>
      <c r="F864" s="23" t="n"/>
      <c r="G864" s="23" t="n"/>
      <c r="H864" s="23" t="n"/>
      <c r="I864" s="23" t="n"/>
      <c r="J864" s="23" t="n"/>
      <c r="K864" s="24" t="n"/>
      <c r="L864" s="23" t="n"/>
      <c r="M864" s="23" t="n"/>
      <c r="N864" s="24" t="n"/>
      <c r="O864" s="23" t="n"/>
      <c r="P864" s="23" t="n"/>
    </row>
    <row r="865">
      <c r="A865" s="23" t="n"/>
      <c r="B865" s="23" t="n"/>
      <c r="C865" s="23" t="n"/>
      <c r="D865" s="23" t="n"/>
      <c r="E865" s="23" t="n"/>
      <c r="F865" s="23" t="n"/>
      <c r="G865" s="23" t="n"/>
      <c r="H865" s="23" t="n"/>
      <c r="I865" s="23" t="n"/>
      <c r="J865" s="23" t="n"/>
      <c r="K865" s="24" t="n"/>
      <c r="L865" s="23" t="n"/>
      <c r="M865" s="23" t="n"/>
      <c r="N865" s="24" t="n"/>
      <c r="O865" s="23" t="n"/>
      <c r="P865" s="23" t="n"/>
    </row>
    <row r="866">
      <c r="A866" s="23" t="n"/>
      <c r="B866" s="23" t="n"/>
      <c r="C866" s="23" t="n"/>
      <c r="D866" s="23" t="n"/>
      <c r="E866" s="23" t="n"/>
      <c r="F866" s="23" t="n"/>
      <c r="G866" s="23" t="n"/>
      <c r="H866" s="23" t="n"/>
      <c r="I866" s="23" t="n"/>
      <c r="J866" s="23" t="n"/>
      <c r="K866" s="24" t="n"/>
      <c r="L866" s="23" t="n"/>
      <c r="M866" s="23" t="n"/>
      <c r="N866" s="24" t="n"/>
      <c r="O866" s="23" t="n"/>
      <c r="P866" s="23" t="n"/>
    </row>
    <row r="867">
      <c r="A867" s="23" t="n"/>
      <c r="B867" s="23" t="n"/>
      <c r="C867" s="23" t="n"/>
      <c r="D867" s="23" t="n"/>
      <c r="E867" s="23" t="n"/>
      <c r="F867" s="23" t="n"/>
      <c r="G867" s="23" t="n"/>
      <c r="H867" s="23" t="n"/>
      <c r="I867" s="23" t="n"/>
      <c r="J867" s="23" t="n"/>
      <c r="K867" s="24" t="n"/>
      <c r="L867" s="23" t="n"/>
      <c r="M867" s="23" t="n"/>
      <c r="N867" s="24" t="n"/>
      <c r="O867" s="23" t="n"/>
      <c r="P867" s="23" t="n"/>
    </row>
    <row r="868">
      <c r="A868" s="23" t="n"/>
      <c r="B868" s="23" t="n"/>
      <c r="C868" s="23" t="n"/>
      <c r="D868" s="23" t="n"/>
      <c r="E868" s="23" t="n"/>
      <c r="F868" s="23" t="n"/>
      <c r="G868" s="23" t="n"/>
      <c r="H868" s="23" t="n"/>
      <c r="I868" s="23" t="n"/>
      <c r="J868" s="23" t="n"/>
      <c r="K868" s="24" t="n"/>
      <c r="L868" s="23" t="n"/>
      <c r="M868" s="23" t="n"/>
      <c r="N868" s="24" t="n"/>
      <c r="O868" s="23" t="n"/>
      <c r="P868" s="23" t="n"/>
    </row>
    <row r="869">
      <c r="A869" s="23" t="n"/>
      <c r="B869" s="23" t="n"/>
      <c r="C869" s="23" t="n"/>
      <c r="D869" s="23" t="n"/>
      <c r="E869" s="23" t="n"/>
      <c r="F869" s="23" t="n"/>
      <c r="G869" s="23" t="n"/>
      <c r="H869" s="23" t="n"/>
      <c r="I869" s="23" t="n"/>
      <c r="J869" s="23" t="n"/>
      <c r="K869" s="24" t="n"/>
      <c r="L869" s="23" t="n"/>
      <c r="M869" s="23" t="n"/>
      <c r="N869" s="24" t="n"/>
      <c r="O869" s="23" t="n"/>
      <c r="P869" s="23" t="n"/>
    </row>
    <row r="870">
      <c r="A870" s="23" t="n"/>
      <c r="B870" s="23" t="n"/>
      <c r="C870" s="23" t="n"/>
      <c r="D870" s="23" t="n"/>
      <c r="E870" s="23" t="n"/>
      <c r="F870" s="23" t="n"/>
      <c r="G870" s="23" t="n"/>
      <c r="H870" s="23" t="n"/>
      <c r="I870" s="23" t="n"/>
      <c r="J870" s="23" t="n"/>
      <c r="K870" s="24" t="n"/>
      <c r="L870" s="23" t="n"/>
      <c r="M870" s="23" t="n"/>
      <c r="N870" s="24" t="n"/>
      <c r="O870" s="23" t="n"/>
      <c r="P870" s="23" t="n"/>
    </row>
    <row r="871">
      <c r="A871" s="23" t="n"/>
      <c r="B871" s="23" t="n"/>
      <c r="C871" s="23" t="n"/>
      <c r="D871" s="23" t="n"/>
      <c r="E871" s="23" t="n"/>
      <c r="F871" s="23" t="n"/>
      <c r="G871" s="23" t="n"/>
      <c r="H871" s="23" t="n"/>
      <c r="I871" s="23" t="n"/>
      <c r="J871" s="23" t="n"/>
      <c r="K871" s="24" t="n"/>
      <c r="L871" s="23" t="n"/>
      <c r="M871" s="23" t="n"/>
      <c r="N871" s="24" t="n"/>
      <c r="O871" s="23" t="n"/>
      <c r="P871" s="23" t="n"/>
    </row>
    <row r="872">
      <c r="A872" s="23" t="n"/>
      <c r="B872" s="23" t="n"/>
      <c r="C872" s="23" t="n"/>
      <c r="D872" s="23" t="n"/>
      <c r="E872" s="23" t="n"/>
      <c r="F872" s="23" t="n"/>
      <c r="G872" s="23" t="n"/>
      <c r="H872" s="23" t="n"/>
      <c r="I872" s="23" t="n"/>
      <c r="J872" s="23" t="n"/>
      <c r="K872" s="24" t="n"/>
      <c r="L872" s="23" t="n"/>
      <c r="M872" s="23" t="n"/>
      <c r="N872" s="24" t="n"/>
      <c r="O872" s="23" t="n"/>
      <c r="P872" s="23" t="n"/>
    </row>
    <row r="873">
      <c r="A873" s="23" t="n"/>
      <c r="B873" s="23" t="n"/>
      <c r="C873" s="23" t="n"/>
      <c r="D873" s="23" t="n"/>
      <c r="E873" s="23" t="n"/>
      <c r="F873" s="23" t="n"/>
      <c r="G873" s="23" t="n"/>
      <c r="H873" s="23" t="n"/>
      <c r="I873" s="23" t="n"/>
      <c r="J873" s="23" t="n"/>
      <c r="K873" s="24" t="n"/>
      <c r="L873" s="23" t="n"/>
      <c r="M873" s="23" t="n"/>
      <c r="N873" s="24" t="n"/>
      <c r="O873" s="23" t="n"/>
      <c r="P873" s="23" t="n"/>
    </row>
    <row r="874">
      <c r="A874" s="23" t="n"/>
      <c r="B874" s="23" t="n"/>
      <c r="C874" s="23" t="n"/>
      <c r="D874" s="23" t="n"/>
      <c r="E874" s="23" t="n"/>
      <c r="F874" s="23" t="n"/>
      <c r="G874" s="23" t="n"/>
      <c r="H874" s="23" t="n"/>
      <c r="I874" s="23" t="n"/>
      <c r="J874" s="23" t="n"/>
      <c r="K874" s="24" t="n"/>
      <c r="L874" s="23" t="n"/>
      <c r="M874" s="23" t="n"/>
      <c r="N874" s="24" t="n"/>
      <c r="O874" s="23" t="n"/>
      <c r="P874" s="23" t="n"/>
    </row>
    <row r="875">
      <c r="A875" s="23" t="n"/>
      <c r="B875" s="23" t="n"/>
      <c r="C875" s="23" t="n"/>
      <c r="D875" s="23" t="n"/>
      <c r="E875" s="23" t="n"/>
      <c r="F875" s="23" t="n"/>
      <c r="G875" s="23" t="n"/>
      <c r="H875" s="23" t="n"/>
      <c r="I875" s="23" t="n"/>
      <c r="J875" s="23" t="n"/>
      <c r="K875" s="24" t="n"/>
      <c r="L875" s="23" t="n"/>
      <c r="M875" s="23" t="n"/>
      <c r="N875" s="24" t="n"/>
      <c r="O875" s="23" t="n"/>
      <c r="P875" s="23" t="n"/>
    </row>
    <row r="876">
      <c r="A876" s="23" t="n"/>
      <c r="B876" s="23" t="n"/>
      <c r="C876" s="23" t="n"/>
      <c r="D876" s="23" t="n"/>
      <c r="E876" s="23" t="n"/>
      <c r="F876" s="23" t="n"/>
      <c r="G876" s="23" t="n"/>
      <c r="H876" s="23" t="n"/>
      <c r="I876" s="23" t="n"/>
      <c r="J876" s="23" t="n"/>
      <c r="K876" s="24" t="n"/>
      <c r="L876" s="23" t="n"/>
      <c r="M876" s="23" t="n"/>
      <c r="N876" s="24" t="n"/>
      <c r="O876" s="23" t="n"/>
      <c r="P876" s="23" t="n"/>
    </row>
    <row r="877">
      <c r="A877" s="23" t="n"/>
      <c r="B877" s="23" t="n"/>
      <c r="C877" s="23" t="n"/>
      <c r="D877" s="23" t="n"/>
      <c r="E877" s="23" t="n"/>
      <c r="F877" s="23" t="n"/>
      <c r="G877" s="23" t="n"/>
      <c r="H877" s="23" t="n"/>
      <c r="I877" s="23" t="n"/>
      <c r="J877" s="23" t="n"/>
      <c r="K877" s="24" t="n"/>
      <c r="L877" s="23" t="n"/>
      <c r="M877" s="23" t="n"/>
      <c r="N877" s="24" t="n"/>
      <c r="O877" s="23" t="n"/>
      <c r="P877" s="23" t="n"/>
    </row>
    <row r="878">
      <c r="A878" s="23" t="n"/>
      <c r="B878" s="23" t="n"/>
      <c r="C878" s="23" t="n"/>
      <c r="D878" s="23" t="n"/>
      <c r="E878" s="23" t="n"/>
      <c r="F878" s="23" t="n"/>
      <c r="G878" s="23" t="n"/>
      <c r="H878" s="23" t="n"/>
      <c r="I878" s="23" t="n"/>
      <c r="J878" s="23" t="n"/>
      <c r="K878" s="24" t="n"/>
      <c r="L878" s="23" t="n"/>
      <c r="M878" s="23" t="n"/>
      <c r="N878" s="24" t="n"/>
      <c r="O878" s="23" t="n"/>
      <c r="P878" s="23" t="n"/>
    </row>
    <row r="879">
      <c r="A879" s="23" t="n"/>
      <c r="B879" s="23" t="n"/>
      <c r="C879" s="23" t="n"/>
      <c r="D879" s="23" t="n"/>
      <c r="E879" s="23" t="n"/>
      <c r="F879" s="23" t="n"/>
      <c r="G879" s="23" t="n"/>
      <c r="H879" s="23" t="n"/>
      <c r="I879" s="23" t="n"/>
      <c r="J879" s="23" t="n"/>
      <c r="K879" s="24" t="n"/>
      <c r="L879" s="23" t="n"/>
      <c r="M879" s="23" t="n"/>
      <c r="N879" s="24" t="n"/>
      <c r="O879" s="23" t="n"/>
      <c r="P879" s="23" t="n"/>
    </row>
    <row r="880">
      <c r="A880" s="23" t="n"/>
      <c r="B880" s="23" t="n"/>
      <c r="C880" s="23" t="n"/>
      <c r="D880" s="23" t="n"/>
      <c r="E880" s="23" t="n"/>
      <c r="F880" s="23" t="n"/>
      <c r="G880" s="23" t="n"/>
      <c r="H880" s="23" t="n"/>
      <c r="I880" s="23" t="n"/>
      <c r="J880" s="23" t="n"/>
      <c r="K880" s="24" t="n"/>
      <c r="L880" s="23" t="n"/>
      <c r="M880" s="23" t="n"/>
      <c r="N880" s="24" t="n"/>
      <c r="O880" s="23" t="n"/>
      <c r="P880" s="23" t="n"/>
    </row>
    <row r="881">
      <c r="A881" s="23" t="n"/>
      <c r="B881" s="23" t="n"/>
      <c r="C881" s="23" t="n"/>
      <c r="D881" s="23" t="n"/>
      <c r="E881" s="23" t="n"/>
      <c r="F881" s="23" t="n"/>
      <c r="G881" s="23" t="n"/>
      <c r="H881" s="23" t="n"/>
      <c r="I881" s="23" t="n"/>
      <c r="J881" s="23" t="n"/>
      <c r="K881" s="24" t="n"/>
      <c r="L881" s="23" t="n"/>
      <c r="M881" s="23" t="n"/>
      <c r="N881" s="24" t="n"/>
      <c r="O881" s="23" t="n"/>
      <c r="P881" s="23" t="n"/>
    </row>
    <row r="882">
      <c r="A882" s="23" t="n"/>
      <c r="B882" s="23" t="n"/>
      <c r="C882" s="23" t="n"/>
      <c r="D882" s="23" t="n"/>
      <c r="E882" s="23" t="n"/>
      <c r="F882" s="23" t="n"/>
      <c r="G882" s="23" t="n"/>
      <c r="H882" s="23" t="n"/>
      <c r="I882" s="23" t="n"/>
      <c r="J882" s="23" t="n"/>
      <c r="K882" s="24" t="n"/>
      <c r="L882" s="23" t="n"/>
      <c r="M882" s="23" t="n"/>
      <c r="N882" s="24" t="n"/>
      <c r="O882" s="23" t="n"/>
      <c r="P882" s="23" t="n"/>
    </row>
    <row r="883">
      <c r="A883" s="23" t="n"/>
      <c r="B883" s="23" t="n"/>
      <c r="C883" s="23" t="n"/>
      <c r="D883" s="23" t="n"/>
      <c r="E883" s="23" t="n"/>
      <c r="F883" s="23" t="n"/>
      <c r="G883" s="23" t="n"/>
      <c r="H883" s="23" t="n"/>
      <c r="I883" s="23" t="n"/>
      <c r="J883" s="23" t="n"/>
      <c r="K883" s="24" t="n"/>
      <c r="L883" s="23" t="n"/>
      <c r="M883" s="23" t="n"/>
      <c r="N883" s="24" t="n"/>
      <c r="O883" s="23" t="n"/>
      <c r="P883" s="23" t="n"/>
    </row>
    <row r="884">
      <c r="A884" s="23" t="n"/>
      <c r="B884" s="23" t="n"/>
      <c r="C884" s="23" t="n"/>
      <c r="D884" s="23" t="n"/>
      <c r="E884" s="23" t="n"/>
      <c r="F884" s="23" t="n"/>
      <c r="G884" s="23" t="n"/>
      <c r="H884" s="23" t="n"/>
      <c r="I884" s="23" t="n"/>
      <c r="J884" s="23" t="n"/>
      <c r="K884" s="24" t="n"/>
      <c r="L884" s="23" t="n"/>
      <c r="M884" s="23" t="n"/>
      <c r="N884" s="24" t="n"/>
      <c r="O884" s="23" t="n"/>
      <c r="P884" s="23" t="n"/>
    </row>
    <row r="885">
      <c r="A885" s="23" t="n"/>
      <c r="B885" s="23" t="n"/>
      <c r="C885" s="23" t="n"/>
      <c r="D885" s="23" t="n"/>
      <c r="E885" s="23" t="n"/>
      <c r="F885" s="23" t="n"/>
      <c r="G885" s="23" t="n"/>
      <c r="H885" s="23" t="n"/>
      <c r="I885" s="23" t="n"/>
      <c r="J885" s="23" t="n"/>
      <c r="K885" s="24" t="n"/>
      <c r="L885" s="23" t="n"/>
      <c r="M885" s="23" t="n"/>
      <c r="N885" s="24" t="n"/>
      <c r="O885" s="23" t="n"/>
      <c r="P885" s="23" t="n"/>
    </row>
    <row r="886">
      <c r="A886" s="23" t="n"/>
      <c r="B886" s="23" t="n"/>
      <c r="C886" s="23" t="n"/>
      <c r="D886" s="23" t="n"/>
      <c r="E886" s="23" t="n"/>
      <c r="F886" s="23" t="n"/>
      <c r="G886" s="23" t="n"/>
      <c r="H886" s="23" t="n"/>
      <c r="I886" s="23" t="n"/>
      <c r="J886" s="23" t="n"/>
      <c r="K886" s="24" t="n"/>
      <c r="L886" s="23" t="n"/>
      <c r="M886" s="23" t="n"/>
      <c r="N886" s="24" t="n"/>
      <c r="O886" s="23" t="n"/>
      <c r="P886" s="23" t="n"/>
    </row>
    <row r="887">
      <c r="A887" s="23" t="n"/>
      <c r="B887" s="23" t="n"/>
      <c r="C887" s="23" t="n"/>
      <c r="D887" s="23" t="n"/>
      <c r="E887" s="23" t="n"/>
      <c r="F887" s="23" t="n"/>
      <c r="G887" s="23" t="n"/>
      <c r="H887" s="23" t="n"/>
      <c r="I887" s="23" t="n"/>
      <c r="J887" s="23" t="n"/>
      <c r="K887" s="24" t="n"/>
      <c r="L887" s="23" t="n"/>
      <c r="M887" s="23" t="n"/>
      <c r="N887" s="24" t="n"/>
      <c r="O887" s="23" t="n"/>
      <c r="P887" s="23" t="n"/>
    </row>
    <row r="888">
      <c r="A888" s="23" t="n"/>
      <c r="B888" s="23" t="n"/>
      <c r="C888" s="23" t="n"/>
      <c r="D888" s="23" t="n"/>
      <c r="E888" s="23" t="n"/>
      <c r="F888" s="23" t="n"/>
      <c r="G888" s="23" t="n"/>
      <c r="H888" s="23" t="n"/>
      <c r="I888" s="23" t="n"/>
      <c r="J888" s="23" t="n"/>
      <c r="K888" s="24" t="n"/>
      <c r="L888" s="23" t="n"/>
      <c r="M888" s="23" t="n"/>
      <c r="N888" s="24" t="n"/>
      <c r="O888" s="23" t="n"/>
      <c r="P888" s="23" t="n"/>
    </row>
    <row r="889">
      <c r="A889" s="23" t="n"/>
      <c r="B889" s="23" t="n"/>
      <c r="C889" s="23" t="n"/>
      <c r="D889" s="23" t="n"/>
      <c r="E889" s="23" t="n"/>
      <c r="F889" s="23" t="n"/>
      <c r="G889" s="23" t="n"/>
      <c r="H889" s="23" t="n"/>
      <c r="I889" s="23" t="n"/>
      <c r="J889" s="23" t="n"/>
      <c r="K889" s="24" t="n"/>
      <c r="L889" s="23" t="n"/>
      <c r="M889" s="23" t="n"/>
      <c r="N889" s="24" t="n"/>
      <c r="O889" s="23" t="n"/>
      <c r="P889" s="23" t="n"/>
    </row>
    <row r="890">
      <c r="A890" s="23" t="n"/>
      <c r="B890" s="23" t="n"/>
      <c r="C890" s="23" t="n"/>
      <c r="D890" s="23" t="n"/>
      <c r="E890" s="23" t="n"/>
      <c r="F890" s="23" t="n"/>
      <c r="G890" s="23" t="n"/>
      <c r="H890" s="23" t="n"/>
      <c r="I890" s="23" t="n"/>
      <c r="J890" s="23" t="n"/>
      <c r="K890" s="24" t="n"/>
      <c r="L890" s="23" t="n"/>
      <c r="M890" s="23" t="n"/>
      <c r="N890" s="24" t="n"/>
      <c r="O890" s="23" t="n"/>
      <c r="P890" s="23" t="n"/>
    </row>
    <row r="891">
      <c r="A891" s="23" t="n"/>
      <c r="B891" s="23" t="n"/>
      <c r="C891" s="23" t="n"/>
      <c r="D891" s="23" t="n"/>
      <c r="E891" s="23" t="n"/>
      <c r="F891" s="23" t="n"/>
      <c r="G891" s="23" t="n"/>
      <c r="H891" s="23" t="n"/>
      <c r="I891" s="23" t="n"/>
      <c r="J891" s="23" t="n"/>
      <c r="K891" s="24" t="n"/>
      <c r="L891" s="23" t="n"/>
      <c r="M891" s="23" t="n"/>
      <c r="N891" s="24" t="n"/>
      <c r="O891" s="23" t="n"/>
      <c r="P891" s="23" t="n"/>
    </row>
    <row r="892">
      <c r="A892" s="23" t="n"/>
      <c r="B892" s="23" t="n"/>
      <c r="C892" s="23" t="n"/>
      <c r="D892" s="23" t="n"/>
      <c r="E892" s="23" t="n"/>
      <c r="F892" s="23" t="n"/>
      <c r="G892" s="23" t="n"/>
      <c r="H892" s="23" t="n"/>
      <c r="I892" s="23" t="n"/>
      <c r="J892" s="23" t="n"/>
      <c r="K892" s="24" t="n"/>
      <c r="L892" s="23" t="n"/>
      <c r="M892" s="23" t="n"/>
      <c r="N892" s="24" t="n"/>
      <c r="O892" s="23" t="n"/>
      <c r="P892" s="23" t="n"/>
    </row>
    <row r="893">
      <c r="A893" s="23" t="n"/>
      <c r="B893" s="23" t="n"/>
      <c r="C893" s="23" t="n"/>
      <c r="D893" s="23" t="n"/>
      <c r="E893" s="23" t="n"/>
      <c r="F893" s="23" t="n"/>
      <c r="G893" s="23" t="n"/>
      <c r="H893" s="23" t="n"/>
      <c r="I893" s="23" t="n"/>
      <c r="J893" s="23" t="n"/>
      <c r="K893" s="24" t="n"/>
      <c r="L893" s="23" t="n"/>
      <c r="M893" s="23" t="n"/>
      <c r="N893" s="24" t="n"/>
      <c r="O893" s="23" t="n"/>
      <c r="P893" s="23" t="n"/>
    </row>
    <row r="894">
      <c r="A894" s="23" t="n"/>
      <c r="B894" s="23" t="n"/>
      <c r="C894" s="23" t="n"/>
      <c r="D894" s="23" t="n"/>
      <c r="E894" s="23" t="n"/>
      <c r="F894" s="23" t="n"/>
      <c r="G894" s="23" t="n"/>
      <c r="H894" s="23" t="n"/>
      <c r="I894" s="23" t="n"/>
      <c r="J894" s="23" t="n"/>
      <c r="K894" s="24" t="n"/>
      <c r="L894" s="23" t="n"/>
      <c r="M894" s="23" t="n"/>
      <c r="N894" s="24" t="n"/>
      <c r="O894" s="23" t="n"/>
      <c r="P894" s="23" t="n"/>
    </row>
    <row r="895">
      <c r="A895" s="23" t="n"/>
      <c r="B895" s="23" t="n"/>
      <c r="C895" s="23" t="n"/>
      <c r="D895" s="23" t="n"/>
      <c r="E895" s="23" t="n"/>
      <c r="F895" s="23" t="n"/>
      <c r="G895" s="23" t="n"/>
      <c r="H895" s="23" t="n"/>
      <c r="I895" s="23" t="n"/>
      <c r="J895" s="23" t="n"/>
      <c r="K895" s="24" t="n"/>
      <c r="L895" s="23" t="n"/>
      <c r="M895" s="23" t="n"/>
      <c r="N895" s="24" t="n"/>
      <c r="O895" s="23" t="n"/>
      <c r="P895" s="23" t="n"/>
    </row>
    <row r="896">
      <c r="A896" s="23" t="n"/>
      <c r="B896" s="23" t="n"/>
      <c r="C896" s="23" t="n"/>
      <c r="D896" s="23" t="n"/>
      <c r="E896" s="23" t="n"/>
      <c r="F896" s="23" t="n"/>
      <c r="G896" s="23" t="n"/>
      <c r="H896" s="23" t="n"/>
      <c r="I896" s="23" t="n"/>
      <c r="J896" s="23" t="n"/>
      <c r="K896" s="24" t="n"/>
      <c r="L896" s="23" t="n"/>
      <c r="M896" s="23" t="n"/>
      <c r="N896" s="24" t="n"/>
      <c r="O896" s="23" t="n"/>
      <c r="P896" s="23" t="n"/>
    </row>
    <row r="897">
      <c r="A897" s="23" t="n"/>
      <c r="B897" s="23" t="n"/>
      <c r="C897" s="23" t="n"/>
      <c r="D897" s="23" t="n"/>
      <c r="E897" s="23" t="n"/>
      <c r="F897" s="23" t="n"/>
      <c r="G897" s="23" t="n"/>
      <c r="H897" s="23" t="n"/>
      <c r="I897" s="23" t="n"/>
      <c r="J897" s="23" t="n"/>
      <c r="K897" s="24" t="n"/>
      <c r="L897" s="23" t="n"/>
      <c r="M897" s="23" t="n"/>
      <c r="N897" s="24" t="n"/>
      <c r="O897" s="23" t="n"/>
      <c r="P897" s="23" t="n"/>
    </row>
    <row r="898">
      <c r="A898" s="23" t="n"/>
      <c r="B898" s="23" t="n"/>
      <c r="C898" s="23" t="n"/>
      <c r="D898" s="23" t="n"/>
      <c r="E898" s="23" t="n"/>
      <c r="F898" s="23" t="n"/>
      <c r="G898" s="23" t="n"/>
      <c r="H898" s="23" t="n"/>
      <c r="I898" s="23" t="n"/>
      <c r="J898" s="23" t="n"/>
      <c r="K898" s="24" t="n"/>
      <c r="L898" s="23" t="n"/>
      <c r="M898" s="23" t="n"/>
      <c r="N898" s="24" t="n"/>
      <c r="O898" s="23" t="n"/>
      <c r="P898" s="23" t="n"/>
    </row>
    <row r="899">
      <c r="A899" s="23" t="n"/>
      <c r="B899" s="23" t="n"/>
      <c r="C899" s="23" t="n"/>
      <c r="D899" s="23" t="n"/>
      <c r="E899" s="23" t="n"/>
      <c r="F899" s="23" t="n"/>
      <c r="G899" s="23" t="n"/>
      <c r="H899" s="23" t="n"/>
      <c r="I899" s="23" t="n"/>
      <c r="J899" s="23" t="n"/>
      <c r="K899" s="24" t="n"/>
      <c r="L899" s="23" t="n"/>
      <c r="M899" s="23" t="n"/>
      <c r="N899" s="24" t="n"/>
      <c r="O899" s="23" t="n"/>
      <c r="P899" s="23" t="n"/>
    </row>
    <row r="900">
      <c r="A900" s="23" t="n"/>
      <c r="B900" s="23" t="n"/>
      <c r="C900" s="23" t="n"/>
      <c r="D900" s="23" t="n"/>
      <c r="E900" s="23" t="n"/>
      <c r="F900" s="23" t="n"/>
      <c r="G900" s="23" t="n"/>
      <c r="H900" s="23" t="n"/>
      <c r="I900" s="23" t="n"/>
      <c r="J900" s="23" t="n"/>
      <c r="K900" s="24" t="n"/>
      <c r="L900" s="23" t="n"/>
      <c r="M900" s="23" t="n"/>
      <c r="N900" s="24" t="n"/>
      <c r="O900" s="23" t="n"/>
      <c r="P900" s="23" t="n"/>
    </row>
    <row r="901">
      <c r="A901" s="23" t="n"/>
      <c r="B901" s="23" t="n"/>
      <c r="C901" s="23" t="n"/>
      <c r="D901" s="23" t="n"/>
      <c r="E901" s="23" t="n"/>
      <c r="F901" s="23" t="n"/>
      <c r="G901" s="23" t="n"/>
      <c r="H901" s="23" t="n"/>
      <c r="I901" s="23" t="n"/>
      <c r="J901" s="23" t="n"/>
      <c r="K901" s="24" t="n"/>
      <c r="L901" s="23" t="n"/>
      <c r="M901" s="23" t="n"/>
      <c r="N901" s="24" t="n"/>
      <c r="O901" s="23" t="n"/>
      <c r="P901" s="23" t="n"/>
    </row>
    <row r="902">
      <c r="A902" s="23" t="n"/>
      <c r="B902" s="23" t="n"/>
      <c r="C902" s="23" t="n"/>
      <c r="D902" s="23" t="n"/>
      <c r="E902" s="23" t="n"/>
      <c r="F902" s="23" t="n"/>
      <c r="G902" s="23" t="n"/>
      <c r="H902" s="23" t="n"/>
      <c r="I902" s="23" t="n"/>
      <c r="J902" s="23" t="n"/>
      <c r="K902" s="24" t="n"/>
      <c r="L902" s="23" t="n"/>
      <c r="M902" s="23" t="n"/>
      <c r="N902" s="24" t="n"/>
      <c r="O902" s="23" t="n"/>
      <c r="P902" s="23" t="n"/>
    </row>
    <row r="903">
      <c r="A903" s="23" t="n"/>
      <c r="B903" s="23" t="n"/>
      <c r="C903" s="23" t="n"/>
      <c r="D903" s="23" t="n"/>
      <c r="E903" s="23" t="n"/>
      <c r="F903" s="23" t="n"/>
      <c r="G903" s="23" t="n"/>
      <c r="H903" s="23" t="n"/>
      <c r="I903" s="23" t="n"/>
      <c r="J903" s="23" t="n"/>
      <c r="K903" s="24" t="n"/>
      <c r="L903" s="23" t="n"/>
      <c r="M903" s="23" t="n"/>
      <c r="N903" s="24" t="n"/>
      <c r="O903" s="23" t="n"/>
      <c r="P903" s="23" t="n"/>
    </row>
    <row r="904">
      <c r="A904" s="23" t="n"/>
      <c r="B904" s="23" t="n"/>
      <c r="C904" s="23" t="n"/>
      <c r="D904" s="23" t="n"/>
      <c r="E904" s="23" t="n"/>
      <c r="F904" s="23" t="n"/>
      <c r="G904" s="23" t="n"/>
      <c r="H904" s="23" t="n"/>
      <c r="I904" s="23" t="n"/>
      <c r="J904" s="23" t="n"/>
      <c r="K904" s="24" t="n"/>
      <c r="L904" s="23" t="n"/>
      <c r="M904" s="23" t="n"/>
      <c r="N904" s="24" t="n"/>
      <c r="O904" s="23" t="n"/>
      <c r="P904" s="23" t="n"/>
    </row>
    <row r="905">
      <c r="A905" s="23" t="n"/>
      <c r="B905" s="23" t="n"/>
      <c r="C905" s="23" t="n"/>
      <c r="D905" s="23" t="n"/>
      <c r="E905" s="23" t="n"/>
      <c r="F905" s="23" t="n"/>
      <c r="G905" s="23" t="n"/>
      <c r="H905" s="23" t="n"/>
      <c r="I905" s="23" t="n"/>
      <c r="J905" s="23" t="n"/>
      <c r="K905" s="24" t="n"/>
      <c r="L905" s="23" t="n"/>
      <c r="M905" s="23" t="n"/>
      <c r="N905" s="24" t="n"/>
      <c r="O905" s="23" t="n"/>
      <c r="P905" s="23" t="n"/>
    </row>
    <row r="906">
      <c r="A906" s="23" t="n"/>
      <c r="B906" s="23" t="n"/>
      <c r="C906" s="23" t="n"/>
      <c r="D906" s="23" t="n"/>
      <c r="E906" s="23" t="n"/>
      <c r="F906" s="23" t="n"/>
      <c r="G906" s="23" t="n"/>
      <c r="H906" s="23" t="n"/>
      <c r="I906" s="23" t="n"/>
      <c r="J906" s="23" t="n"/>
      <c r="K906" s="24" t="n"/>
      <c r="L906" s="23" t="n"/>
      <c r="M906" s="23" t="n"/>
      <c r="N906" s="24" t="n"/>
      <c r="O906" s="23" t="n"/>
      <c r="P906" s="23" t="n"/>
    </row>
    <row r="907">
      <c r="A907" s="23" t="n"/>
      <c r="B907" s="23" t="n"/>
      <c r="C907" s="23" t="n"/>
      <c r="D907" s="23" t="n"/>
      <c r="E907" s="23" t="n"/>
      <c r="F907" s="23" t="n"/>
      <c r="G907" s="23" t="n"/>
      <c r="H907" s="23" t="n"/>
      <c r="I907" s="23" t="n"/>
      <c r="J907" s="23" t="n"/>
      <c r="K907" s="24" t="n"/>
      <c r="L907" s="23" t="n"/>
      <c r="M907" s="23" t="n"/>
      <c r="N907" s="24" t="n"/>
      <c r="O907" s="23" t="n"/>
      <c r="P907" s="23" t="n"/>
    </row>
    <row r="908">
      <c r="A908" s="23" t="n"/>
      <c r="B908" s="23" t="n"/>
      <c r="C908" s="23" t="n"/>
      <c r="D908" s="23" t="n"/>
      <c r="E908" s="23" t="n"/>
      <c r="F908" s="23" t="n"/>
      <c r="G908" s="23" t="n"/>
      <c r="H908" s="23" t="n"/>
      <c r="I908" s="23" t="n"/>
      <c r="J908" s="23" t="n"/>
      <c r="K908" s="24" t="n"/>
      <c r="L908" s="23" t="n"/>
      <c r="M908" s="23" t="n"/>
      <c r="N908" s="24" t="n"/>
      <c r="O908" s="23" t="n"/>
      <c r="P908" s="23" t="n"/>
    </row>
    <row r="909">
      <c r="A909" s="23" t="n"/>
      <c r="B909" s="23" t="n"/>
      <c r="C909" s="23" t="n"/>
      <c r="D909" s="23" t="n"/>
      <c r="E909" s="23" t="n"/>
      <c r="F909" s="23" t="n"/>
      <c r="G909" s="23" t="n"/>
      <c r="H909" s="23" t="n"/>
      <c r="I909" s="23" t="n"/>
      <c r="J909" s="23" t="n"/>
      <c r="K909" s="24" t="n"/>
      <c r="L909" s="23" t="n"/>
      <c r="M909" s="23" t="n"/>
      <c r="N909" s="24" t="n"/>
      <c r="O909" s="23" t="n"/>
      <c r="P909" s="23" t="n"/>
    </row>
    <row r="910">
      <c r="A910" s="23" t="n"/>
      <c r="B910" s="23" t="n"/>
      <c r="C910" s="23" t="n"/>
      <c r="D910" s="23" t="n"/>
      <c r="E910" s="23" t="n"/>
      <c r="F910" s="23" t="n"/>
      <c r="G910" s="23" t="n"/>
      <c r="H910" s="23" t="n"/>
      <c r="I910" s="23" t="n"/>
      <c r="J910" s="23" t="n"/>
      <c r="K910" s="24" t="n"/>
      <c r="L910" s="23" t="n"/>
      <c r="M910" s="23" t="n"/>
      <c r="N910" s="24" t="n"/>
      <c r="O910" s="23" t="n"/>
      <c r="P910" s="23" t="n"/>
    </row>
    <row r="911">
      <c r="A911" s="23" t="n"/>
      <c r="B911" s="23" t="n"/>
      <c r="C911" s="23" t="n"/>
      <c r="D911" s="23" t="n"/>
      <c r="E911" s="23" t="n"/>
      <c r="F911" s="23" t="n"/>
      <c r="G911" s="23" t="n"/>
      <c r="H911" s="23" t="n"/>
      <c r="I911" s="23" t="n"/>
      <c r="J911" s="23" t="n"/>
      <c r="K911" s="24" t="n"/>
      <c r="L911" s="23" t="n"/>
      <c r="M911" s="23" t="n"/>
      <c r="N911" s="24" t="n"/>
      <c r="O911" s="23" t="n"/>
      <c r="P911" s="23" t="n"/>
    </row>
    <row r="912">
      <c r="A912" s="23" t="n"/>
      <c r="B912" s="23" t="n"/>
      <c r="C912" s="23" t="n"/>
      <c r="D912" s="23" t="n"/>
      <c r="E912" s="23" t="n"/>
      <c r="F912" s="23" t="n"/>
      <c r="G912" s="23" t="n"/>
      <c r="H912" s="23" t="n"/>
      <c r="I912" s="23" t="n"/>
      <c r="J912" s="23" t="n"/>
      <c r="K912" s="24" t="n"/>
      <c r="L912" s="23" t="n"/>
      <c r="M912" s="23" t="n"/>
      <c r="N912" s="24" t="n"/>
      <c r="O912" s="23" t="n"/>
      <c r="P912" s="23" t="n"/>
    </row>
    <row r="913">
      <c r="A913" s="23" t="n"/>
      <c r="B913" s="23" t="n"/>
      <c r="C913" s="23" t="n"/>
      <c r="D913" s="23" t="n"/>
      <c r="E913" s="23" t="n"/>
      <c r="F913" s="23" t="n"/>
      <c r="G913" s="23" t="n"/>
      <c r="H913" s="23" t="n"/>
      <c r="I913" s="23" t="n"/>
      <c r="J913" s="23" t="n"/>
      <c r="K913" s="24" t="n"/>
      <c r="L913" s="23" t="n"/>
      <c r="M913" s="23" t="n"/>
      <c r="N913" s="24" t="n"/>
      <c r="O913" s="23" t="n"/>
      <c r="P913" s="23" t="n"/>
    </row>
    <row r="914">
      <c r="A914" s="23" t="n"/>
      <c r="B914" s="23" t="n"/>
      <c r="C914" s="23" t="n"/>
      <c r="D914" s="23" t="n"/>
      <c r="E914" s="23" t="n"/>
      <c r="F914" s="23" t="n"/>
      <c r="G914" s="23" t="n"/>
      <c r="H914" s="23" t="n"/>
      <c r="I914" s="23" t="n"/>
      <c r="J914" s="23" t="n"/>
      <c r="K914" s="24" t="n"/>
      <c r="L914" s="23" t="n"/>
      <c r="M914" s="23" t="n"/>
      <c r="N914" s="24" t="n"/>
      <c r="O914" s="23" t="n"/>
      <c r="P914" s="23" t="n"/>
    </row>
    <row r="915">
      <c r="A915" s="23" t="n"/>
      <c r="B915" s="23" t="n"/>
      <c r="C915" s="23" t="n"/>
      <c r="D915" s="23" t="n"/>
      <c r="E915" s="23" t="n"/>
      <c r="F915" s="23" t="n"/>
      <c r="G915" s="23" t="n"/>
      <c r="H915" s="23" t="n"/>
      <c r="I915" s="23" t="n"/>
      <c r="J915" s="23" t="n"/>
      <c r="K915" s="24" t="n"/>
      <c r="L915" s="23" t="n"/>
      <c r="M915" s="23" t="n"/>
      <c r="N915" s="24" t="n"/>
      <c r="O915" s="23" t="n"/>
      <c r="P915" s="23" t="n"/>
    </row>
    <row r="916">
      <c r="A916" s="23" t="n"/>
      <c r="B916" s="23" t="n"/>
      <c r="C916" s="23" t="n"/>
      <c r="D916" s="23" t="n"/>
      <c r="E916" s="23" t="n"/>
      <c r="F916" s="23" t="n"/>
      <c r="G916" s="23" t="n"/>
      <c r="H916" s="23" t="n"/>
      <c r="I916" s="23" t="n"/>
      <c r="J916" s="23" t="n"/>
      <c r="K916" s="24" t="n"/>
      <c r="L916" s="23" t="n"/>
      <c r="M916" s="23" t="n"/>
      <c r="N916" s="24" t="n"/>
      <c r="O916" s="23" t="n"/>
      <c r="P916" s="23" t="n"/>
    </row>
    <row r="917">
      <c r="A917" s="23" t="n"/>
      <c r="B917" s="23" t="n"/>
      <c r="C917" s="23" t="n"/>
      <c r="D917" s="23" t="n"/>
      <c r="E917" s="23" t="n"/>
      <c r="F917" s="23" t="n"/>
      <c r="G917" s="23" t="n"/>
      <c r="H917" s="23" t="n"/>
      <c r="I917" s="23" t="n"/>
      <c r="J917" s="23" t="n"/>
      <c r="K917" s="24" t="n"/>
      <c r="L917" s="23" t="n"/>
      <c r="M917" s="23" t="n"/>
      <c r="N917" s="24" t="n"/>
      <c r="O917" s="23" t="n"/>
      <c r="P917" s="23" t="n"/>
    </row>
    <row r="918">
      <c r="A918" s="23" t="n"/>
      <c r="B918" s="23" t="n"/>
      <c r="C918" s="23" t="n"/>
      <c r="D918" s="23" t="n"/>
      <c r="E918" s="23" t="n"/>
      <c r="F918" s="23" t="n"/>
      <c r="G918" s="23" t="n"/>
      <c r="H918" s="23" t="n"/>
      <c r="I918" s="23" t="n"/>
      <c r="J918" s="23" t="n"/>
      <c r="K918" s="24" t="n"/>
      <c r="L918" s="23" t="n"/>
      <c r="M918" s="23" t="n"/>
      <c r="N918" s="24" t="n"/>
      <c r="O918" s="23" t="n"/>
      <c r="P918" s="23" t="n"/>
    </row>
    <row r="919">
      <c r="A919" s="23" t="n"/>
      <c r="B919" s="23" t="n"/>
      <c r="C919" s="23" t="n"/>
      <c r="D919" s="23" t="n"/>
      <c r="E919" s="23" t="n"/>
      <c r="F919" s="23" t="n"/>
      <c r="G919" s="23" t="n"/>
      <c r="H919" s="23" t="n"/>
      <c r="I919" s="23" t="n"/>
      <c r="J919" s="23" t="n"/>
      <c r="K919" s="24" t="n"/>
      <c r="L919" s="23" t="n"/>
      <c r="M919" s="23" t="n"/>
      <c r="N919" s="24" t="n"/>
      <c r="O919" s="23" t="n"/>
      <c r="P919" s="23" t="n"/>
    </row>
    <row r="920">
      <c r="A920" s="23" t="n"/>
      <c r="B920" s="23" t="n"/>
      <c r="C920" s="23" t="n"/>
      <c r="D920" s="23" t="n"/>
      <c r="E920" s="23" t="n"/>
      <c r="F920" s="23" t="n"/>
      <c r="G920" s="23" t="n"/>
      <c r="H920" s="23" t="n"/>
      <c r="I920" s="23" t="n"/>
      <c r="J920" s="23" t="n"/>
      <c r="K920" s="24" t="n"/>
      <c r="L920" s="23" t="n"/>
      <c r="M920" s="23" t="n"/>
      <c r="N920" s="24" t="n"/>
      <c r="O920" s="23" t="n"/>
      <c r="P920" s="23" t="n"/>
    </row>
    <row r="921">
      <c r="A921" s="23" t="n"/>
      <c r="B921" s="23" t="n"/>
      <c r="C921" s="23" t="n"/>
      <c r="D921" s="23" t="n"/>
      <c r="E921" s="23" t="n"/>
      <c r="F921" s="23" t="n"/>
      <c r="G921" s="23" t="n"/>
      <c r="H921" s="23" t="n"/>
      <c r="I921" s="23" t="n"/>
      <c r="J921" s="23" t="n"/>
      <c r="K921" s="24" t="n"/>
      <c r="L921" s="23" t="n"/>
      <c r="M921" s="23" t="n"/>
      <c r="N921" s="24" t="n"/>
      <c r="O921" s="23" t="n"/>
      <c r="P921" s="23" t="n"/>
    </row>
    <row r="922">
      <c r="A922" s="23" t="n"/>
      <c r="B922" s="23" t="n"/>
      <c r="C922" s="23" t="n"/>
      <c r="D922" s="23" t="n"/>
      <c r="E922" s="23" t="n"/>
      <c r="F922" s="23" t="n"/>
      <c r="G922" s="23" t="n"/>
      <c r="H922" s="23" t="n"/>
      <c r="I922" s="23" t="n"/>
      <c r="J922" s="23" t="n"/>
      <c r="K922" s="24" t="n"/>
      <c r="L922" s="23" t="n"/>
      <c r="M922" s="23" t="n"/>
      <c r="N922" s="24" t="n"/>
      <c r="O922" s="23" t="n"/>
      <c r="P922" s="23" t="n"/>
    </row>
    <row r="923">
      <c r="A923" s="23" t="n"/>
      <c r="B923" s="23" t="n"/>
      <c r="C923" s="23" t="n"/>
      <c r="D923" s="23" t="n"/>
      <c r="E923" s="23" t="n"/>
      <c r="F923" s="23" t="n"/>
      <c r="G923" s="23" t="n"/>
      <c r="H923" s="23" t="n"/>
      <c r="I923" s="23" t="n"/>
      <c r="J923" s="23" t="n"/>
      <c r="K923" s="24" t="n"/>
      <c r="L923" s="23" t="n"/>
      <c r="M923" s="23" t="n"/>
      <c r="N923" s="24" t="n"/>
      <c r="O923" s="23" t="n"/>
      <c r="P923" s="23" t="n"/>
    </row>
    <row r="924">
      <c r="A924" s="23" t="n"/>
      <c r="B924" s="23" t="n"/>
      <c r="C924" s="23" t="n"/>
      <c r="D924" s="23" t="n"/>
      <c r="E924" s="23" t="n"/>
      <c r="F924" s="23" t="n"/>
      <c r="G924" s="23" t="n"/>
      <c r="H924" s="23" t="n"/>
      <c r="I924" s="23" t="n"/>
      <c r="J924" s="23" t="n"/>
      <c r="K924" s="24" t="n"/>
      <c r="L924" s="23" t="n"/>
      <c r="M924" s="23" t="n"/>
      <c r="N924" s="24" t="n"/>
      <c r="O924" s="23" t="n"/>
      <c r="P924" s="23" t="n"/>
    </row>
    <row r="925">
      <c r="A925" s="23" t="n"/>
      <c r="B925" s="23" t="n"/>
      <c r="C925" s="23" t="n"/>
      <c r="D925" s="23" t="n"/>
      <c r="E925" s="23" t="n"/>
      <c r="F925" s="23" t="n"/>
      <c r="G925" s="23" t="n"/>
      <c r="H925" s="23" t="n"/>
      <c r="I925" s="23" t="n"/>
      <c r="J925" s="23" t="n"/>
      <c r="K925" s="24" t="n"/>
      <c r="L925" s="23" t="n"/>
      <c r="M925" s="23" t="n"/>
      <c r="N925" s="24" t="n"/>
      <c r="O925" s="23" t="n"/>
      <c r="P925" s="23" t="n"/>
    </row>
    <row r="926">
      <c r="A926" s="23" t="n"/>
      <c r="B926" s="23" t="n"/>
      <c r="C926" s="23" t="n"/>
      <c r="D926" s="23" t="n"/>
      <c r="E926" s="23" t="n"/>
      <c r="F926" s="23" t="n"/>
      <c r="G926" s="23" t="n"/>
      <c r="H926" s="23" t="n"/>
      <c r="I926" s="23" t="n"/>
      <c r="J926" s="23" t="n"/>
      <c r="K926" s="24" t="n"/>
      <c r="L926" s="23" t="n"/>
      <c r="M926" s="23" t="n"/>
      <c r="N926" s="24" t="n"/>
      <c r="O926" s="23" t="n"/>
      <c r="P926" s="23" t="n"/>
    </row>
    <row r="927">
      <c r="A927" s="23" t="n"/>
      <c r="B927" s="23" t="n"/>
      <c r="C927" s="23" t="n"/>
      <c r="D927" s="23" t="n"/>
      <c r="E927" s="23" t="n"/>
      <c r="F927" s="23" t="n"/>
      <c r="G927" s="23" t="n"/>
      <c r="H927" s="23" t="n"/>
      <c r="I927" s="23" t="n"/>
      <c r="J927" s="23" t="n"/>
      <c r="K927" s="24" t="n"/>
      <c r="L927" s="23" t="n"/>
      <c r="M927" s="23" t="n"/>
      <c r="N927" s="24" t="n"/>
      <c r="O927" s="23" t="n"/>
      <c r="P927" s="23" t="n"/>
    </row>
    <row r="928">
      <c r="A928" s="23" t="n"/>
      <c r="B928" s="23" t="n"/>
      <c r="C928" s="23" t="n"/>
      <c r="D928" s="23" t="n"/>
      <c r="E928" s="23" t="n"/>
      <c r="F928" s="23" t="n"/>
      <c r="G928" s="23" t="n"/>
      <c r="H928" s="23" t="n"/>
      <c r="I928" s="23" t="n"/>
      <c r="J928" s="23" t="n"/>
      <c r="K928" s="24" t="n"/>
      <c r="L928" s="23" t="n"/>
      <c r="M928" s="23" t="n"/>
      <c r="N928" s="24" t="n"/>
      <c r="O928" s="23" t="n"/>
      <c r="P928" s="23" t="n"/>
    </row>
    <row r="929">
      <c r="A929" s="23" t="n"/>
      <c r="B929" s="23" t="n"/>
      <c r="C929" s="23" t="n"/>
      <c r="D929" s="23" t="n"/>
      <c r="E929" s="23" t="n"/>
      <c r="F929" s="23" t="n"/>
      <c r="G929" s="23" t="n"/>
      <c r="H929" s="23" t="n"/>
      <c r="I929" s="23" t="n"/>
      <c r="J929" s="23" t="n"/>
      <c r="K929" s="24" t="n"/>
      <c r="L929" s="23" t="n"/>
      <c r="M929" s="23" t="n"/>
      <c r="N929" s="24" t="n"/>
      <c r="O929" s="23" t="n"/>
      <c r="P929" s="23" t="n"/>
    </row>
    <row r="930">
      <c r="A930" s="23" t="n"/>
      <c r="B930" s="23" t="n"/>
      <c r="C930" s="23" t="n"/>
      <c r="D930" s="23" t="n"/>
      <c r="E930" s="23" t="n"/>
      <c r="F930" s="23" t="n"/>
      <c r="G930" s="23" t="n"/>
      <c r="H930" s="23" t="n"/>
      <c r="I930" s="23" t="n"/>
      <c r="J930" s="23" t="n"/>
      <c r="K930" s="24" t="n"/>
      <c r="L930" s="23" t="n"/>
      <c r="M930" s="23" t="n"/>
      <c r="N930" s="24" t="n"/>
      <c r="O930" s="23" t="n"/>
      <c r="P930" s="23" t="n"/>
    </row>
    <row r="931">
      <c r="A931" s="23" t="n"/>
      <c r="B931" s="23" t="n"/>
      <c r="C931" s="23" t="n"/>
      <c r="D931" s="23" t="n"/>
      <c r="E931" s="23" t="n"/>
      <c r="F931" s="23" t="n"/>
      <c r="G931" s="23" t="n"/>
      <c r="H931" s="23" t="n"/>
      <c r="I931" s="23" t="n"/>
      <c r="J931" s="23" t="n"/>
      <c r="K931" s="24" t="n"/>
      <c r="L931" s="23" t="n"/>
      <c r="M931" s="23" t="n"/>
      <c r="N931" s="24" t="n"/>
      <c r="O931" s="23" t="n"/>
      <c r="P931" s="23" t="n"/>
    </row>
    <row r="932">
      <c r="A932" s="23" t="n"/>
      <c r="B932" s="23" t="n"/>
      <c r="C932" s="23" t="n"/>
      <c r="D932" s="23" t="n"/>
      <c r="E932" s="23" t="n"/>
      <c r="F932" s="23" t="n"/>
      <c r="G932" s="23" t="n"/>
      <c r="H932" s="23" t="n"/>
      <c r="I932" s="23" t="n"/>
      <c r="J932" s="23" t="n"/>
      <c r="K932" s="24" t="n"/>
      <c r="L932" s="23" t="n"/>
      <c r="M932" s="23" t="n"/>
      <c r="N932" s="24" t="n"/>
      <c r="O932" s="23" t="n"/>
      <c r="P932" s="23" t="n"/>
    </row>
    <row r="933">
      <c r="A933" s="23" t="n"/>
      <c r="B933" s="23" t="n"/>
      <c r="C933" s="23" t="n"/>
      <c r="D933" s="23" t="n"/>
      <c r="E933" s="23" t="n"/>
      <c r="F933" s="23" t="n"/>
      <c r="G933" s="23" t="n"/>
      <c r="H933" s="23" t="n"/>
      <c r="I933" s="23" t="n"/>
      <c r="J933" s="23" t="n"/>
      <c r="K933" s="24" t="n"/>
      <c r="L933" s="23" t="n"/>
      <c r="M933" s="23" t="n"/>
      <c r="N933" s="24" t="n"/>
      <c r="O933" s="23" t="n"/>
      <c r="P933" s="23" t="n"/>
    </row>
    <row r="934">
      <c r="A934" s="23" t="n"/>
      <c r="B934" s="23" t="n"/>
      <c r="C934" s="23" t="n"/>
      <c r="D934" s="23" t="n"/>
      <c r="E934" s="23" t="n"/>
      <c r="F934" s="23" t="n"/>
      <c r="G934" s="23" t="n"/>
      <c r="H934" s="23" t="n"/>
      <c r="I934" s="23" t="n"/>
      <c r="J934" s="23" t="n"/>
      <c r="K934" s="24" t="n"/>
      <c r="L934" s="23" t="n"/>
      <c r="M934" s="23" t="n"/>
      <c r="N934" s="24" t="n"/>
      <c r="O934" s="23" t="n"/>
      <c r="P934" s="23" t="n"/>
    </row>
    <row r="935">
      <c r="A935" s="23" t="n"/>
      <c r="B935" s="23" t="n"/>
      <c r="C935" s="23" t="n"/>
      <c r="D935" s="23" t="n"/>
      <c r="E935" s="23" t="n"/>
      <c r="F935" s="23" t="n"/>
      <c r="G935" s="23" t="n"/>
      <c r="H935" s="23" t="n"/>
      <c r="I935" s="23" t="n"/>
      <c r="J935" s="23" t="n"/>
      <c r="K935" s="24" t="n"/>
      <c r="L935" s="23" t="n"/>
      <c r="M935" s="23" t="n"/>
      <c r="N935" s="24" t="n"/>
      <c r="O935" s="23" t="n"/>
      <c r="P935" s="23" t="n"/>
    </row>
    <row r="936">
      <c r="A936" s="23" t="n"/>
      <c r="B936" s="23" t="n"/>
      <c r="C936" s="23" t="n"/>
      <c r="D936" s="23" t="n"/>
      <c r="E936" s="23" t="n"/>
      <c r="F936" s="23" t="n"/>
      <c r="G936" s="23" t="n"/>
      <c r="H936" s="23" t="n"/>
      <c r="I936" s="23" t="n"/>
      <c r="J936" s="23" t="n"/>
      <c r="K936" s="24" t="n"/>
      <c r="L936" s="23" t="n"/>
      <c r="M936" s="23" t="n"/>
      <c r="N936" s="24" t="n"/>
      <c r="O936" s="23" t="n"/>
      <c r="P936" s="23" t="n"/>
    </row>
    <row r="937">
      <c r="A937" s="23" t="n"/>
      <c r="B937" s="23" t="n"/>
      <c r="C937" s="23" t="n"/>
      <c r="D937" s="23" t="n"/>
      <c r="E937" s="23" t="n"/>
      <c r="F937" s="23" t="n"/>
      <c r="G937" s="23" t="n"/>
      <c r="H937" s="23" t="n"/>
      <c r="I937" s="23" t="n"/>
      <c r="J937" s="23" t="n"/>
      <c r="K937" s="24" t="n"/>
      <c r="L937" s="23" t="n"/>
      <c r="M937" s="23" t="n"/>
      <c r="N937" s="24" t="n"/>
      <c r="O937" s="23" t="n"/>
      <c r="P937" s="23" t="n"/>
    </row>
    <row r="938">
      <c r="A938" s="23" t="n"/>
      <c r="B938" s="23" t="n"/>
      <c r="C938" s="23" t="n"/>
      <c r="D938" s="23" t="n"/>
      <c r="E938" s="23" t="n"/>
      <c r="F938" s="23" t="n"/>
      <c r="G938" s="23" t="n"/>
      <c r="H938" s="23" t="n"/>
      <c r="I938" s="23" t="n"/>
      <c r="J938" s="23" t="n"/>
      <c r="K938" s="24" t="n"/>
      <c r="L938" s="23" t="n"/>
      <c r="M938" s="23" t="n"/>
      <c r="N938" s="24" t="n"/>
      <c r="O938" s="23" t="n"/>
      <c r="P938" s="23" t="n"/>
    </row>
    <row r="939">
      <c r="A939" s="23" t="n"/>
      <c r="B939" s="23" t="n"/>
      <c r="C939" s="23" t="n"/>
      <c r="D939" s="23" t="n"/>
      <c r="E939" s="23" t="n"/>
      <c r="F939" s="23" t="n"/>
      <c r="G939" s="23" t="n"/>
      <c r="H939" s="23" t="n"/>
      <c r="I939" s="23" t="n"/>
      <c r="J939" s="23" t="n"/>
      <c r="K939" s="24" t="n"/>
      <c r="L939" s="23" t="n"/>
      <c r="M939" s="23" t="n"/>
      <c r="N939" s="24" t="n"/>
      <c r="O939" s="23" t="n"/>
      <c r="P939" s="23" t="n"/>
    </row>
    <row r="940">
      <c r="A940" s="23" t="n"/>
      <c r="B940" s="23" t="n"/>
      <c r="C940" s="23" t="n"/>
      <c r="D940" s="23" t="n"/>
      <c r="E940" s="23" t="n"/>
      <c r="F940" s="23" t="n"/>
      <c r="G940" s="23" t="n"/>
      <c r="H940" s="23" t="n"/>
      <c r="I940" s="23" t="n"/>
      <c r="J940" s="23" t="n"/>
      <c r="K940" s="24" t="n"/>
      <c r="L940" s="23" t="n"/>
      <c r="M940" s="23" t="n"/>
      <c r="N940" s="24" t="n"/>
      <c r="O940" s="23" t="n"/>
      <c r="P940" s="23" t="n"/>
    </row>
    <row r="941">
      <c r="A941" s="23" t="n"/>
      <c r="B941" s="23" t="n"/>
      <c r="C941" s="23" t="n"/>
      <c r="D941" s="23" t="n"/>
      <c r="E941" s="23" t="n"/>
      <c r="F941" s="23" t="n"/>
      <c r="G941" s="23" t="n"/>
      <c r="H941" s="23" t="n"/>
      <c r="I941" s="23" t="n"/>
      <c r="J941" s="23" t="n"/>
      <c r="K941" s="24" t="n"/>
      <c r="L941" s="23" t="n"/>
      <c r="M941" s="23" t="n"/>
      <c r="N941" s="24" t="n"/>
      <c r="O941" s="23" t="n"/>
      <c r="P941" s="23" t="n"/>
    </row>
    <row r="942">
      <c r="A942" s="23" t="n"/>
      <c r="B942" s="23" t="n"/>
      <c r="C942" s="23" t="n"/>
      <c r="D942" s="23" t="n"/>
      <c r="E942" s="23" t="n"/>
      <c r="F942" s="23" t="n"/>
      <c r="G942" s="23" t="n"/>
      <c r="H942" s="23" t="n"/>
      <c r="I942" s="23" t="n"/>
      <c r="J942" s="23" t="n"/>
      <c r="K942" s="24" t="n"/>
      <c r="L942" s="23" t="n"/>
      <c r="M942" s="23" t="n"/>
      <c r="N942" s="24" t="n"/>
      <c r="O942" s="23" t="n"/>
      <c r="P942" s="23" t="n"/>
    </row>
    <row r="943">
      <c r="A943" s="23" t="n"/>
      <c r="B943" s="23" t="n"/>
      <c r="C943" s="23" t="n"/>
      <c r="D943" s="23" t="n"/>
      <c r="E943" s="23" t="n"/>
      <c r="F943" s="23" t="n"/>
      <c r="G943" s="23" t="n"/>
      <c r="H943" s="23" t="n"/>
      <c r="I943" s="23" t="n"/>
      <c r="J943" s="23" t="n"/>
      <c r="K943" s="24" t="n"/>
      <c r="L943" s="23" t="n"/>
      <c r="M943" s="23" t="n"/>
      <c r="N943" s="24" t="n"/>
      <c r="O943" s="23" t="n"/>
      <c r="P943" s="23" t="n"/>
    </row>
    <row r="944">
      <c r="A944" s="23" t="n"/>
      <c r="B944" s="23" t="n"/>
      <c r="C944" s="23" t="n"/>
      <c r="D944" s="23" t="n"/>
      <c r="E944" s="23" t="n"/>
      <c r="F944" s="23" t="n"/>
      <c r="G944" s="23" t="n"/>
      <c r="H944" s="23" t="n"/>
      <c r="I944" s="23" t="n"/>
      <c r="J944" s="23" t="n"/>
      <c r="K944" s="24" t="n"/>
      <c r="L944" s="23" t="n"/>
      <c r="M944" s="23" t="n"/>
      <c r="N944" s="24" t="n"/>
      <c r="O944" s="23" t="n"/>
      <c r="P944" s="23" t="n"/>
    </row>
    <row r="945">
      <c r="A945" s="23" t="n"/>
      <c r="B945" s="23" t="n"/>
      <c r="C945" s="23" t="n"/>
      <c r="D945" s="23" t="n"/>
      <c r="E945" s="23" t="n"/>
      <c r="F945" s="23" t="n"/>
      <c r="G945" s="23" t="n"/>
      <c r="H945" s="23" t="n"/>
      <c r="I945" s="23" t="n"/>
      <c r="J945" s="23" t="n"/>
      <c r="K945" s="24" t="n"/>
      <c r="L945" s="23" t="n"/>
      <c r="M945" s="23" t="n"/>
      <c r="N945" s="24" t="n"/>
      <c r="O945" s="23" t="n"/>
      <c r="P945" s="23" t="n"/>
    </row>
    <row r="946">
      <c r="A946" s="23" t="n"/>
      <c r="B946" s="23" t="n"/>
      <c r="C946" s="23" t="n"/>
      <c r="D946" s="23" t="n"/>
      <c r="E946" s="23" t="n"/>
      <c r="F946" s="23" t="n"/>
      <c r="G946" s="23" t="n"/>
      <c r="H946" s="23" t="n"/>
      <c r="I946" s="23" t="n"/>
      <c r="J946" s="23" t="n"/>
      <c r="K946" s="24" t="n"/>
      <c r="L946" s="23" t="n"/>
      <c r="M946" s="23" t="n"/>
      <c r="N946" s="24" t="n"/>
      <c r="O946" s="23" t="n"/>
      <c r="P946" s="23" t="n"/>
    </row>
    <row r="947">
      <c r="A947" s="23" t="n"/>
      <c r="B947" s="23" t="n"/>
      <c r="C947" s="23" t="n"/>
      <c r="D947" s="23" t="n"/>
      <c r="E947" s="23" t="n"/>
      <c r="F947" s="23" t="n"/>
      <c r="G947" s="23" t="n"/>
      <c r="H947" s="23" t="n"/>
      <c r="I947" s="23" t="n"/>
      <c r="J947" s="23" t="n"/>
      <c r="K947" s="24" t="n"/>
      <c r="L947" s="23" t="n"/>
      <c r="M947" s="23" t="n"/>
      <c r="N947" s="24" t="n"/>
      <c r="O947" s="23" t="n"/>
      <c r="P947" s="23" t="n"/>
    </row>
    <row r="948">
      <c r="A948" s="23" t="n"/>
      <c r="B948" s="23" t="n"/>
      <c r="C948" s="23" t="n"/>
      <c r="D948" s="23" t="n"/>
      <c r="E948" s="23" t="n"/>
      <c r="F948" s="23" t="n"/>
      <c r="G948" s="23" t="n"/>
      <c r="H948" s="23" t="n"/>
      <c r="I948" s="23" t="n"/>
      <c r="J948" s="23" t="n"/>
      <c r="K948" s="24" t="n"/>
      <c r="L948" s="23" t="n"/>
      <c r="M948" s="23" t="n"/>
      <c r="N948" s="24" t="n"/>
      <c r="O948" s="23" t="n"/>
      <c r="P948" s="23" t="n"/>
    </row>
    <row r="949">
      <c r="A949" s="23" t="n"/>
      <c r="B949" s="23" t="n"/>
      <c r="C949" s="23" t="n"/>
      <c r="D949" s="23" t="n"/>
      <c r="E949" s="23" t="n"/>
      <c r="F949" s="23" t="n"/>
      <c r="G949" s="23" t="n"/>
      <c r="H949" s="23" t="n"/>
      <c r="I949" s="23" t="n"/>
      <c r="J949" s="23" t="n"/>
      <c r="K949" s="24" t="n"/>
      <c r="L949" s="23" t="n"/>
      <c r="M949" s="23" t="n"/>
      <c r="N949" s="24" t="n"/>
      <c r="O949" s="23" t="n"/>
      <c r="P949" s="23" t="n"/>
    </row>
    <row r="950">
      <c r="A950" s="23" t="n"/>
      <c r="B950" s="23" t="n"/>
      <c r="C950" s="23" t="n"/>
      <c r="D950" s="23" t="n"/>
      <c r="E950" s="23" t="n"/>
      <c r="F950" s="23" t="n"/>
      <c r="G950" s="23" t="n"/>
      <c r="H950" s="23" t="n"/>
      <c r="I950" s="23" t="n"/>
      <c r="J950" s="23" t="n"/>
      <c r="K950" s="24" t="n"/>
      <c r="L950" s="23" t="n"/>
      <c r="M950" s="23" t="n"/>
      <c r="N950" s="24" t="n"/>
      <c r="O950" s="23" t="n"/>
      <c r="P950" s="23" t="n"/>
    </row>
    <row r="951">
      <c r="A951" s="23" t="n"/>
      <c r="B951" s="23" t="n"/>
      <c r="C951" s="23" t="n"/>
      <c r="D951" s="23" t="n"/>
      <c r="E951" s="23" t="n"/>
      <c r="F951" s="23" t="n"/>
      <c r="G951" s="23" t="n"/>
      <c r="H951" s="23" t="n"/>
      <c r="I951" s="23" t="n"/>
      <c r="J951" s="23" t="n"/>
      <c r="K951" s="24" t="n"/>
      <c r="L951" s="23" t="n"/>
      <c r="M951" s="23" t="n"/>
      <c r="N951" s="24" t="n"/>
      <c r="O951" s="23" t="n"/>
      <c r="P951" s="23" t="n"/>
    </row>
    <row r="952">
      <c r="A952" s="23" t="n"/>
      <c r="B952" s="23" t="n"/>
      <c r="C952" s="23" t="n"/>
      <c r="D952" s="23" t="n"/>
      <c r="E952" s="23" t="n"/>
      <c r="F952" s="23" t="n"/>
      <c r="G952" s="23" t="n"/>
      <c r="H952" s="23" t="n"/>
      <c r="I952" s="23" t="n"/>
      <c r="J952" s="23" t="n"/>
      <c r="K952" s="24" t="n"/>
      <c r="L952" s="23" t="n"/>
      <c r="M952" s="23" t="n"/>
      <c r="N952" s="24" t="n"/>
      <c r="O952" s="23" t="n"/>
      <c r="P952" s="23" t="n"/>
    </row>
    <row r="953">
      <c r="A953" s="23" t="n"/>
      <c r="B953" s="23" t="n"/>
      <c r="C953" s="23" t="n"/>
      <c r="D953" s="23" t="n"/>
      <c r="E953" s="23" t="n"/>
      <c r="F953" s="23" t="n"/>
      <c r="G953" s="23" t="n"/>
      <c r="H953" s="23" t="n"/>
      <c r="I953" s="23" t="n"/>
      <c r="J953" s="23" t="n"/>
      <c r="K953" s="24" t="n"/>
      <c r="L953" s="23" t="n"/>
      <c r="M953" s="23" t="n"/>
      <c r="N953" s="24" t="n"/>
      <c r="O953" s="23" t="n"/>
      <c r="P953" s="23" t="n"/>
    </row>
    <row r="954">
      <c r="A954" s="23" t="n"/>
      <c r="B954" s="23" t="n"/>
      <c r="C954" s="23" t="n"/>
      <c r="D954" s="23" t="n"/>
      <c r="E954" s="23" t="n"/>
      <c r="F954" s="23" t="n"/>
      <c r="G954" s="23" t="n"/>
      <c r="H954" s="23" t="n"/>
      <c r="I954" s="23" t="n"/>
      <c r="J954" s="23" t="n"/>
      <c r="K954" s="24" t="n"/>
      <c r="L954" s="23" t="n"/>
      <c r="M954" s="23" t="n"/>
      <c r="N954" s="24" t="n"/>
      <c r="O954" s="23" t="n"/>
      <c r="P954" s="23" t="n"/>
    </row>
    <row r="955">
      <c r="A955" s="23" t="n"/>
      <c r="B955" s="23" t="n"/>
      <c r="C955" s="23" t="n"/>
      <c r="D955" s="23" t="n"/>
      <c r="E955" s="23" t="n"/>
      <c r="F955" s="23" t="n"/>
      <c r="G955" s="23" t="n"/>
      <c r="H955" s="23" t="n"/>
      <c r="I955" s="23" t="n"/>
      <c r="J955" s="23" t="n"/>
      <c r="K955" s="24" t="n"/>
      <c r="L955" s="23" t="n"/>
      <c r="M955" s="23" t="n"/>
      <c r="N955" s="24" t="n"/>
      <c r="O955" s="23" t="n"/>
      <c r="P955" s="23" t="n"/>
    </row>
    <row r="956">
      <c r="A956" s="23" t="n"/>
      <c r="B956" s="23" t="n"/>
      <c r="C956" s="23" t="n"/>
      <c r="D956" s="23" t="n"/>
      <c r="E956" s="23" t="n"/>
      <c r="F956" s="23" t="n"/>
      <c r="G956" s="23" t="n"/>
      <c r="H956" s="23" t="n"/>
      <c r="I956" s="23" t="n"/>
      <c r="J956" s="23" t="n"/>
      <c r="K956" s="24" t="n"/>
      <c r="L956" s="23" t="n"/>
      <c r="M956" s="23" t="n"/>
      <c r="N956" s="24" t="n"/>
      <c r="O956" s="23" t="n"/>
      <c r="P956" s="23" t="n"/>
    </row>
    <row r="957">
      <c r="A957" s="23" t="n"/>
      <c r="B957" s="23" t="n"/>
      <c r="C957" s="23" t="n"/>
      <c r="D957" s="23" t="n"/>
      <c r="E957" s="23" t="n"/>
      <c r="F957" s="23" t="n"/>
      <c r="G957" s="23" t="n"/>
      <c r="H957" s="23" t="n"/>
      <c r="I957" s="23" t="n"/>
      <c r="J957" s="23" t="n"/>
      <c r="K957" s="24" t="n"/>
      <c r="L957" s="23" t="n"/>
      <c r="M957" s="23" t="n"/>
      <c r="N957" s="24" t="n"/>
      <c r="O957" s="23" t="n"/>
      <c r="P957" s="23" t="n"/>
    </row>
    <row r="958">
      <c r="A958" s="23" t="n"/>
      <c r="B958" s="23" t="n"/>
      <c r="C958" s="23" t="n"/>
      <c r="D958" s="23" t="n"/>
      <c r="E958" s="23" t="n"/>
      <c r="F958" s="23" t="n"/>
      <c r="G958" s="23" t="n"/>
      <c r="H958" s="23" t="n"/>
      <c r="I958" s="23" t="n"/>
      <c r="J958" s="23" t="n"/>
      <c r="K958" s="24" t="n"/>
      <c r="L958" s="23" t="n"/>
      <c r="M958" s="23" t="n"/>
      <c r="N958" s="24" t="n"/>
      <c r="O958" s="23" t="n"/>
      <c r="P958" s="23" t="n"/>
    </row>
    <row r="959">
      <c r="A959" s="23" t="n"/>
      <c r="B959" s="23" t="n"/>
      <c r="C959" s="23" t="n"/>
      <c r="D959" s="23" t="n"/>
      <c r="E959" s="23" t="n"/>
      <c r="F959" s="23" t="n"/>
      <c r="G959" s="23" t="n"/>
      <c r="H959" s="23" t="n"/>
      <c r="I959" s="23" t="n"/>
      <c r="J959" s="23" t="n"/>
      <c r="K959" s="24" t="n"/>
      <c r="L959" s="23" t="n"/>
      <c r="M959" s="23" t="n"/>
      <c r="N959" s="24" t="n"/>
      <c r="O959" s="23" t="n"/>
      <c r="P959" s="23" t="n"/>
    </row>
    <row r="960">
      <c r="A960" s="23" t="n"/>
      <c r="B960" s="23" t="n"/>
      <c r="C960" s="23" t="n"/>
      <c r="D960" s="23" t="n"/>
      <c r="E960" s="23" t="n"/>
      <c r="F960" s="23" t="n"/>
      <c r="G960" s="23" t="n"/>
      <c r="H960" s="23" t="n"/>
      <c r="I960" s="23" t="n"/>
      <c r="J960" s="23" t="n"/>
      <c r="K960" s="24" t="n"/>
      <c r="L960" s="23" t="n"/>
      <c r="M960" s="23" t="n"/>
      <c r="N960" s="24" t="n"/>
      <c r="O960" s="23" t="n"/>
      <c r="P960" s="23" t="n"/>
    </row>
    <row r="961">
      <c r="A961" s="23" t="n"/>
      <c r="B961" s="23" t="n"/>
      <c r="C961" s="23" t="n"/>
      <c r="D961" s="23" t="n"/>
      <c r="E961" s="23" t="n"/>
      <c r="F961" s="23" t="n"/>
      <c r="G961" s="23" t="n"/>
      <c r="H961" s="23" t="n"/>
      <c r="I961" s="23" t="n"/>
      <c r="J961" s="23" t="n"/>
      <c r="K961" s="24" t="n"/>
      <c r="L961" s="23" t="n"/>
      <c r="M961" s="23" t="n"/>
      <c r="N961" s="24" t="n"/>
      <c r="O961" s="23" t="n"/>
      <c r="P961" s="23" t="n"/>
    </row>
    <row r="962">
      <c r="A962" s="23" t="n"/>
      <c r="B962" s="23" t="n"/>
      <c r="C962" s="23" t="n"/>
      <c r="D962" s="23" t="n"/>
      <c r="E962" s="23" t="n"/>
      <c r="F962" s="23" t="n"/>
      <c r="G962" s="23" t="n"/>
      <c r="H962" s="23" t="n"/>
      <c r="I962" s="23" t="n"/>
      <c r="J962" s="23" t="n"/>
      <c r="K962" s="24" t="n"/>
      <c r="L962" s="23" t="n"/>
      <c r="M962" s="23" t="n"/>
      <c r="N962" s="24" t="n"/>
      <c r="O962" s="23" t="n"/>
      <c r="P962" s="23" t="n"/>
    </row>
    <row r="963">
      <c r="A963" s="23" t="n"/>
      <c r="B963" s="23" t="n"/>
      <c r="C963" s="23" t="n"/>
      <c r="D963" s="23" t="n"/>
      <c r="E963" s="23" t="n"/>
      <c r="F963" s="23" t="n"/>
      <c r="G963" s="23" t="n"/>
      <c r="H963" s="23" t="n"/>
      <c r="I963" s="23" t="n"/>
      <c r="J963" s="23" t="n"/>
      <c r="K963" s="24" t="n"/>
      <c r="L963" s="23" t="n"/>
      <c r="M963" s="23" t="n"/>
      <c r="N963" s="24" t="n"/>
      <c r="O963" s="23" t="n"/>
      <c r="P963" s="23" t="n"/>
    </row>
    <row r="964">
      <c r="A964" s="23" t="n"/>
      <c r="B964" s="23" t="n"/>
      <c r="C964" s="23" t="n"/>
      <c r="D964" s="23" t="n"/>
      <c r="E964" s="23" t="n"/>
      <c r="F964" s="23" t="n"/>
      <c r="G964" s="23" t="n"/>
      <c r="H964" s="23" t="n"/>
      <c r="I964" s="23" t="n"/>
      <c r="J964" s="23" t="n"/>
      <c r="K964" s="24" t="n"/>
      <c r="L964" s="23" t="n"/>
      <c r="M964" s="23" t="n"/>
      <c r="N964" s="24" t="n"/>
      <c r="O964" s="23" t="n"/>
      <c r="P964" s="23" t="n"/>
    </row>
    <row r="965">
      <c r="A965" s="23" t="n"/>
      <c r="B965" s="23" t="n"/>
      <c r="C965" s="23" t="n"/>
      <c r="D965" s="23" t="n"/>
      <c r="E965" s="23" t="n"/>
      <c r="F965" s="23" t="n"/>
      <c r="G965" s="23" t="n"/>
      <c r="H965" s="23" t="n"/>
      <c r="I965" s="23" t="n"/>
      <c r="J965" s="23" t="n"/>
      <c r="K965" s="24" t="n"/>
      <c r="L965" s="23" t="n"/>
      <c r="M965" s="23" t="n"/>
      <c r="N965" s="24" t="n"/>
      <c r="O965" s="23" t="n"/>
      <c r="P965" s="23" t="n"/>
    </row>
    <row r="966">
      <c r="A966" s="23" t="n"/>
      <c r="B966" s="23" t="n"/>
      <c r="C966" s="23" t="n"/>
      <c r="D966" s="23" t="n"/>
      <c r="E966" s="23" t="n"/>
      <c r="F966" s="23" t="n"/>
      <c r="G966" s="23" t="n"/>
      <c r="H966" s="23" t="n"/>
      <c r="I966" s="23" t="n"/>
      <c r="J966" s="23" t="n"/>
      <c r="K966" s="24" t="n"/>
      <c r="L966" s="23" t="n"/>
      <c r="M966" s="23" t="n"/>
      <c r="N966" s="24" t="n"/>
      <c r="O966" s="23" t="n"/>
      <c r="P966" s="23" t="n"/>
    </row>
    <row r="967">
      <c r="A967" s="23" t="n"/>
      <c r="B967" s="23" t="n"/>
      <c r="C967" s="23" t="n"/>
      <c r="D967" s="23" t="n"/>
      <c r="E967" s="23" t="n"/>
      <c r="F967" s="23" t="n"/>
      <c r="G967" s="23" t="n"/>
      <c r="H967" s="23" t="n"/>
      <c r="I967" s="23" t="n"/>
      <c r="J967" s="23" t="n"/>
      <c r="K967" s="24" t="n"/>
      <c r="L967" s="23" t="n"/>
      <c r="M967" s="23" t="n"/>
      <c r="N967" s="24" t="n"/>
      <c r="O967" s="23" t="n"/>
      <c r="P967" s="23" t="n"/>
    </row>
    <row r="968">
      <c r="A968" s="23" t="n"/>
      <c r="B968" s="23" t="n"/>
      <c r="C968" s="23" t="n"/>
      <c r="D968" s="23" t="n"/>
      <c r="E968" s="23" t="n"/>
      <c r="F968" s="23" t="n"/>
      <c r="G968" s="23" t="n"/>
      <c r="H968" s="23" t="n"/>
      <c r="I968" s="23" t="n"/>
      <c r="J968" s="23" t="n"/>
      <c r="K968" s="24" t="n"/>
      <c r="L968" s="23" t="n"/>
      <c r="M968" s="23" t="n"/>
      <c r="N968" s="24" t="n"/>
      <c r="O968" s="23" t="n"/>
      <c r="P968" s="23" t="n"/>
    </row>
    <row r="969">
      <c r="A969" s="23" t="n"/>
      <c r="B969" s="23" t="n"/>
      <c r="C969" s="23" t="n"/>
      <c r="D969" s="23" t="n"/>
      <c r="E969" s="23" t="n"/>
      <c r="F969" s="23" t="n"/>
      <c r="G969" s="23" t="n"/>
      <c r="H969" s="23" t="n"/>
      <c r="I969" s="23" t="n"/>
      <c r="J969" s="23" t="n"/>
      <c r="K969" s="24" t="n"/>
      <c r="L969" s="23" t="n"/>
      <c r="M969" s="23" t="n"/>
      <c r="N969" s="24" t="n"/>
      <c r="O969" s="23" t="n"/>
      <c r="P969" s="23" t="n"/>
    </row>
    <row r="970">
      <c r="A970" s="23" t="n"/>
      <c r="B970" s="23" t="n"/>
      <c r="C970" s="23" t="n"/>
      <c r="D970" s="23" t="n"/>
      <c r="E970" s="23" t="n"/>
      <c r="F970" s="23" t="n"/>
      <c r="G970" s="23" t="n"/>
      <c r="H970" s="23" t="n"/>
      <c r="I970" s="23" t="n"/>
      <c r="J970" s="23" t="n"/>
      <c r="K970" s="24" t="n"/>
      <c r="L970" s="23" t="n"/>
      <c r="M970" s="23" t="n"/>
      <c r="N970" s="24" t="n"/>
      <c r="O970" s="23" t="n"/>
      <c r="P970" s="23" t="n"/>
    </row>
    <row r="971">
      <c r="A971" s="23" t="n"/>
      <c r="B971" s="23" t="n"/>
      <c r="C971" s="23" t="n"/>
      <c r="D971" s="23" t="n"/>
      <c r="E971" s="23" t="n"/>
      <c r="F971" s="23" t="n"/>
      <c r="G971" s="23" t="n"/>
      <c r="H971" s="23" t="n"/>
      <c r="I971" s="23" t="n"/>
      <c r="J971" s="23" t="n"/>
      <c r="K971" s="24" t="n"/>
      <c r="L971" s="23" t="n"/>
      <c r="M971" s="23" t="n"/>
      <c r="N971" s="24" t="n"/>
      <c r="O971" s="23" t="n"/>
      <c r="P971" s="23" t="n"/>
    </row>
    <row r="972">
      <c r="A972" s="23" t="n"/>
      <c r="B972" s="23" t="n"/>
      <c r="C972" s="23" t="n"/>
      <c r="D972" s="23" t="n"/>
      <c r="E972" s="23" t="n"/>
      <c r="F972" s="23" t="n"/>
      <c r="G972" s="23" t="n"/>
      <c r="H972" s="23" t="n"/>
      <c r="I972" s="23" t="n"/>
      <c r="J972" s="23" t="n"/>
      <c r="K972" s="24" t="n"/>
      <c r="L972" s="23" t="n"/>
      <c r="M972" s="23" t="n"/>
      <c r="N972" s="24" t="n"/>
      <c r="O972" s="23" t="n"/>
      <c r="P972" s="23" t="n"/>
    </row>
    <row r="973">
      <c r="A973" s="23" t="n"/>
      <c r="B973" s="23" t="n"/>
      <c r="C973" s="23" t="n"/>
      <c r="D973" s="23" t="n"/>
      <c r="E973" s="23" t="n"/>
      <c r="F973" s="23" t="n"/>
      <c r="G973" s="23" t="n"/>
      <c r="H973" s="23" t="n"/>
      <c r="I973" s="23" t="n"/>
      <c r="J973" s="23" t="n"/>
      <c r="K973" s="24" t="n"/>
      <c r="L973" s="23" t="n"/>
      <c r="M973" s="23" t="n"/>
      <c r="N973" s="24" t="n"/>
      <c r="O973" s="23" t="n"/>
      <c r="P973" s="23" t="n"/>
    </row>
    <row r="974">
      <c r="A974" s="23" t="n"/>
      <c r="B974" s="23" t="n"/>
      <c r="C974" s="23" t="n"/>
      <c r="D974" s="23" t="n"/>
      <c r="E974" s="23" t="n"/>
      <c r="F974" s="23" t="n"/>
      <c r="G974" s="23" t="n"/>
      <c r="H974" s="23" t="n"/>
      <c r="I974" s="23" t="n"/>
      <c r="J974" s="23" t="n"/>
      <c r="K974" s="24" t="n"/>
      <c r="L974" s="23" t="n"/>
      <c r="M974" s="23" t="n"/>
      <c r="N974" s="24" t="n"/>
      <c r="O974" s="23" t="n"/>
      <c r="P974" s="23" t="n"/>
    </row>
    <row r="975">
      <c r="A975" s="23" t="n"/>
      <c r="B975" s="23" t="n"/>
      <c r="C975" s="23" t="n"/>
      <c r="D975" s="23" t="n"/>
      <c r="E975" s="23" t="n"/>
      <c r="F975" s="23" t="n"/>
      <c r="G975" s="23" t="n"/>
      <c r="H975" s="23" t="n"/>
      <c r="I975" s="23" t="n"/>
      <c r="J975" s="23" t="n"/>
      <c r="K975" s="24" t="n"/>
      <c r="L975" s="23" t="n"/>
      <c r="M975" s="23" t="n"/>
      <c r="N975" s="24" t="n"/>
      <c r="O975" s="23" t="n"/>
      <c r="P975" s="23" t="n"/>
    </row>
    <row r="976">
      <c r="A976" s="23" t="n"/>
      <c r="B976" s="23" t="n"/>
      <c r="C976" s="23" t="n"/>
      <c r="D976" s="23" t="n"/>
      <c r="E976" s="23" t="n"/>
      <c r="F976" s="23" t="n"/>
      <c r="G976" s="23" t="n"/>
      <c r="H976" s="23" t="n"/>
      <c r="I976" s="23" t="n"/>
      <c r="J976" s="23" t="n"/>
      <c r="K976" s="24" t="n"/>
      <c r="L976" s="23" t="n"/>
      <c r="M976" s="23" t="n"/>
      <c r="N976" s="24" t="n"/>
      <c r="O976" s="23" t="n"/>
      <c r="P976" s="23" t="n"/>
    </row>
    <row r="977">
      <c r="A977" s="23" t="n"/>
      <c r="B977" s="23" t="n"/>
      <c r="C977" s="23" t="n"/>
      <c r="D977" s="23" t="n"/>
      <c r="E977" s="23" t="n"/>
      <c r="F977" s="23" t="n"/>
      <c r="G977" s="23" t="n"/>
      <c r="H977" s="23" t="n"/>
      <c r="I977" s="23" t="n"/>
      <c r="J977" s="23" t="n"/>
      <c r="K977" s="24" t="n"/>
      <c r="L977" s="23" t="n"/>
      <c r="M977" s="23" t="n"/>
      <c r="N977" s="24" t="n"/>
      <c r="O977" s="23" t="n"/>
      <c r="P977" s="23" t="n"/>
    </row>
    <row r="978">
      <c r="A978" s="23" t="n"/>
      <c r="B978" s="23" t="n"/>
      <c r="C978" s="23" t="n"/>
      <c r="D978" s="23" t="n"/>
      <c r="E978" s="23" t="n"/>
      <c r="F978" s="23" t="n"/>
      <c r="G978" s="23" t="n"/>
      <c r="H978" s="23" t="n"/>
      <c r="I978" s="23" t="n"/>
      <c r="J978" s="23" t="n"/>
      <c r="K978" s="24" t="n"/>
      <c r="L978" s="23" t="n"/>
      <c r="M978" s="23" t="n"/>
      <c r="N978" s="24" t="n"/>
      <c r="O978" s="23" t="n"/>
      <c r="P978" s="23" t="n"/>
    </row>
    <row r="979">
      <c r="A979" s="23" t="n"/>
      <c r="B979" s="23" t="n"/>
      <c r="C979" s="23" t="n"/>
      <c r="D979" s="23" t="n"/>
      <c r="E979" s="23" t="n"/>
      <c r="F979" s="23" t="n"/>
      <c r="G979" s="23" t="n"/>
      <c r="H979" s="23" t="n"/>
      <c r="I979" s="23" t="n"/>
      <c r="J979" s="23" t="n"/>
      <c r="K979" s="24" t="n"/>
      <c r="L979" s="23" t="n"/>
      <c r="M979" s="23" t="n"/>
      <c r="N979" s="24" t="n"/>
      <c r="O979" s="23" t="n"/>
      <c r="P979" s="23" t="n"/>
    </row>
    <row r="980">
      <c r="A980" s="23" t="n"/>
      <c r="B980" s="23" t="n"/>
      <c r="C980" s="23" t="n"/>
      <c r="D980" s="23" t="n"/>
      <c r="E980" s="23" t="n"/>
      <c r="F980" s="23" t="n"/>
      <c r="G980" s="23" t="n"/>
      <c r="H980" s="23" t="n"/>
      <c r="I980" s="23" t="n"/>
      <c r="J980" s="23" t="n"/>
      <c r="K980" s="24" t="n"/>
      <c r="L980" s="23" t="n"/>
      <c r="M980" s="23" t="n"/>
      <c r="N980" s="24" t="n"/>
      <c r="O980" s="23" t="n"/>
      <c r="P980" s="23" t="n"/>
    </row>
    <row r="981">
      <c r="A981" s="23" t="n"/>
      <c r="B981" s="23" t="n"/>
      <c r="C981" s="23" t="n"/>
      <c r="D981" s="23" t="n"/>
      <c r="E981" s="23" t="n"/>
      <c r="F981" s="23" t="n"/>
      <c r="G981" s="23" t="n"/>
      <c r="H981" s="23" t="n"/>
      <c r="I981" s="23" t="n"/>
      <c r="J981" s="23" t="n"/>
      <c r="K981" s="24" t="n"/>
      <c r="L981" s="23" t="n"/>
      <c r="M981" s="23" t="n"/>
      <c r="N981" s="24" t="n"/>
      <c r="O981" s="23" t="n"/>
      <c r="P981" s="23" t="n"/>
    </row>
    <row r="982">
      <c r="A982" s="23" t="n"/>
      <c r="B982" s="23" t="n"/>
      <c r="C982" s="23" t="n"/>
      <c r="D982" s="23" t="n"/>
      <c r="E982" s="23" t="n"/>
      <c r="F982" s="23" t="n"/>
      <c r="G982" s="23" t="n"/>
      <c r="H982" s="23" t="n"/>
      <c r="I982" s="23" t="n"/>
      <c r="J982" s="23" t="n"/>
      <c r="K982" s="24" t="n"/>
      <c r="L982" s="23" t="n"/>
      <c r="M982" s="23" t="n"/>
      <c r="N982" s="24" t="n"/>
      <c r="O982" s="23" t="n"/>
      <c r="P982" s="23" t="n"/>
    </row>
    <row r="983">
      <c r="A983" s="23" t="n"/>
      <c r="B983" s="23" t="n"/>
      <c r="C983" s="23" t="n"/>
      <c r="D983" s="23" t="n"/>
      <c r="E983" s="23" t="n"/>
      <c r="F983" s="23" t="n"/>
      <c r="G983" s="23" t="n"/>
      <c r="H983" s="23" t="n"/>
      <c r="I983" s="23" t="n"/>
      <c r="J983" s="23" t="n"/>
      <c r="K983" s="24" t="n"/>
      <c r="L983" s="23" t="n"/>
      <c r="M983" s="23" t="n"/>
      <c r="N983" s="24" t="n"/>
      <c r="O983" s="23" t="n"/>
      <c r="P983" s="23" t="n"/>
    </row>
    <row r="984">
      <c r="A984" s="23" t="n"/>
      <c r="B984" s="23" t="n"/>
      <c r="C984" s="23" t="n"/>
      <c r="D984" s="23" t="n"/>
      <c r="E984" s="23" t="n"/>
      <c r="F984" s="23" t="n"/>
      <c r="G984" s="23" t="n"/>
      <c r="H984" s="23" t="n"/>
      <c r="I984" s="23" t="n"/>
      <c r="J984" s="23" t="n"/>
      <c r="K984" s="24" t="n"/>
      <c r="L984" s="23" t="n"/>
      <c r="M984" s="23" t="n"/>
      <c r="N984" s="24" t="n"/>
      <c r="O984" s="23" t="n"/>
      <c r="P984" s="23" t="n"/>
    </row>
    <row r="985">
      <c r="A985" s="23" t="n"/>
      <c r="B985" s="23" t="n"/>
      <c r="C985" s="23" t="n"/>
      <c r="D985" s="23" t="n"/>
      <c r="E985" s="23" t="n"/>
      <c r="F985" s="23" t="n"/>
      <c r="G985" s="23" t="n"/>
      <c r="H985" s="23" t="n"/>
      <c r="I985" s="23" t="n"/>
      <c r="J985" s="23" t="n"/>
      <c r="K985" s="24" t="n"/>
      <c r="L985" s="23" t="n"/>
      <c r="M985" s="23" t="n"/>
      <c r="N985" s="24" t="n"/>
      <c r="O985" s="23" t="n"/>
      <c r="P985" s="23" t="n"/>
    </row>
    <row r="986">
      <c r="A986" s="23" t="n"/>
      <c r="B986" s="23" t="n"/>
      <c r="C986" s="23" t="n"/>
      <c r="D986" s="23" t="n"/>
      <c r="E986" s="23" t="n"/>
      <c r="F986" s="23" t="n"/>
      <c r="G986" s="23" t="n"/>
      <c r="H986" s="23" t="n"/>
      <c r="I986" s="23" t="n"/>
      <c r="J986" s="23" t="n"/>
      <c r="K986" s="24" t="n"/>
      <c r="L986" s="23" t="n"/>
      <c r="M986" s="23" t="n"/>
      <c r="N986" s="24" t="n"/>
      <c r="O986" s="23" t="n"/>
      <c r="P986" s="23" t="n"/>
    </row>
    <row r="987">
      <c r="A987" s="23" t="n"/>
      <c r="B987" s="23" t="n"/>
      <c r="C987" s="23" t="n"/>
      <c r="D987" s="23" t="n"/>
      <c r="E987" s="23" t="n"/>
      <c r="F987" s="23" t="n"/>
      <c r="G987" s="23" t="n"/>
      <c r="H987" s="23" t="n"/>
      <c r="I987" s="23" t="n"/>
      <c r="J987" s="23" t="n"/>
      <c r="K987" s="24" t="n"/>
      <c r="L987" s="23" t="n"/>
      <c r="M987" s="23" t="n"/>
      <c r="N987" s="24" t="n"/>
      <c r="O987" s="23" t="n"/>
      <c r="P987" s="23" t="n"/>
    </row>
    <row r="988">
      <c r="A988" s="23" t="n"/>
      <c r="B988" s="23" t="n"/>
      <c r="C988" s="23" t="n"/>
      <c r="D988" s="23" t="n"/>
      <c r="E988" s="23" t="n"/>
      <c r="F988" s="23" t="n"/>
      <c r="G988" s="23" t="n"/>
      <c r="H988" s="23" t="n"/>
      <c r="I988" s="23" t="n"/>
      <c r="J988" s="23" t="n"/>
      <c r="K988" s="24" t="n"/>
      <c r="L988" s="23" t="n"/>
      <c r="M988" s="23" t="n"/>
      <c r="N988" s="24" t="n"/>
      <c r="O988" s="23" t="n"/>
      <c r="P988" s="23" t="n"/>
    </row>
    <row r="989">
      <c r="A989" s="23" t="n"/>
      <c r="B989" s="23" t="n"/>
      <c r="C989" s="23" t="n"/>
      <c r="D989" s="23" t="n"/>
      <c r="E989" s="23" t="n"/>
      <c r="F989" s="23" t="n"/>
      <c r="G989" s="23" t="n"/>
      <c r="H989" s="23" t="n"/>
      <c r="I989" s="23" t="n"/>
      <c r="J989" s="23" t="n"/>
      <c r="K989" s="24" t="n"/>
      <c r="L989" s="23" t="n"/>
      <c r="M989" s="23" t="n"/>
      <c r="N989" s="24" t="n"/>
      <c r="O989" s="23" t="n"/>
      <c r="P989" s="23" t="n"/>
    </row>
    <row r="990">
      <c r="A990" s="23" t="n"/>
      <c r="B990" s="23" t="n"/>
      <c r="C990" s="23" t="n"/>
      <c r="D990" s="23" t="n"/>
      <c r="E990" s="23" t="n"/>
      <c r="F990" s="23" t="n"/>
      <c r="G990" s="23" t="n"/>
      <c r="H990" s="23" t="n"/>
      <c r="I990" s="23" t="n"/>
      <c r="J990" s="23" t="n"/>
      <c r="K990" s="24" t="n"/>
      <c r="L990" s="23" t="n"/>
      <c r="M990" s="23" t="n"/>
      <c r="N990" s="24" t="n"/>
      <c r="O990" s="23" t="n"/>
      <c r="P990" s="23" t="n"/>
    </row>
    <row r="991">
      <c r="A991" s="23" t="n"/>
      <c r="B991" s="23" t="n"/>
      <c r="C991" s="23" t="n"/>
      <c r="D991" s="23" t="n"/>
      <c r="E991" s="23" t="n"/>
      <c r="F991" s="23" t="n"/>
      <c r="G991" s="23" t="n"/>
      <c r="H991" s="23" t="n"/>
      <c r="I991" s="23" t="n"/>
      <c r="J991" s="23" t="n"/>
      <c r="K991" s="24" t="n"/>
      <c r="L991" s="23" t="n"/>
      <c r="M991" s="23" t="n"/>
      <c r="N991" s="24" t="n"/>
      <c r="O991" s="23" t="n"/>
      <c r="P991" s="23" t="n"/>
    </row>
    <row r="992">
      <c r="A992" s="23" t="n"/>
      <c r="B992" s="23" t="n"/>
      <c r="C992" s="23" t="n"/>
      <c r="D992" s="23" t="n"/>
      <c r="E992" s="23" t="n"/>
      <c r="F992" s="23" t="n"/>
      <c r="G992" s="23" t="n"/>
      <c r="H992" s="23" t="n"/>
      <c r="I992" s="23" t="n"/>
      <c r="J992" s="23" t="n"/>
      <c r="K992" s="24" t="n"/>
      <c r="L992" s="23" t="n"/>
      <c r="M992" s="23" t="n"/>
      <c r="N992" s="24" t="n"/>
      <c r="O992" s="23" t="n"/>
      <c r="P992" s="23" t="n"/>
    </row>
    <row r="993">
      <c r="A993" s="23" t="n"/>
      <c r="B993" s="23" t="n"/>
      <c r="C993" s="23" t="n"/>
      <c r="D993" s="23" t="n"/>
      <c r="E993" s="23" t="n"/>
      <c r="F993" s="23" t="n"/>
      <c r="G993" s="23" t="n"/>
      <c r="H993" s="23" t="n"/>
      <c r="I993" s="23" t="n"/>
      <c r="J993" s="23" t="n"/>
      <c r="K993" s="24" t="n"/>
      <c r="L993" s="23" t="n"/>
      <c r="M993" s="23" t="n"/>
      <c r="N993" s="24" t="n"/>
      <c r="O993" s="23" t="n"/>
      <c r="P993" s="23" t="n"/>
    </row>
    <row r="994">
      <c r="A994" s="23" t="n"/>
      <c r="B994" s="23" t="n"/>
      <c r="C994" s="23" t="n"/>
      <c r="D994" s="23" t="n"/>
      <c r="E994" s="23" t="n"/>
      <c r="F994" s="23" t="n"/>
      <c r="G994" s="23" t="n"/>
      <c r="H994" s="23" t="n"/>
      <c r="I994" s="23" t="n"/>
      <c r="J994" s="23" t="n"/>
      <c r="K994" s="24" t="n"/>
      <c r="L994" s="23" t="n"/>
      <c r="M994" s="23" t="n"/>
      <c r="N994" s="24" t="n"/>
      <c r="O994" s="23" t="n"/>
      <c r="P994" s="23" t="n"/>
    </row>
    <row r="995">
      <c r="A995" s="23" t="n"/>
      <c r="B995" s="23" t="n"/>
      <c r="C995" s="23" t="n"/>
      <c r="D995" s="23" t="n"/>
      <c r="E995" s="23" t="n"/>
      <c r="F995" s="23" t="n"/>
      <c r="G995" s="23" t="n"/>
      <c r="H995" s="23" t="n"/>
      <c r="I995" s="23" t="n"/>
      <c r="J995" s="23" t="n"/>
      <c r="K995" s="24" t="n"/>
      <c r="L995" s="23" t="n"/>
      <c r="M995" s="23" t="n"/>
      <c r="N995" s="24" t="n"/>
      <c r="O995" s="23" t="n"/>
      <c r="P995" s="23" t="n"/>
    </row>
    <row r="996">
      <c r="A996" s="23" t="n"/>
      <c r="B996" s="23" t="n"/>
      <c r="C996" s="23" t="n"/>
      <c r="D996" s="23" t="n"/>
      <c r="E996" s="23" t="n"/>
      <c r="F996" s="23" t="n"/>
      <c r="G996" s="23" t="n"/>
      <c r="H996" s="23" t="n"/>
      <c r="I996" s="23" t="n"/>
      <c r="J996" s="23" t="n"/>
      <c r="K996" s="24" t="n"/>
      <c r="L996" s="23" t="n"/>
      <c r="M996" s="23" t="n"/>
      <c r="N996" s="24" t="n"/>
      <c r="O996" s="23" t="n"/>
      <c r="P996" s="23" t="n"/>
    </row>
    <row r="997">
      <c r="A997" s="23" t="n"/>
      <c r="B997" s="23" t="n"/>
      <c r="C997" s="23" t="n"/>
      <c r="D997" s="23" t="n"/>
      <c r="E997" s="23" t="n"/>
      <c r="F997" s="23" t="n"/>
      <c r="G997" s="23" t="n"/>
      <c r="H997" s="23" t="n"/>
      <c r="I997" s="23" t="n"/>
      <c r="J997" s="23" t="n"/>
      <c r="K997" s="24" t="n"/>
      <c r="L997" s="23" t="n"/>
      <c r="M997" s="23" t="n"/>
      <c r="N997" s="24" t="n"/>
      <c r="O997" s="23" t="n"/>
      <c r="P997" s="23" t="n"/>
    </row>
    <row r="998">
      <c r="A998" s="23" t="n"/>
      <c r="B998" s="23" t="n"/>
      <c r="C998" s="23" t="n"/>
      <c r="D998" s="23" t="n"/>
      <c r="E998" s="23" t="n"/>
      <c r="F998" s="23" t="n"/>
      <c r="G998" s="23" t="n"/>
      <c r="H998" s="23" t="n"/>
      <c r="I998" s="23" t="n"/>
      <c r="J998" s="23" t="n"/>
      <c r="K998" s="24" t="n"/>
      <c r="L998" s="23" t="n"/>
      <c r="M998" s="23" t="n"/>
      <c r="N998" s="24" t="n"/>
      <c r="O998" s="23" t="n"/>
      <c r="P998" s="23" t="n"/>
    </row>
    <row r="999">
      <c r="A999" s="23" t="n"/>
      <c r="B999" s="23" t="n"/>
      <c r="C999" s="23" t="n"/>
      <c r="D999" s="23" t="n"/>
      <c r="E999" s="23" t="n"/>
      <c r="F999" s="23" t="n"/>
      <c r="G999" s="23" t="n"/>
      <c r="H999" s="23" t="n"/>
      <c r="I999" s="23" t="n"/>
      <c r="J999" s="23" t="n"/>
      <c r="K999" s="24" t="n"/>
      <c r="L999" s="23" t="n"/>
      <c r="M999" s="23" t="n"/>
      <c r="N999" s="24" t="n"/>
      <c r="O999" s="23" t="n"/>
      <c r="P999" s="23" t="n"/>
    </row>
    <row r="1000">
      <c r="A1000" s="23" t="n"/>
      <c r="B1000" s="23" t="n"/>
      <c r="C1000" s="23" t="n"/>
      <c r="D1000" s="23" t="n"/>
      <c r="E1000" s="23" t="n"/>
      <c r="F1000" s="23" t="n"/>
      <c r="G1000" s="23" t="n"/>
      <c r="H1000" s="23" t="n"/>
      <c r="I1000" s="23" t="n"/>
      <c r="J1000" s="23" t="n"/>
      <c r="K1000" s="24" t="n"/>
      <c r="L1000" s="23" t="n"/>
      <c r="M1000" s="23" t="n"/>
      <c r="N1000" s="24" t="n"/>
      <c r="O1000" s="23" t="n"/>
      <c r="P1000" s="23" t="n"/>
    </row>
  </sheetData>
  <dataValidations count="3">
    <dataValidation sqref="C2:C1000" showDropDown="0" showInputMessage="1" showErrorMessage="1" allowBlank="1" errorTitle="Select a valid checklist value" error="Choose a value from the dropdown list." type="list">
      <formula1>SeverityOptions</formula1>
    </dataValidation>
    <dataValidation sqref="I2:I1000" showDropDown="0" showInputMessage="1" showErrorMessage="1" allowBlank="1" errorTitle="Select a valid checklist value" error="Choose a value from the dropdown list." type="list">
      <formula1>DefectStatusOptions</formula1>
    </dataValidation>
    <dataValidation sqref="M2:M1000" showDropDown="0" showInputMessage="1" showErrorMessage="1" allowBlank="1" errorTitle="Select a valid checklist value" error="Choose a value from the dropdown list." type="list">
      <formula1>RetestOptions</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265272"/>
    <outlinePr summaryBelow="1" summaryRight="1"/>
    <pageSetUpPr/>
  </sheetPr>
  <dimension ref="A1:F22"/>
  <sheetViews>
    <sheetView showGridLines="0" workbookViewId="0">
      <selection activeCell="A1" sqref="A1"/>
    </sheetView>
  </sheetViews>
  <sheetFormatPr baseColWidth="8" defaultRowHeight="15"/>
  <cols>
    <col width="34.7109375" customWidth="1" style="78" min="1" max="1"/>
    <col width="22.7109375" customWidth="1" style="78" min="2" max="2"/>
    <col width="16.7109375" customWidth="1" style="78" min="3" max="3"/>
    <col width="13.7109375" customWidth="1" style="78" min="4" max="4"/>
    <col width="34.7109375" customWidth="1" style="78" min="5" max="5"/>
    <col width="44.7109375" customWidth="1" style="78" min="6" max="6"/>
  </cols>
  <sheetData>
    <row r="1" ht="33.95" customHeight="1" s="78">
      <c r="A1" s="99" t="inlineStr">
        <is>
          <t>Release Sign-off</t>
        </is>
      </c>
      <c r="B1" s="86" t="n"/>
      <c r="C1" s="86" t="n"/>
      <c r="D1" s="86" t="n"/>
      <c r="E1" s="86" t="n"/>
      <c r="F1" s="87" t="n"/>
    </row>
    <row r="2" ht="38.1" customHeight="1" s="78">
      <c r="A2" s="97" t="inlineStr">
        <is>
          <t>Sign only after the Release Dashboard is complete, all Release Gate checks are resolved, and defects have retest evidence.</t>
        </is>
      </c>
      <c r="B2" s="86" t="n"/>
      <c r="C2" s="86" t="n"/>
      <c r="D2" s="86" t="n"/>
      <c r="E2" s="86" t="n"/>
      <c r="F2" s="87" t="n"/>
    </row>
    <row r="3">
      <c r="A3" s="23" t="n"/>
      <c r="B3" s="23" t="n"/>
      <c r="C3" s="23" t="n"/>
      <c r="D3" s="23" t="n"/>
      <c r="E3" s="23" t="n"/>
      <c r="F3" s="23" t="n"/>
    </row>
    <row r="4" ht="33.95" customHeight="1" s="78">
      <c r="A4" s="7" t="inlineStr">
        <is>
          <t>Gate</t>
        </is>
      </c>
      <c r="B4" s="7" t="inlineStr">
        <is>
          <t>Required Evidence</t>
        </is>
      </c>
      <c r="C4" s="7" t="inlineStr">
        <is>
          <t>Status</t>
        </is>
      </c>
      <c r="D4" s="7" t="inlineStr">
        <is>
          <t>Owner</t>
        </is>
      </c>
      <c r="E4" s="7" t="inlineStr">
        <is>
          <t>Date</t>
        </is>
      </c>
      <c r="F4" s="7" t="inlineStr">
        <is>
          <t>Comments</t>
        </is>
      </c>
    </row>
    <row r="5" ht="80.09999999999999" customHeight="1" s="78">
      <c r="A5" s="9" t="inlineStr">
        <is>
          <t>Automated backend tests</t>
        </is>
      </c>
      <c r="B5" s="9" t="inlineStr">
        <is>
          <t>pytest output</t>
        </is>
      </c>
      <c r="C5" s="9" t="inlineStr">
        <is>
          <t>Pass</t>
        </is>
      </c>
      <c r="D5" s="9" t="inlineStr">
        <is>
          <t>SQA</t>
        </is>
      </c>
      <c r="E5" s="10" t="n">
        <v>46296.83333333334</v>
      </c>
      <c r="F5" s="9" t="inlineStr">
        <is>
          <t>423 backend tests;65 focused Windows and Ubuntu22 checks; dependency/compile checks; actual Neon restart, shared analytics and historical-source reconciliation pass. Frontend unchanged.</t>
        </is>
      </c>
    </row>
    <row r="6" ht="80.09999999999999" customHeight="1" s="78">
      <c r="A6" s="9" t="inlineStr">
        <is>
          <t>Flutter analysis/tests/build</t>
        </is>
      </c>
      <c r="B6" s="9" t="inlineStr">
        <is>
          <t>Command output</t>
        </is>
      </c>
      <c r="C6" s="9" t="inlineStr">
        <is>
          <t>Pass</t>
        </is>
      </c>
      <c r="D6" s="9" t="inlineStr">
        <is>
          <t>SQA</t>
        </is>
      </c>
      <c r="E6" s="10" t="n">
        <v>46296.5</v>
      </c>
      <c r="F6" s="9" t="inlineStr">
        <is>
          <t>Windows and Ubuntu22/24: Flutter analysis clean,91 tests passed, release builds passed.</t>
        </is>
      </c>
    </row>
    <row r="7" ht="80.09999999999999" customHeight="1" s="78">
      <c r="A7" s="9" t="inlineStr">
        <is>
          <t>All published assignments validate</t>
        </is>
      </c>
      <c r="B7" s="9" t="inlineStr">
        <is>
          <t>Validation report</t>
        </is>
      </c>
      <c r="C7" s="9" t="inlineStr">
        <is>
          <t>Pass</t>
        </is>
      </c>
      <c r="D7" s="9" t="inlineStr">
        <is>
          <t>SQA</t>
        </is>
      </c>
      <c r="E7" s="10" t="n">
        <v>46296.5</v>
      </c>
      <c r="F7" s="9" t="inlineStr">
        <is>
          <t>All six versioned assignments remain published. Versions9,9,10,9,5,5.</t>
        </is>
      </c>
    </row>
    <row r="8" ht="80.09999999999999" customHeight="1" s="78">
      <c r="A8" s="9" t="inlineStr">
        <is>
          <t>All official solutions pass</t>
        </is>
      </c>
      <c r="B8" s="9" t="inlineStr">
        <is>
          <t>Per-assignment evidence</t>
        </is>
      </c>
      <c r="C8" s="9" t="inlineStr">
        <is>
          <t>Pass</t>
        </is>
      </c>
      <c r="D8" s="9" t="inlineStr">
        <is>
          <t>SQA</t>
        </is>
      </c>
      <c r="E8" s="10" t="n">
        <v>46296.5</v>
      </c>
      <c r="F8" s="9" t="inlineStr">
        <is>
          <t>All six maintained answers100% on Windows API and Ubuntu22 graders.</t>
        </is>
      </c>
    </row>
    <row r="9" ht="80.09999999999999" customHeight="1" s="78">
      <c r="A9" s="9" t="inlineStr">
        <is>
          <t>Desktop/mobile critical path</t>
        </is>
      </c>
      <c r="B9" s="9" t="inlineStr">
        <is>
          <t>Screenshots or test record</t>
        </is>
      </c>
      <c r="C9" s="9" t="inlineStr">
        <is>
          <t>Partial</t>
        </is>
      </c>
      <c r="D9" s="9" t="inlineStr">
        <is>
          <t>SQA</t>
        </is>
      </c>
      <c r="E9" s="10" t="n">
        <v>46296.5</v>
      </c>
      <c r="F9" s="9" t="inlineStr">
        <is>
          <t>All-six Windows rendered diagrams and A6 AI-panel behavior checked. Ubuntu containers pass stack/build checks; physical Ubuntu browser/hardware remains untested.</t>
        </is>
      </c>
    </row>
    <row r="10" ht="80.09999999999999" customHeight="1" s="78">
      <c r="A10" s="9" t="inlineStr">
        <is>
          <t>Sandbox security checks</t>
        </is>
      </c>
      <c r="B10" s="9" t="inlineStr">
        <is>
          <t>Timeout/import/output/resource evidence</t>
        </is>
      </c>
      <c r="C10" s="9" t="inlineStr">
        <is>
          <t>Pass</t>
        </is>
      </c>
      <c r="D10" s="9" t="inlineStr">
        <is>
          <t>SQA</t>
        </is>
      </c>
      <c r="E10" s="10" t="n">
        <v>46296.5</v>
      </c>
      <c r="F10" s="9" t="inlineStr">
        <is>
          <t>Existing sandbox error/resource regression passes; actual isolated ROS answers and duplicate probes verified.</t>
        </is>
      </c>
    </row>
    <row r="11" ht="80.09999999999999" customHeight="1" s="78">
      <c r="A11" s="9" t="inlineStr">
        <is>
          <t>Instructor workflow</t>
        </is>
      </c>
      <c r="B11" s="9" t="inlineStr">
        <is>
          <t>Account and assignment evidence</t>
        </is>
      </c>
      <c r="C11" s="9" t="inlineStr">
        <is>
          <t>Pass</t>
        </is>
      </c>
      <c r="D11" s="9" t="inlineStr">
        <is>
          <t>SQA</t>
        </is>
      </c>
      <c r="E11" s="10" t="n">
        <v>46262</v>
      </c>
      <c r="F11" s="9" t="inlineStr">
        <is>
          <t>Instructor APIs and UI support student/instructor create, edit, reset, activate, and deactivate flows.</t>
        </is>
      </c>
    </row>
    <row r="12" ht="80.09999999999999" customHeight="1" s="78">
      <c r="A12" s="9" t="inlineStr">
        <is>
          <t>Authentication and account management</t>
        </is>
      </c>
      <c r="B12" s="9" t="inlineStr">
        <is>
          <t>Role, password, account, and isolation evidence</t>
        </is>
      </c>
      <c r="C12" s="9" t="inlineStr">
        <is>
          <t>Pass</t>
        </is>
      </c>
      <c r="D12" s="9" t="inlineStr">
        <is>
          <t>SQA</t>
        </is>
      </c>
      <c r="E12" s="10" t="n">
        <v>46262</v>
      </c>
      <c r="F12" s="9" t="inlineStr">
        <is>
          <t>Default student restored; Dave retained with zero progress; persistent browser progress is scoped by user ID.</t>
        </is>
      </c>
    </row>
    <row r="13" ht="80.09999999999999" customHeight="1" s="78">
      <c r="A13" s="9" t="inlineStr">
        <is>
          <t>Secrets and source diff review</t>
        </is>
      </c>
      <c r="B13" s="9" t="inlineStr">
        <is>
          <t>Git evidence</t>
        </is>
      </c>
      <c r="C13" s="9" t="inlineStr">
        <is>
          <t>Pass</t>
        </is>
      </c>
      <c r="D13" s="9" t="inlineStr">
        <is>
          <t>SQA</t>
        </is>
      </c>
      <c r="E13" s="10" t="n">
        <v>46296.5</v>
      </c>
      <c r="F13" s="9" t="inlineStr">
        <is>
          <t>Scoped Git publication only. Secrets/configuration and unrelated user PDF moves excluded.</t>
        </is>
      </c>
    </row>
    <row r="14" ht="80.09999999999999" customHeight="1" s="78">
      <c r="A14" s="9" t="inlineStr">
        <is>
          <t>Defect retest complete</t>
        </is>
      </c>
      <c r="B14" s="9" t="inlineStr">
        <is>
          <t>Defect IDs and retest evidence</t>
        </is>
      </c>
      <c r="C14" s="9" t="inlineStr">
        <is>
          <t>Partial</t>
        </is>
      </c>
      <c r="D14" s="9" t="inlineStr">
        <is>
          <t>SQA</t>
        </is>
      </c>
      <c r="E14" s="10" t="n">
        <v>46296.5</v>
      </c>
      <c r="F14" s="9" t="inlineStr">
        <is>
          <t>AI grounding and early-hint quality remain mitigated/PARTIAL. Other new defects have focused retest evidence. See AI-UBUNTU-2026-10-01.</t>
        </is>
      </c>
    </row>
    <row r="15">
      <c r="A15" s="23" t="n"/>
      <c r="B15" s="23" t="n"/>
      <c r="C15" s="23" t="n"/>
      <c r="D15" s="23" t="n"/>
      <c r="E15" s="23" t="n"/>
      <c r="F15" s="23" t="n"/>
    </row>
    <row r="16">
      <c r="A16" s="98" t="inlineStr">
        <is>
          <t>Approvals</t>
        </is>
      </c>
      <c r="B16" s="86" t="n"/>
      <c r="C16" s="86" t="n"/>
      <c r="D16" s="86" t="n"/>
      <c r="E16" s="86" t="n"/>
      <c r="F16" s="87" t="n"/>
    </row>
    <row r="17" ht="33.95" customHeight="1" s="78">
      <c r="A17" s="6" t="inlineStr">
        <is>
          <t>Role</t>
        </is>
      </c>
      <c r="B17" s="6" t="inlineStr">
        <is>
          <t>Name</t>
        </is>
      </c>
      <c r="C17" s="6" t="inlineStr">
        <is>
          <t>Decision</t>
        </is>
      </c>
      <c r="D17" s="6" t="inlineStr">
        <is>
          <t>Date</t>
        </is>
      </c>
      <c r="E17" s="6" t="inlineStr">
        <is>
          <t>Signature / Evidence</t>
        </is>
      </c>
      <c r="F17" s="6" t="inlineStr">
        <is>
          <t>Comments</t>
        </is>
      </c>
    </row>
    <row r="18" ht="38.1" customHeight="1" s="78">
      <c r="A18" s="26" t="inlineStr">
        <is>
          <t>SQA Lead</t>
        </is>
      </c>
      <c r="B18" s="26" t="n"/>
      <c r="C18" s="26" t="inlineStr">
        <is>
          <t>Pending</t>
        </is>
      </c>
      <c r="D18" s="27" t="n"/>
      <c r="E18" s="26" t="n"/>
      <c r="F18" s="26" t="n"/>
    </row>
    <row r="19" ht="38.1" customHeight="1" s="78">
      <c r="A19" s="26" t="inlineStr">
        <is>
          <t>Development Lead</t>
        </is>
      </c>
      <c r="B19" s="26" t="n"/>
      <c r="C19" s="26" t="inlineStr">
        <is>
          <t>Pending</t>
        </is>
      </c>
      <c r="D19" s="27" t="n"/>
      <c r="E19" s="26" t="n"/>
      <c r="F19" s="26" t="n"/>
    </row>
    <row r="20" ht="38.1" customHeight="1" s="78">
      <c r="A20" s="26" t="inlineStr">
        <is>
          <t>Instructor / Curriculum Owner</t>
        </is>
      </c>
      <c r="B20" s="26" t="n"/>
      <c r="C20" s="26" t="inlineStr">
        <is>
          <t>Pending</t>
        </is>
      </c>
      <c r="D20" s="27" t="n"/>
      <c r="E20" s="26" t="n"/>
      <c r="F20" s="26" t="n"/>
    </row>
    <row r="21" ht="38.1" customHeight="1" s="78">
      <c r="A21" s="26" t="inlineStr">
        <is>
          <t>Security / Platform Reviewer</t>
        </is>
      </c>
      <c r="B21" s="26" t="n"/>
      <c r="C21" s="26" t="inlineStr">
        <is>
          <t>Pending</t>
        </is>
      </c>
      <c r="D21" s="27" t="n"/>
      <c r="E21" s="26" t="n"/>
      <c r="F21" s="26" t="n"/>
    </row>
    <row r="22" ht="38.1" customHeight="1" s="78">
      <c r="A22" s="26" t="inlineStr">
        <is>
          <t>Product / Research Lead</t>
        </is>
      </c>
      <c r="B22" s="26" t="n"/>
      <c r="C22" s="26" t="inlineStr">
        <is>
          <t>Pending</t>
        </is>
      </c>
      <c r="D22" s="27" t="n"/>
      <c r="E22" s="26" t="n"/>
      <c r="F22" s="26" t="n"/>
    </row>
  </sheetData>
  <mergeCells count="3">
    <mergeCell ref="A2:F2"/>
    <mergeCell ref="A16:F16"/>
    <mergeCell ref="A1:F1"/>
  </mergeCells>
  <conditionalFormatting sqref="C5:C14">
    <cfRule type="cellIs" priority="1" operator="equal" dxfId="5" stopIfTrue="1">
      <formula>"Pass"</formula>
    </cfRule>
    <cfRule type="cellIs" priority="2" operator="equal" dxfId="4" stopIfTrue="1">
      <formula>"Fail"</formula>
    </cfRule>
    <cfRule type="cellIs" priority="3" operator="equal" dxfId="3" stopIfTrue="1">
      <formula>"Blocked"</formula>
    </cfRule>
    <cfRule type="cellIs" priority="4" operator="equal" dxfId="2" stopIfTrue="1">
      <formula>"Not Run"</formula>
    </cfRule>
    <cfRule type="cellIs" priority="5" operator="equal" dxfId="1" stopIfTrue="1">
      <formula>"Deferred"</formula>
    </cfRule>
    <cfRule type="cellIs" priority="6" operator="equal" dxfId="0" stopIfTrue="1">
      <formula>"N/A"</formula>
    </cfRule>
  </conditionalFormatting>
  <dataValidations count="2">
    <dataValidation sqref="C5:C14" showDropDown="0" showInputMessage="1" showErrorMessage="1" allowBlank="1" errorTitle="Select a valid checklist value" error="Choose a value from the dropdown list." type="list">
      <formula1>StatusOptions</formula1>
    </dataValidation>
    <dataValidation sqref="C18:C22" showDropDown="0" showInputMessage="1" showErrorMessage="1" allowBlank="1" errorTitle="Select a valid checklist value" error="Choose a value from the dropdown list." type="list">
      <formula1>DecisionOptions</formula1>
    </dataValidation>
  </dataValidations>
  <pageMargins left="0.7" right="0.7" top="0.75" bottom="0.75" header="0.3" footer="0.3"/>
</worksheet>
</file>

<file path=xl/worksheets/sheet7.xml><?xml version="1.0" encoding="utf-8"?>
<worksheet xmlns="http://schemas.openxmlformats.org/spreadsheetml/2006/main">
  <sheetPr>
    <tabColor rgb="FF265272"/>
    <outlinePr summaryBelow="1" summaryRight="1"/>
    <pageSetUpPr/>
  </sheetPr>
  <dimension ref="A1:D62"/>
  <sheetViews>
    <sheetView showGridLines="0" workbookViewId="0">
      <selection activeCell="A1" sqref="A1"/>
    </sheetView>
  </sheetViews>
  <sheetFormatPr baseColWidth="8" defaultRowHeight="15"/>
  <cols>
    <col width="18.7109375" customWidth="1" style="78" min="1" max="1"/>
    <col width="30.7109375" customWidth="1" style="78" min="2" max="2"/>
    <col width="90.7109375" customWidth="1" style="78" min="3" max="3"/>
    <col width="44.7109375" customWidth="1" style="78" min="4" max="4"/>
  </cols>
  <sheetData>
    <row r="1" ht="33.95" customHeight="1" s="78">
      <c r="A1" s="99" t="inlineStr">
        <is>
          <t>SQA Execution Runbook</t>
        </is>
      </c>
      <c r="B1" s="86" t="n"/>
      <c r="C1" s="86" t="n"/>
      <c r="D1" s="87" t="n"/>
    </row>
    <row r="2" ht="38.1" customHeight="1" s="78">
      <c r="A2" s="97" t="inlineStr">
        <is>
          <t>Run commands from the repository root unless a different working directory is shown. Never put API keys or instructor tokens into the workbook.</t>
        </is>
      </c>
      <c r="B2" s="86" t="n"/>
      <c r="C2" s="86" t="n"/>
      <c r="D2" s="87" t="n"/>
    </row>
    <row r="3">
      <c r="A3" s="23" t="n"/>
      <c r="B3" s="23" t="n"/>
      <c r="C3" s="23" t="n"/>
      <c r="D3" s="23" t="n"/>
    </row>
    <row r="4" ht="33.95" customHeight="1" s="78">
      <c r="A4" s="7" t="inlineStr">
        <is>
          <t>Section</t>
        </is>
      </c>
      <c r="B4" s="7" t="inlineStr">
        <is>
          <t>Purpose</t>
        </is>
      </c>
      <c r="C4" s="7" t="inlineStr">
        <is>
          <t>Command / Procedure</t>
        </is>
      </c>
      <c r="D4" s="7" t="inlineStr">
        <is>
          <t>Expected Result</t>
        </is>
      </c>
    </row>
    <row r="5" ht="42" customHeight="1" s="78">
      <c r="A5" s="9" t="inlineStr">
        <is>
          <t>Install</t>
        </is>
      </c>
      <c r="B5" s="9" t="inlineStr">
        <is>
          <t>Create Python environment</t>
        </is>
      </c>
      <c r="C5" s="9" t="inlineStr">
        <is>
          <t>python -m venv venv</t>
        </is>
      </c>
      <c r="D5" s="9" t="inlineStr">
        <is>
          <t>venv directory is created</t>
        </is>
      </c>
    </row>
    <row r="6" ht="42" customHeight="1" s="78">
      <c r="A6" s="9" t="inlineStr">
        <is>
          <t>Install</t>
        </is>
      </c>
      <c r="B6" s="9" t="inlineStr">
        <is>
          <t>Install backend packages</t>
        </is>
      </c>
      <c r="C6" s="9" t="inlineStr">
        <is>
          <t>.\venv\Scripts\python.exe -m pip install -r .\backend\requirements.txt</t>
        </is>
      </c>
      <c r="D6" s="9" t="inlineStr">
        <is>
          <t>Installation succeeds</t>
        </is>
      </c>
    </row>
    <row r="7" ht="42" customHeight="1" s="78">
      <c r="A7" s="9" t="inlineStr">
        <is>
          <t>Install</t>
        </is>
      </c>
      <c r="B7" s="9" t="inlineStr">
        <is>
          <t>Install Flutter packages</t>
        </is>
      </c>
      <c r="C7" s="9" t="inlineStr">
        <is>
          <t>Set-Location .\frontend; flutter pub get; Set-Location ..</t>
        </is>
      </c>
      <c r="D7" s="9" t="inlineStr">
        <is>
          <t>Dependency resolution succeeds</t>
        </is>
      </c>
    </row>
    <row r="8" ht="42" customHeight="1" s="78">
      <c r="A8" s="9" t="inlineStr">
        <is>
          <t>Run</t>
        </is>
      </c>
      <c r="B8" s="9" t="inlineStr">
        <is>
          <t>Start backend (Terminal 1)</t>
        </is>
      </c>
      <c r="C8" s="9" t="inlineStr">
        <is>
          <t>.\venv\Scripts\python.exe .\backend\run.py</t>
        </is>
      </c>
      <c r="D8" s="9" t="inlineStr">
        <is>
          <t>Backend remains running at http://127.0.0.1:5000</t>
        </is>
      </c>
    </row>
    <row r="9" ht="42" customHeight="1" s="78">
      <c r="A9" s="9" t="inlineStr">
        <is>
          <t>Run</t>
        </is>
      </c>
      <c r="B9" s="9" t="inlineStr">
        <is>
          <t>Start frontend (Terminal 2)</t>
        </is>
      </c>
      <c r="C9" s="9" t="inlineStr">
        <is>
          <t>Set-Location .\frontend; flutter run -d chrome --dart-define=API_BASE_URL=http://127.0.0.1:5000</t>
        </is>
      </c>
      <c r="D9" s="9" t="inlineStr">
        <is>
          <t>Chrome opens the catalog</t>
        </is>
      </c>
    </row>
    <row r="10" ht="42" customHeight="1" s="78">
      <c r="A10" s="9" t="inlineStr">
        <is>
          <t>Backend QA</t>
        </is>
      </c>
      <c r="B10" s="9" t="inlineStr">
        <is>
          <t>Run backend tests</t>
        </is>
      </c>
      <c r="C10" s="9" t="inlineStr">
        <is>
          <t>Set-Location .\backend; ..\venv\Scripts\python.exe -m pytest -q</t>
        </is>
      </c>
      <c r="D10" s="9" t="inlineStr">
        <is>
          <t>All maintained tests pass</t>
        </is>
      </c>
    </row>
    <row r="11" ht="42" customHeight="1" s="78">
      <c r="A11" s="9" t="inlineStr">
        <is>
          <t>Backend QA</t>
        </is>
      </c>
      <c r="B11" s="9" t="inlineStr">
        <is>
          <t>Check package integrity</t>
        </is>
      </c>
      <c r="C11" s="9" t="inlineStr">
        <is>
          <t>Set-Location .\backend; ..\venv\Scripts\python.exe -m pip check</t>
        </is>
      </c>
      <c r="D11" s="9" t="inlineStr">
        <is>
          <t>No broken requirements</t>
        </is>
      </c>
    </row>
    <row r="12" ht="42" customHeight="1" s="78">
      <c r="A12" s="9" t="inlineStr">
        <is>
          <t>Backend QA</t>
        </is>
      </c>
      <c r="B12" s="9" t="inlineStr">
        <is>
          <t>Compile Python modules</t>
        </is>
      </c>
      <c r="C12" s="9" t="inlineStr">
        <is>
          <t>Set-Location .\backend; ..\venv\Scripts\python.exe -m compileall -q .</t>
        </is>
      </c>
      <c r="D12" s="9" t="inlineStr">
        <is>
          <t>No compilation errors</t>
        </is>
      </c>
    </row>
    <row r="13" ht="42" customHeight="1" s="78">
      <c r="A13" s="9" t="inlineStr">
        <is>
          <t>Frontend QA</t>
        </is>
      </c>
      <c r="B13" s="9" t="inlineStr">
        <is>
          <t>Static analysis</t>
        </is>
      </c>
      <c r="C13" s="9" t="inlineStr">
        <is>
          <t>Set-Location .\frontend; flutter analyze</t>
        </is>
      </c>
      <c r="D13" s="9" t="inlineStr">
        <is>
          <t>No issues found</t>
        </is>
      </c>
    </row>
    <row r="14" ht="42" customHeight="1" s="78">
      <c r="A14" s="9" t="inlineStr">
        <is>
          <t>Frontend QA</t>
        </is>
      </c>
      <c r="B14" s="9" t="inlineStr">
        <is>
          <t>Widget/state tests</t>
        </is>
      </c>
      <c r="C14" s="9" t="inlineStr">
        <is>
          <t>Set-Location .\frontend; flutter test</t>
        </is>
      </c>
      <c r="D14" s="9" t="inlineStr">
        <is>
          <t>All tests pass</t>
        </is>
      </c>
    </row>
    <row r="15" ht="42" customHeight="1" s="78">
      <c r="A15" s="9" t="inlineStr">
        <is>
          <t>Frontend QA</t>
        </is>
      </c>
      <c r="B15" s="9" t="inlineStr">
        <is>
          <t>Release web build</t>
        </is>
      </c>
      <c r="C15" s="9" t="inlineStr">
        <is>
          <t>Set-Location .\frontend; flutter build web --dart-define=API_BASE_URL=http://127.0.0.1:5000</t>
        </is>
      </c>
      <c r="D15" s="9" t="inlineStr">
        <is>
          <t>Build succeeds in .flutter_build\web</t>
        </is>
      </c>
    </row>
    <row r="16" ht="42" customHeight="1" s="78">
      <c r="A16" s="9" t="inlineStr">
        <is>
          <t>Docker QA</t>
        </is>
      </c>
      <c r="B16" s="9" t="inlineStr">
        <is>
          <t>Validate Compose</t>
        </is>
      </c>
      <c r="C16" s="9" t="inlineStr">
        <is>
          <t>docker compose config</t>
        </is>
      </c>
      <c r="D16" s="9" t="inlineStr">
        <is>
          <t>Configuration resolves</t>
        </is>
      </c>
    </row>
    <row r="17" ht="42" customHeight="1" s="78">
      <c r="A17" s="9" t="inlineStr">
        <is>
          <t>Docker QA</t>
        </is>
      </c>
      <c r="B17" s="9" t="inlineStr">
        <is>
          <t>Build sandbox image</t>
        </is>
      </c>
      <c r="C17" s="9" t="inlineStr">
        <is>
          <t>docker compose --profile build build sandbox-image</t>
        </is>
      </c>
      <c r="D17" s="9" t="inlineStr">
        <is>
          <t>Image builds</t>
        </is>
      </c>
    </row>
    <row r="18" ht="42" customHeight="1" s="78">
      <c r="A18" s="9" t="inlineStr">
        <is>
          <t>Docker QA</t>
        </is>
      </c>
      <c r="B18" s="9" t="inlineStr">
        <is>
          <t>Start production-like services</t>
        </is>
      </c>
      <c r="C18" s="9" t="inlineStr">
        <is>
          <t>docker compose up --build postgres redis backend</t>
        </is>
      </c>
      <c r="D18" s="9" t="inlineStr">
        <is>
          <t>Services become healthy</t>
        </is>
      </c>
    </row>
    <row r="19" ht="42" customHeight="1" s="78">
      <c r="A19" s="9" t="inlineStr">
        <is>
          <t>Git QA</t>
        </is>
      </c>
      <c r="B19" s="9" t="inlineStr">
        <is>
          <t>Check maintained source whitespace</t>
        </is>
      </c>
      <c r="C19" s="9" t="inlineStr">
        <is>
          <t>git diff --check -- . ':!env' ':!venv'</t>
        </is>
      </c>
      <c r="D19" s="9" t="inlineStr">
        <is>
          <t>No maintained-source errors</t>
        </is>
      </c>
    </row>
    <row r="20" ht="42" customHeight="1" s="78">
      <c r="A20" s="9" t="inlineStr">
        <is>
          <t>Git QA</t>
        </is>
      </c>
      <c r="B20" s="9" t="inlineStr">
        <is>
          <t>Review source changes</t>
        </is>
      </c>
      <c r="C20" s="9" t="inlineStr">
        <is>
          <t>git status --short</t>
        </is>
      </c>
      <c r="D20" s="9" t="inlineStr">
        <is>
          <t>Only intended source/docs/artifacts appear</t>
        </is>
      </c>
    </row>
    <row r="21" ht="42" customHeight="1" s="78">
      <c r="A21" s="9" t="inlineStr">
        <is>
          <t>Evidence</t>
        </is>
      </c>
      <c r="B21" s="9" t="inlineStr">
        <is>
          <t>Record pass</t>
        </is>
      </c>
      <c r="C21" s="9" t="inlineStr">
        <is>
          <t>Set Status=Pass, Checked?=[x], enter tester/date, and attach command output/screenshot/path.</t>
        </is>
      </c>
      <c r="D21" s="9" t="inlineStr">
        <is>
          <t>Row is auditable</t>
        </is>
      </c>
    </row>
    <row r="22" ht="42" customHeight="1" s="78">
      <c r="A22" s="9" t="inlineStr">
        <is>
          <t>Evidence</t>
        </is>
      </c>
      <c r="B22" s="9" t="inlineStr">
        <is>
          <t>Record failure</t>
        </is>
      </c>
      <c r="C22" s="9" t="inlineStr">
        <is>
          <t>Set Status=Fail, create Defect Log row, add Defect ID and actual evidence.</t>
        </is>
      </c>
      <c r="D22" s="9" t="inlineStr">
        <is>
          <t>Failure is traceable</t>
        </is>
      </c>
    </row>
    <row r="23" ht="42" customHeight="1" s="78">
      <c r="A23" s="9" t="inlineStr">
        <is>
          <t>Evidence</t>
        </is>
      </c>
      <c r="B23" s="9" t="inlineStr">
        <is>
          <t>Record blocked test</t>
        </is>
      </c>
      <c r="C23" s="9" t="inlineStr">
        <is>
          <t>Set Status=Blocked and document exact external/environment blocker.</t>
        </is>
      </c>
      <c r="D23" s="9" t="inlineStr">
        <is>
          <t>Limitation is explicit</t>
        </is>
      </c>
    </row>
    <row r="24" ht="42" customHeight="1" s="78">
      <c r="A24" s="9" t="inlineStr">
        <is>
          <t>Retest</t>
        </is>
      </c>
      <c r="B24" s="9" t="inlineStr">
        <is>
          <t>Verify a fix</t>
        </is>
      </c>
      <c r="C24" s="9" t="inlineStr">
        <is>
          <t>Repeat original steps, update Retest Status/date/evidence, and close the linked defect only after success.</t>
        </is>
      </c>
      <c r="D24" s="9" t="inlineStr">
        <is>
          <t>Fix is proven</t>
        </is>
      </c>
    </row>
    <row r="25" ht="42" customHeight="1" s="78">
      <c r="A25" s="21" t="inlineStr">
        <is>
          <t>Auth QA</t>
        </is>
      </c>
      <c r="B25" s="9" t="inlineStr">
        <is>
          <t>Run authentication and account tests</t>
        </is>
      </c>
      <c r="C25" s="9" t="inlineStr">
        <is>
          <t>Set-Location .\backend; ..\venv\Scripts\python.exe -m pytest tests\test_auth.py -q</t>
        </is>
      </c>
      <c r="D25" s="19" t="inlineStr">
        <is>
          <t>All focused authentication tests pass</t>
        </is>
      </c>
    </row>
    <row r="26" ht="27" customHeight="1" s="78">
      <c r="A26" s="21" t="inlineStr">
        <is>
          <t>Auth API</t>
        </is>
      </c>
      <c r="B26" s="9" t="inlineStr">
        <is>
          <t>Verify current port-5000 backend</t>
        </is>
      </c>
      <c r="C26" s="9" t="inlineStr">
        <is>
          <t>Open http://127.0.0.1:5000/docs; verify /health, /auth/login, /auth/me, /admin/students, and /admin/email/status.</t>
        </is>
      </c>
      <c r="D26" s="19" t="inlineStr">
        <is>
          <t>Current FastAPI routes respond and role protection is enforced</t>
        </is>
      </c>
    </row>
    <row r="27" ht="27" customHeight="1" s="78">
      <c r="A27" s="21" t="inlineStr">
        <is>
          <t>Account JSON</t>
        </is>
      </c>
      <c r="B27" s="9" t="inlineStr">
        <is>
          <t>Verify manual cohort synchronization</t>
        </is>
      </c>
      <c r="C27" s="9" t="inlineStr">
        <is>
          <t>Edit ignored backend\data\study_accounts.json; sign in as instructor; Student Accounts &gt; Import study_accounts.json; inspect the report.</t>
        </is>
      </c>
      <c r="D27" s="19" t="inlineStr">
        <is>
          <t>Valid changes synchronize and temporary passwords are cleared</t>
        </is>
      </c>
    </row>
    <row r="28" ht="27" customHeight="1" s="78">
      <c r="A28" s="21" t="inlineStr">
        <is>
          <t>Email QA</t>
        </is>
      </c>
      <c r="B28" s="9" t="inlineStr">
        <is>
          <t>Verify real SMTP delivery</t>
        </is>
      </c>
      <c r="C28" s="9" t="inlineStr">
        <is>
          <t>Add provider SMTP values to ignored backend\.env; restart backend; Student Accounts &gt; Send test; use a controlled recipient.</t>
        </is>
      </c>
      <c r="D28" s="19" t="inlineStr">
        <is>
          <t>Status shows configured and the real test email arrives</t>
        </is>
      </c>
    </row>
    <row r="29">
      <c r="A29" s="9" t="inlineStr">
        <is>
          <t>Release</t>
        </is>
      </c>
      <c r="B29" s="9" t="inlineStr">
        <is>
          <t>Make decision</t>
        </is>
      </c>
      <c r="C29" s="9" t="inlineStr">
        <is>
          <t>Review Release Dashboard and complete Release Sign-off.</t>
        </is>
      </c>
      <c r="D29" s="9" t="inlineStr">
        <is>
          <t>No unresolved Release Gate failure or block</t>
        </is>
      </c>
    </row>
    <row r="30" ht="33.95" customHeight="1" s="78">
      <c r="A30" s="21" t="inlineStr">
        <is>
          <t>V4 Live</t>
        </is>
      </c>
      <c r="B30" s="9" t="inlineStr">
        <is>
          <t>Verify live health</t>
        </is>
      </c>
      <c r="C30" s="9" t="inlineStr">
        <is>
          <t>Invoke-RestMethod https://robotics-programming-lab-api.onrender.com/health</t>
        </is>
      </c>
      <c r="D30" s="19" t="inlineStr">
        <is>
          <t>HTTP 200; status ok; API 4.0.0</t>
        </is>
      </c>
    </row>
    <row r="31" ht="27" customHeight="1" s="78">
      <c r="A31" s="21" t="inlineStr">
        <is>
          <t>V4 Live</t>
        </is>
      </c>
      <c r="B31" s="9" t="inlineStr">
        <is>
          <t>Verify login-first entry</t>
        </is>
      </c>
      <c r="C31" s="9" t="inlineStr">
        <is>
          <t>Open https://robotics-programming-lab.vercel.app/ in a browser with a prior session</t>
        </is>
      </c>
      <c r="D31" s="19" t="inlineStr">
        <is>
          <t>The public root shows login and does not display credentials</t>
        </is>
      </c>
    </row>
    <row r="32" ht="27" customHeight="1" s="78">
      <c r="A32" s="21" t="inlineStr">
        <is>
          <t>V4 Live</t>
        </is>
      </c>
      <c r="B32" s="9" t="inlineStr">
        <is>
          <t>Verify authenticated refresh</t>
        </is>
      </c>
      <c r="C32" s="9" t="inlineStr">
        <is>
          <t>Sign in, confirm /app, then refresh the page</t>
        </is>
      </c>
      <c r="D32" s="19" t="inlineStr">
        <is>
          <t>Session restores on /app; assignment catalog remains visible</t>
        </is>
      </c>
    </row>
    <row r="33" ht="27" customHeight="1" s="78">
      <c r="A33" s="21" t="inlineStr">
        <is>
          <t>V4 Release</t>
        </is>
      </c>
      <c r="B33" s="9" t="inlineStr">
        <is>
          <t>Verify hosted CI</t>
        </is>
      </c>
      <c r="C33" s="9" t="inlineStr">
        <is>
          <t>Review the latest v4-live GitHub Actions run and Vercel deployment</t>
        </is>
      </c>
      <c r="D33" s="19" t="inlineStr">
        <is>
          <t>Backend/frontend CI and production deployment are successful</t>
        </is>
      </c>
    </row>
    <row r="34" ht="54" customHeight="1" s="78">
      <c r="A34" s="22" t="inlineStr">
        <is>
          <t>V4 Sandbox</t>
        </is>
      </c>
      <c r="B34" s="13" t="inlineStr">
        <is>
          <t>Create/sync secure grader service</t>
        </is>
      </c>
      <c r="C34" s="13" t="inlineStr">
        <is>
          <t>Sync render.yaml; confirm robotics-programming-lab-sandbox uses backend/Dockerfile.sandbox-service and a generated SANDBOX_API_TOKEN.</t>
        </is>
      </c>
      <c r="D34" s="20" t="inlineStr">
        <is>
          <t>Sandbox /health returns status ok; no database or OpenAI variables exist on the service.</t>
        </is>
      </c>
    </row>
    <row r="35" ht="54" customHeight="1" s="78">
      <c r="A35" s="22" t="inlineStr">
        <is>
          <t>V4 Sandbox</t>
        </is>
      </c>
      <c r="B35" s="13" t="inlineStr">
        <is>
          <t>Connect API to secure grader</t>
        </is>
      </c>
      <c r="C35" s="13" t="inlineStr">
        <is>
          <t>Set API SANDBOX_URL to the sandbox public HTTPS URL; confirm SANDBOX_BACKEND=remote and the shared token reference; redeploy API.</t>
        </is>
      </c>
      <c r="D35" s="20" t="inlineStr">
        <is>
          <t>API starts successfully; production refuses subprocess or incomplete remote configuration.</t>
        </is>
      </c>
    </row>
    <row r="36" ht="54" customHeight="1" s="78">
      <c r="A36" s="22" t="inlineStr">
        <is>
          <t>V4 Sandbox QA</t>
        </is>
      </c>
      <c r="B36" s="13" t="inlineStr">
        <is>
          <t>Verify live execution boundary</t>
        </is>
      </c>
      <c r="C36" s="13" t="inlineStr">
        <is>
          <t>Log in as a controlled student; submit one official solution and one import os probe; inspect both service logs without recording code or secrets.</t>
        </is>
      </c>
      <c r="D36" s="20" t="inlineStr">
        <is>
          <t>Correct solution passes once; unsafe import fails safely; UI stops; no secret or stack trace is returned.</t>
        </is>
      </c>
    </row>
    <row r="37" ht="33.95" customHeight="1" s="78">
      <c r="A37" s="21" t="inlineStr">
        <is>
          <t>Staging</t>
        </is>
      </c>
      <c r="B37" s="9" t="inlineStr">
        <is>
          <t>Start complete local application</t>
        </is>
      </c>
      <c r="C37" s="9" t="inlineStr">
        <is>
          <t>.\scripts\run-local.ps1</t>
        </is>
      </c>
      <c r="D37" s="19" t="inlineStr">
        <is>
          <t>Sandbox, backend, and Flutter become healthy; AI is off by default</t>
        </is>
      </c>
    </row>
    <row r="38" ht="33.95" customHeight="1" s="78">
      <c r="A38" s="21" t="inlineStr">
        <is>
          <t>Staging</t>
        </is>
      </c>
      <c r="B38" s="9" t="inlineStr">
        <is>
          <t>Start on alternate ports when v3 is running</t>
        </is>
      </c>
      <c r="C38" s="9" t="inlineStr">
        <is>
          <t>.\scripts\run-local.ps1 -FrontendPort 18080 -BackendPort 15000 -SandboxPort 15001</t>
        </is>
      </c>
      <c r="D38" s="19" t="inlineStr">
        <is>
          <t>The staging instance runs without attaching to the older project</t>
        </is>
      </c>
    </row>
    <row r="39" ht="33.95" customHeight="1" s="78">
      <c r="A39" s="21" t="inlineStr">
        <is>
          <t>Staging</t>
        </is>
      </c>
      <c r="B39" s="9" t="inlineStr">
        <is>
          <t>Stop managed local application</t>
        </is>
      </c>
      <c r="C39" s="9" t="inlineStr">
        <is>
          <t>.\scripts\stop-local.ps1</t>
        </is>
      </c>
      <c r="D39" s="19" t="inlineStr">
        <is>
          <t>Only recorded staging process trees stop and their listeners close</t>
        </is>
      </c>
    </row>
    <row r="40" ht="33.95" customHeight="1" s="78">
      <c r="A40" s="21" t="inlineStr">
        <is>
          <t>Staging QA</t>
        </is>
      </c>
      <c r="B40" s="9" t="inlineStr">
        <is>
          <t>Run complete automated gate</t>
        </is>
      </c>
      <c r="C40" s="9" t="inlineStr">
        <is>
          <t>.\scripts\verify-local.ps1</t>
        </is>
      </c>
      <c r="D40" s="19" t="inlineStr">
        <is>
          <t>Backend, dependencies, compilation, Flutter analysis/tests, and release build pass</t>
        </is>
      </c>
    </row>
    <row r="41" ht="33.95" customHeight="1" s="78">
      <c r="A41" s="21" t="inlineStr">
        <is>
          <t>Release QA</t>
        </is>
      </c>
      <c r="B41" s="9" t="inlineStr">
        <is>
          <t>Verify clean candidate source</t>
        </is>
      </c>
      <c r="C41" s="9" t="inlineStr">
        <is>
          <t>.\scripts\check-release.ps1</t>
        </is>
      </c>
      <c r="D41" s="19" t="inlineStr">
        <is>
          <t>Working tree, generated-file audit, remotes, and candidate SHA pass</t>
        </is>
      </c>
    </row>
    <row r="42" ht="33.95" customHeight="1" s="78">
      <c r="A42" s="21" t="inlineStr">
        <is>
          <t>Git</t>
        </is>
      </c>
      <c r="B42" s="9" t="inlineStr">
        <is>
          <t>Confirm remote separation</t>
        </is>
      </c>
      <c r="C42" s="9" t="inlineStr">
        <is>
          <t>git remote -v</t>
        </is>
      </c>
      <c r="D42" s="19" t="inlineStr">
        <is>
          <t>origin is staging; production is Robotics-Programming-Lab; IUSE is archive-only</t>
        </is>
      </c>
    </row>
    <row r="43" ht="33.95" customHeight="1" s="78">
      <c r="A43" s="21" t="inlineStr">
        <is>
          <t>Production</t>
        </is>
      </c>
      <c r="B43" s="9" t="inlineStr">
        <is>
          <t>Promote an approved immutable release</t>
        </is>
      </c>
      <c r="C43" s="9" t="inlineStr">
        <is>
          <t>.\scripts\promote-release.ps1 -ReleaseTag v4.0.0 -ConfirmProduction</t>
        </is>
      </c>
      <c r="D43" s="19" t="inlineStr">
        <is>
          <t>After explicit approval, the exact staging SHA and tag reach production atomically</t>
        </is>
      </c>
    </row>
    <row r="44">
      <c r="A44" s="98" t="inlineStr">
        <is>
          <t>Severity and Status Definitions</t>
        </is>
      </c>
      <c r="B44" s="23" t="n"/>
      <c r="C44" s="23" t="n"/>
      <c r="D44" s="23" t="n"/>
    </row>
    <row r="45">
      <c r="A45" s="7" t="inlineStr">
        <is>
          <t>Value</t>
        </is>
      </c>
      <c r="B45" s="7" t="inlineStr">
        <is>
          <t>Meaning</t>
        </is>
      </c>
      <c r="C45" s="7" t="inlineStr">
        <is>
          <t>Release Effect</t>
        </is>
      </c>
      <c r="D45" s="7" t="inlineStr">
        <is>
          <t>Required Action</t>
        </is>
      </c>
    </row>
    <row r="46" ht="40.5" customHeight="1" s="78">
      <c r="A46" s="9" t="inlineStr">
        <is>
          <t>Critical</t>
        </is>
      </c>
      <c r="B46" s="9" t="inlineStr">
        <is>
          <t>Security compromise, data loss, unsafe execution, or platform unavailable</t>
        </is>
      </c>
      <c r="C46" s="9" t="inlineStr">
        <is>
          <t>Immediate stop</t>
        </is>
      </c>
      <c r="D46" s="9" t="inlineStr">
        <is>
          <t>Fix before any release</t>
        </is>
      </c>
    </row>
    <row r="47" ht="40.5" customHeight="1" s="78">
      <c r="A47" s="9" t="inlineStr">
        <is>
          <t>High</t>
        </is>
      </c>
      <c r="B47" s="9" t="inlineStr">
        <is>
          <t>Critical workflow incorrect or inaccessible with no acceptable workaround</t>
        </is>
      </c>
      <c r="C47" s="9" t="inlineStr">
        <is>
          <t>Blocks release</t>
        </is>
      </c>
      <c r="D47" s="9" t="inlineStr">
        <is>
          <t>Fix and retest</t>
        </is>
      </c>
    </row>
    <row r="48" ht="27" customHeight="1" s="78">
      <c r="A48" s="9" t="inlineStr">
        <is>
          <t>Medium</t>
        </is>
      </c>
      <c r="B48" s="9" t="inlineStr">
        <is>
          <t>Important behavior incorrect with limited workaround</t>
        </is>
      </c>
      <c r="C48" s="9" t="inlineStr">
        <is>
          <t>Risk decision required</t>
        </is>
      </c>
      <c r="D48" s="9" t="inlineStr">
        <is>
          <t>Plan fix and document</t>
        </is>
      </c>
    </row>
    <row r="49" ht="27" customHeight="1" s="78">
      <c r="A49" s="9" t="inlineStr">
        <is>
          <t>Low</t>
        </is>
      </c>
      <c r="B49" s="9" t="inlineStr">
        <is>
          <t>Minor presentation, usability, or documentation issue</t>
        </is>
      </c>
      <c r="C49" s="9" t="inlineStr">
        <is>
          <t>Usually does not block</t>
        </is>
      </c>
      <c r="D49" s="9" t="inlineStr">
        <is>
          <t>Track and prioritize</t>
        </is>
      </c>
    </row>
    <row r="50">
      <c r="A50" s="9" t="inlineStr">
        <is>
          <t>Not Run</t>
        </is>
      </c>
      <c r="B50" s="9" t="inlineStr">
        <is>
          <t>Test has not been executed</t>
        </is>
      </c>
      <c r="C50" s="9" t="inlineStr">
        <is>
          <t>Release incomplete for current scope</t>
        </is>
      </c>
      <c r="D50" s="9" t="inlineStr">
        <is>
          <t>Execute or justify N/A</t>
        </is>
      </c>
    </row>
    <row r="51" ht="27" customHeight="1" s="78">
      <c r="A51" s="9" t="inlineStr">
        <is>
          <t>Pass</t>
        </is>
      </c>
      <c r="B51" s="9" t="inlineStr">
        <is>
          <t>Actual result matches expected result</t>
        </is>
      </c>
      <c r="C51" s="9" t="inlineStr">
        <is>
          <t>Contributes to readiness</t>
        </is>
      </c>
      <c r="D51" s="9" t="inlineStr">
        <is>
          <t>Attach evidence</t>
        </is>
      </c>
    </row>
    <row r="52" ht="27" customHeight="1" s="78">
      <c r="A52" s="9" t="inlineStr">
        <is>
          <t>Fail</t>
        </is>
      </c>
      <c r="B52" s="9" t="inlineStr">
        <is>
          <t>Actual result does not match expected result</t>
        </is>
      </c>
      <c r="C52" s="9" t="inlineStr">
        <is>
          <t>Release Gate failures block</t>
        </is>
      </c>
      <c r="D52" s="9" t="inlineStr">
        <is>
          <t>Create defect and fix</t>
        </is>
      </c>
    </row>
    <row r="53" ht="27" customHeight="1" s="78">
      <c r="A53" s="9" t="inlineStr">
        <is>
          <t>Blocked</t>
        </is>
      </c>
      <c r="B53" s="9" t="inlineStr">
        <is>
          <t>External/environment condition prevents execution</t>
        </is>
      </c>
      <c r="C53" s="9" t="inlineStr">
        <is>
          <t>Release Gate blocks unless explicitly waived</t>
        </is>
      </c>
      <c r="D53" s="9" t="inlineStr">
        <is>
          <t>Document blocker and owner</t>
        </is>
      </c>
    </row>
    <row r="54" ht="27" customHeight="1" s="78">
      <c r="A54" s="9" t="inlineStr">
        <is>
          <t>N/A</t>
        </is>
      </c>
      <c r="B54" s="9" t="inlineStr">
        <is>
          <t>Test does not apply to this release/environment</t>
        </is>
      </c>
      <c r="C54" s="9" t="inlineStr">
        <is>
          <t>Excluded with justification</t>
        </is>
      </c>
      <c r="D54" s="9" t="inlineStr">
        <is>
          <t>Explain in Notes</t>
        </is>
      </c>
    </row>
    <row r="55" ht="27" customHeight="1" s="78">
      <c r="A55" s="9" t="inlineStr">
        <is>
          <t>Deferred</t>
        </is>
      </c>
      <c r="B55" s="9" t="inlineStr">
        <is>
          <t>Planned future capability not in current release</t>
        </is>
      </c>
      <c r="C55" s="9" t="inlineStr">
        <is>
          <t>Excluded from current completion</t>
        </is>
      </c>
      <c r="D55" s="9" t="inlineStr">
        <is>
          <t>Review during planning</t>
        </is>
      </c>
    </row>
    <row r="57" ht="62.1" customHeight="1" s="78">
      <c r="A57" s="39" t="inlineStr">
        <is>
          <t>Single QA workbook policy</t>
        </is>
      </c>
      <c r="B57" s="39" t="n"/>
      <c r="C57" s="39" t="n"/>
      <c r="D57" s="39" t="n"/>
    </row>
    <row r="58" ht="62.1" customHeight="1" s="78">
      <c r="A58" s="39" t="inlineStr">
        <is>
          <t>Master Checklist</t>
        </is>
      </c>
      <c r="B58" s="39" t="inlineStr">
        <is>
          <t>Current checklist</t>
        </is>
      </c>
      <c r="C58" s="39" t="inlineStr">
        <is>
          <t>Update affected cases and attach evidence</t>
        </is>
      </c>
      <c r="D58" s="39" t="inlineStr">
        <is>
          <t>Do not replace historical results</t>
        </is>
      </c>
    </row>
    <row r="59" ht="62.1" customHeight="1" s="78">
      <c r="A59" s="39" t="inlineStr">
        <is>
          <t>QA Run History</t>
        </is>
      </c>
      <c r="B59" s="39" t="inlineStr">
        <is>
          <t>Imported historical check rows</t>
        </is>
      </c>
      <c r="C59" s="39" t="inlineStr">
        <is>
          <t>Append new dated checks with commit, environment, expected / actual and reason</t>
        </is>
      </c>
      <c r="D59" s="39" t="inlineStr">
        <is>
          <t>Use PASS, FAIL, PARTIAL, BLOCKED or NOT RUN</t>
        </is>
      </c>
    </row>
    <row r="60" ht="62.1" customHeight="1" s="78">
      <c r="A60" s="39" t="inlineStr">
        <is>
          <t>QA Report Index</t>
        </is>
      </c>
      <c r="B60" s="39" t="inlineStr">
        <is>
          <t>Original report identifiers and hashes</t>
        </is>
      </c>
      <c r="C60" s="39" t="inlineStr">
        <is>
          <t>Find the report ID and archive start row</t>
        </is>
      </c>
      <c r="D60" s="39" t="inlineStr">
        <is>
          <t>Original paths are provenance, not file links</t>
        </is>
      </c>
    </row>
    <row r="61" ht="62.1" customHeight="1" s="78">
      <c r="A61" s="39" t="inlineStr">
        <is>
          <t>QA Report Archive</t>
        </is>
      </c>
      <c r="B61" s="39" t="inlineStr">
        <is>
          <t>Complete historical report text</t>
        </is>
      </c>
      <c r="C61" s="39" t="inlineStr">
        <is>
          <t>Filter by Report ID; lines retain original order</t>
        </is>
      </c>
      <c r="D61" s="39" t="inlineStr">
        <is>
          <t>Historical results are not a new QA run</t>
        </is>
      </c>
    </row>
    <row r="62" ht="62.1" customHeight="1" s="78">
      <c r="A62" s="39" t="inlineStr">
        <is>
          <t>Consolidation 2026-09-30</t>
        </is>
      </c>
      <c r="B62" s="39" t="inlineStr">
        <is>
          <t>29 reports; 736 recorded check rows; 2220 source lines</t>
        </is>
      </c>
      <c r="C62" s="39" t="inlineStr">
        <is>
          <t>No application tests rerun for documentation consolidation</t>
        </is>
      </c>
      <c r="D62" s="39" t="inlineStr">
        <is>
          <t>No commit or push performed</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265272"/>
    <outlinePr summaryBelow="1" summaryRight="1"/>
    <pageSetUpPr/>
  </sheetPr>
  <dimension ref="A1:J10"/>
  <sheetViews>
    <sheetView workbookViewId="0">
      <selection activeCell="A1" sqref="A1"/>
    </sheetView>
  </sheetViews>
  <sheetFormatPr baseColWidth="8" defaultRowHeight="15"/>
  <sheetData>
    <row r="1">
      <c r="A1" t="inlineStr">
        <is>
          <t>Status</t>
        </is>
      </c>
      <c r="B1" t="inlineStr">
        <is>
          <t>Priority</t>
        </is>
      </c>
      <c r="C1" t="inlineStr">
        <is>
          <t>Automation</t>
        </is>
      </c>
      <c r="D1" t="inlineStr">
        <is>
          <t>Check</t>
        </is>
      </c>
      <c r="E1" t="inlineStr">
        <is>
          <t>Retest</t>
        </is>
      </c>
      <c r="F1" t="inlineStr">
        <is>
          <t>Defect Status</t>
        </is>
      </c>
      <c r="G1" t="inlineStr">
        <is>
          <t>Severity</t>
        </is>
      </c>
      <c r="H1" t="inlineStr">
        <is>
          <t>Decision</t>
        </is>
      </c>
      <c r="I1" t="inlineStr">
        <is>
          <t>Scope</t>
        </is>
      </c>
      <c r="J1" t="inlineStr">
        <is>
          <t>Test Type</t>
        </is>
      </c>
    </row>
    <row r="2">
      <c r="A2" t="inlineStr">
        <is>
          <t>Not Run</t>
        </is>
      </c>
      <c r="B2" t="inlineStr">
        <is>
          <t>Release Gate</t>
        </is>
      </c>
      <c r="C2" t="inlineStr">
        <is>
          <t>Yes</t>
        </is>
      </c>
      <c r="D2" t="inlineStr">
        <is>
          <t>[ ]</t>
        </is>
      </c>
      <c r="E2" t="inlineStr">
        <is>
          <t>Not Required</t>
        </is>
      </c>
      <c r="F2" t="inlineStr">
        <is>
          <t>Open</t>
        </is>
      </c>
      <c r="G2" t="inlineStr">
        <is>
          <t>Critical</t>
        </is>
      </c>
      <c r="H2" t="inlineStr">
        <is>
          <t>Pending</t>
        </is>
      </c>
      <c r="I2" t="inlineStr">
        <is>
          <t>Current</t>
        </is>
      </c>
      <c r="J2" t="inlineStr">
        <is>
          <t>Automated</t>
        </is>
      </c>
    </row>
    <row r="3">
      <c r="A3" t="inlineStr">
        <is>
          <t>Pass</t>
        </is>
      </c>
      <c r="B3" t="inlineStr">
        <is>
          <t>P0</t>
        </is>
      </c>
      <c r="C3" t="inlineStr">
        <is>
          <t>Partial</t>
        </is>
      </c>
      <c r="D3" t="inlineStr">
        <is>
          <t>[x]</t>
        </is>
      </c>
      <c r="E3" t="inlineStr">
        <is>
          <t>Pass</t>
        </is>
      </c>
      <c r="F3" t="inlineStr">
        <is>
          <t>In Progress</t>
        </is>
      </c>
      <c r="G3" t="inlineStr">
        <is>
          <t>High</t>
        </is>
      </c>
      <c r="H3" t="inlineStr">
        <is>
          <t>Approved</t>
        </is>
      </c>
      <c r="I3" t="inlineStr">
        <is>
          <t>Future</t>
        </is>
      </c>
      <c r="J3" t="inlineStr">
        <is>
          <t>API</t>
        </is>
      </c>
    </row>
    <row r="4">
      <c r="A4" t="inlineStr">
        <is>
          <t>Fail</t>
        </is>
      </c>
      <c r="B4" t="inlineStr">
        <is>
          <t>P1</t>
        </is>
      </c>
      <c r="C4" t="inlineStr">
        <is>
          <t>No</t>
        </is>
      </c>
      <c r="E4" t="inlineStr">
        <is>
          <t>Fail</t>
        </is>
      </c>
      <c r="F4" t="inlineStr">
        <is>
          <t>Fixed</t>
        </is>
      </c>
      <c r="G4" t="inlineStr">
        <is>
          <t>Medium</t>
        </is>
      </c>
      <c r="H4" t="inlineStr">
        <is>
          <t>Rejected</t>
        </is>
      </c>
      <c r="J4" t="inlineStr">
        <is>
          <t>Integration</t>
        </is>
      </c>
    </row>
    <row r="5">
      <c r="A5" t="inlineStr">
        <is>
          <t>Blocked</t>
        </is>
      </c>
      <c r="B5" t="inlineStr">
        <is>
          <t>P2</t>
        </is>
      </c>
      <c r="E5" t="inlineStr">
        <is>
          <t>Blocked</t>
        </is>
      </c>
      <c r="F5" t="inlineStr">
        <is>
          <t>Closed</t>
        </is>
      </c>
      <c r="G5" t="inlineStr">
        <is>
          <t>Low</t>
        </is>
      </c>
      <c r="H5" t="inlineStr">
        <is>
          <t>Conditional</t>
        </is>
      </c>
      <c r="J5" t="inlineStr">
        <is>
          <t>Manual</t>
        </is>
      </c>
    </row>
    <row r="6">
      <c r="A6" t="inlineStr">
        <is>
          <t>N/A</t>
        </is>
      </c>
      <c r="E6" t="inlineStr">
        <is>
          <t>Not Run</t>
        </is>
      </c>
      <c r="F6" t="inlineStr">
        <is>
          <t>Deferred</t>
        </is>
      </c>
      <c r="J6" t="inlineStr">
        <is>
          <t>Security</t>
        </is>
      </c>
    </row>
    <row r="7">
      <c r="A7" t="inlineStr">
        <is>
          <t>Deferred</t>
        </is>
      </c>
      <c r="J7" t="inlineStr">
        <is>
          <t>Accessibility</t>
        </is>
      </c>
    </row>
    <row r="8">
      <c r="J8" t="inlineStr">
        <is>
          <t>Performance</t>
        </is>
      </c>
    </row>
    <row r="9">
      <c r="J9" t="inlineStr">
        <is>
          <t>Content Review</t>
        </is>
      </c>
    </row>
    <row r="10">
      <c r="J10" t="inlineStr">
        <is>
          <t>Process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12" customWidth="1" style="78" min="1" max="1"/>
    <col width="17" customWidth="1" style="78" min="2" max="2"/>
    <col width="28" customWidth="1" style="78" min="3" max="3"/>
    <col width="34" customWidth="1" style="78" min="4" max="4"/>
    <col width="12" customWidth="1" style="78" min="5" max="5"/>
    <col width="52" customWidth="1" style="78" min="6" max="6"/>
    <col width="42" customWidth="1" style="78" min="7" max="7"/>
  </cols>
  <sheetData>
    <row r="1" ht="19.15" customHeight="1" s="78">
      <c r="A1" s="101" t="inlineStr">
        <is>
          <t>V5.2 Neon and Account Management - SQA Evidence</t>
        </is>
      </c>
    </row>
    <row r="2" ht="15" customHeight="1" s="78">
      <c r="A2" s="100" t="inlineStr">
        <is>
          <t>Windows local staging verification | 2026-08-28 | Implementation: staging main v5.3; final QA follow-up local</t>
        </is>
      </c>
    </row>
    <row r="4" ht="15" customHeight="1" s="78">
      <c r="A4" s="41" t="inlineStr">
        <is>
          <t>Check ID</t>
        </is>
      </c>
      <c r="B4" s="41" t="inlineStr">
        <is>
          <t>Area</t>
        </is>
      </c>
      <c r="C4" s="41" t="inlineStr">
        <is>
          <t>Verification</t>
        </is>
      </c>
      <c r="D4" s="41" t="inlineStr">
        <is>
          <t>Expected</t>
        </is>
      </c>
      <c r="E4" s="41" t="inlineStr">
        <is>
          <t>Result</t>
        </is>
      </c>
      <c r="F4" s="41" t="inlineStr">
        <is>
          <t>Evidence</t>
        </is>
      </c>
      <c r="G4" s="41" t="inlineStr">
        <is>
          <t>Limitation</t>
        </is>
      </c>
    </row>
    <row r="5" ht="26.45" customHeight="1" s="78">
      <c r="A5" s="42" t="inlineStr">
        <is>
          <t>V52-001</t>
        </is>
      </c>
      <c r="B5" s="42" t="inlineStr">
        <is>
          <t>Neon</t>
        </is>
      </c>
      <c r="C5" s="42" t="inlineStr">
        <is>
          <t>Dedicated staging database</t>
        </is>
      </c>
      <c r="D5" s="42" t="inlineStr">
        <is>
          <t>Use robotics_lab_staging without altering old neondb</t>
        </is>
      </c>
      <c r="E5" s="44" t="inlineStr">
        <is>
          <t>PASS</t>
        </is>
      </c>
      <c r="F5" s="42" t="inlineStr">
        <is>
          <t>Launcher selected dedicated Neon database; old database was preserved.</t>
        </is>
      </c>
      <c r="G5" s="42" t="inlineStr">
        <is>
          <t>Internet and Neon availability are required.</t>
        </is>
      </c>
    </row>
    <row r="6" ht="15" customHeight="1" s="78">
      <c r="A6" s="43" t="inlineStr">
        <is>
          <t>V52-002</t>
        </is>
      </c>
      <c r="B6" s="43" t="inlineStr">
        <is>
          <t>Migration</t>
        </is>
      </c>
      <c r="C6" s="43" t="inlineStr">
        <is>
          <t>Local-to-Neon transfer</t>
        </is>
      </c>
      <c r="D6" s="43" t="inlineStr">
        <is>
          <t>All application records migrate</t>
        </is>
      </c>
      <c r="E6" s="45" t="inlineStr">
        <is>
          <t>PASS</t>
        </is>
      </c>
      <c r="F6" s="43" t="inlineStr">
        <is>
          <t>376 rows migrated across 10 application tables.</t>
        </is>
      </c>
      <c r="G6" s="43" t="inlineStr">
        <is>
          <t>Migration report remains private.</t>
        </is>
      </c>
    </row>
    <row r="7" ht="26.45" customHeight="1" s="78">
      <c r="A7" s="42" t="inlineStr">
        <is>
          <t>V52-003</t>
        </is>
      </c>
      <c r="B7" s="42" t="inlineStr">
        <is>
          <t>Persistence</t>
        </is>
      </c>
      <c r="C7" s="42" t="inlineStr">
        <is>
          <t>Neon restart</t>
        </is>
      </c>
      <c r="D7" s="42" t="inlineStr">
        <is>
          <t>Counts and study history survive restart</t>
        </is>
      </c>
      <c r="E7" s="44" t="inlineStr">
        <is>
          <t>PASS</t>
        </is>
      </c>
      <c r="F7" s="42" t="inlineStr">
        <is>
          <t>3 users, 6 assignments, 65 submissions, 2 activities, 44 events, and 22 sessions before and after restart.</t>
        </is>
      </c>
      <c r="G7" s="42" t="inlineStr">
        <is>
          <t>No public deployment was performed.</t>
        </is>
      </c>
    </row>
    <row r="8" ht="15" customHeight="1" s="78">
      <c r="A8" s="43" t="inlineStr">
        <is>
          <t>V52-004</t>
        </is>
      </c>
      <c r="B8" s="43" t="inlineStr">
        <is>
          <t>Accounts</t>
        </is>
      </c>
      <c r="C8" s="43" t="inlineStr">
        <is>
          <t>Default student credential</t>
        </is>
      </c>
      <c r="D8" s="43" t="inlineStr">
        <is>
          <t>Required prototype credential verifies</t>
        </is>
      </c>
      <c r="E8" s="45" t="inlineStr">
        <is>
          <t>PASS</t>
        </is>
      </c>
      <c r="F8" s="43" t="inlineStr">
        <is>
          <t>Password hash verified without writing plaintext to the workbook.</t>
        </is>
      </c>
      <c r="G8" s="43" t="inlineStr">
        <is>
          <t>Change before a real classroom study.</t>
        </is>
      </c>
    </row>
    <row r="9" ht="26.45" customHeight="1" s="78">
      <c r="A9" s="42" t="inlineStr">
        <is>
          <t>V52-005</t>
        </is>
      </c>
      <c r="B9" s="42" t="inlineStr">
        <is>
          <t>Accounts</t>
        </is>
      </c>
      <c r="C9" s="42" t="inlineStr">
        <is>
          <t>Dave retained</t>
        </is>
      </c>
      <c r="D9" s="42" t="inlineStr">
        <is>
          <t>Account active with no inherited work</t>
        </is>
      </c>
      <c r="E9" s="44" t="inlineStr">
        <is>
          <t>PASS</t>
        </is>
      </c>
      <c r="F9" s="42" t="inlineStr">
        <is>
          <t>0 attempts and 0 completed assignments in Neon.</t>
        </is>
      </c>
      <c r="G9" s="42" t="inlineStr">
        <is>
          <t>A stale browser page must refresh after frontend update.</t>
        </is>
      </c>
    </row>
    <row r="10" ht="26.45" customHeight="1" s="78">
      <c r="A10" s="43" t="inlineStr">
        <is>
          <t>V52-006</t>
        </is>
      </c>
      <c r="B10" s="43" t="inlineStr">
        <is>
          <t>Progress</t>
        </is>
      </c>
      <c r="C10" s="43" t="inlineStr">
        <is>
          <t>Cross-account isolation</t>
        </is>
      </c>
      <c r="D10" s="43" t="inlineStr">
        <is>
          <t>One student cannot inherit another student's local progress</t>
        </is>
      </c>
      <c r="E10" s="45" t="inlineStr">
        <is>
          <t>PASS</t>
        </is>
      </c>
      <c r="F10" s="43" t="inlineStr">
        <is>
          <t>Dedicated user-ID storage regression test passed.</t>
        </is>
      </c>
      <c r="G10" s="43" t="inlineStr">
        <is>
          <t>Legacy data migrates only to the default prototype student.</t>
        </is>
      </c>
    </row>
    <row r="11" ht="26.45" customHeight="1" s="78">
      <c r="A11" s="42" t="inlineStr">
        <is>
          <t>V52-007</t>
        </is>
      </c>
      <c r="B11" s="42" t="inlineStr">
        <is>
          <t>Instructor Studio</t>
        </is>
      </c>
      <c r="C11" s="42" t="inlineStr">
        <is>
          <t>Manage both roles</t>
        </is>
      </c>
      <c r="D11" s="42" t="inlineStr">
        <is>
          <t>Create/list/edit/reset/activate/deactivate students and instructors</t>
        </is>
      </c>
      <c r="E11" s="44" t="inlineStr">
        <is>
          <t>PASS</t>
        </is>
      </c>
      <c r="F11" s="42" t="inlineStr">
        <is>
          <t>Backend role flows and Flutter UI regression tests passed.</t>
        </is>
      </c>
      <c r="G11" s="42" t="inlineStr">
        <is>
          <t>Deletion is intentionally replaced with deactivation.</t>
        </is>
      </c>
    </row>
    <row r="12" ht="26.45" customHeight="1" s="78">
      <c r="A12" s="43" t="inlineStr">
        <is>
          <t>V52-008</t>
        </is>
      </c>
      <c r="B12" s="43" t="inlineStr">
        <is>
          <t>Safety</t>
        </is>
      </c>
      <c r="C12" s="43" t="inlineStr">
        <is>
          <t>Instructor lockout prevention</t>
        </is>
      </c>
      <c r="D12" s="43" t="inlineStr">
        <is>
          <t>Cannot self-disable or disable the last active instructor</t>
        </is>
      </c>
      <c r="E12" s="45" t="inlineStr">
        <is>
          <t>PASS</t>
        </is>
      </c>
      <c r="F12" s="43" t="inlineStr">
        <is>
          <t>Focused API test passed.</t>
        </is>
      </c>
      <c r="G12" s="43" t="inlineStr">
        <is>
          <t>A second instructor is required before deactivating the first.</t>
        </is>
      </c>
    </row>
    <row r="13" ht="26.45" customHeight="1" s="78">
      <c r="A13" s="42" t="inlineStr">
        <is>
          <t>V52-009</t>
        </is>
      </c>
      <c r="B13" s="42" t="inlineStr">
        <is>
          <t>JSON</t>
        </is>
      </c>
      <c r="C13" s="42" t="inlineStr">
        <is>
          <t>Tracked password-free account roster</t>
        </is>
      </c>
      <c r="D13" s="42" t="inlineStr">
        <is>
          <t>Every clone receives account metadata while passwords and hashes remain outside Git</t>
        </is>
      </c>
      <c r="E13" s="44" t="inlineStr">
        <is>
          <t>PASS</t>
        </is>
      </c>
      <c r="F13" s="42" t="inlineStr">
        <is>
          <t>backend/data/study_accounts.json contains metadata only; backend rejects temporary passwords in the canonical roster.</t>
        </is>
      </c>
      <c r="G13" s="42" t="inlineStr">
        <is>
          <t>Create and reset passwords through Instructor Studio; hashes remain in Neon.</t>
        </is>
      </c>
    </row>
    <row r="14" ht="26.45" customHeight="1" s="78">
      <c r="A14" s="43" t="inlineStr">
        <is>
          <t>V52-010</t>
        </is>
      </c>
      <c r="B14" s="43" t="inlineStr">
        <is>
          <t>Neon</t>
        </is>
      </c>
      <c r="C14" s="43" t="inlineStr">
        <is>
          <t>Neon-only database runtime</t>
        </is>
      </c>
      <c r="D14" s="43" t="inlineStr">
        <is>
          <t>Startup requires the authorized Neon staging database; no local PostgreSQL, dump restore, backup worker, or device lock remains</t>
        </is>
      </c>
      <c r="E14" s="45" t="inlineStr">
        <is>
          <t>PASS</t>
        </is>
      </c>
      <c r="F14" s="43" t="inlineStr">
        <is>
          <t>Windows start/stop, private-config validation, Alembic migration, runtime-state, and service health checks passed. Internet and Neon availability are required.</t>
        </is>
      </c>
      <c r="G14" s="43" t="inlineStr">
        <is>
          <t>Requires internet access and Neon availability; no offline database mode remains.</t>
        </is>
      </c>
    </row>
    <row r="15" ht="15" customHeight="1" s="78">
      <c r="A15" s="42" t="inlineStr">
        <is>
          <t>V52-011</t>
        </is>
      </c>
      <c r="B15" s="42" t="inlineStr">
        <is>
          <t>Backend</t>
        </is>
      </c>
      <c r="C15" s="42" t="inlineStr">
        <is>
          <t>Full Python gate</t>
        </is>
      </c>
      <c r="D15" s="42" t="inlineStr">
        <is>
          <t>Tests, dependencies, compilation pass</t>
        </is>
      </c>
      <c r="E15" s="44" t="inlineStr">
        <is>
          <t>PASS</t>
        </is>
      </c>
      <c r="F15" s="42" t="inlineStr">
        <is>
          <t>179 tests after retiring obsolete database-transfer coverage and adding tracked-roster password protection; pip check clean; compileall clean.</t>
        </is>
      </c>
      <c r="G15" s="42" t="inlineStr">
        <is>
          <t>None observed.</t>
        </is>
      </c>
    </row>
    <row r="16" ht="15" customHeight="1" s="78">
      <c r="A16" s="43" t="inlineStr">
        <is>
          <t>V52-012</t>
        </is>
      </c>
      <c r="B16" s="43" t="inlineStr">
        <is>
          <t>Frontend</t>
        </is>
      </c>
      <c r="C16" s="43" t="inlineStr">
        <is>
          <t>Full Flutter gate</t>
        </is>
      </c>
      <c r="D16" s="43" t="inlineStr">
        <is>
          <t>Analysis, tests, release build pass</t>
        </is>
      </c>
      <c r="E16" s="45" t="inlineStr">
        <is>
          <t>PASS</t>
        </is>
      </c>
      <c r="F16" s="43" t="inlineStr">
        <is>
          <t>Analyzer clean; 51 tests; release web build succeeded.</t>
        </is>
      </c>
      <c r="G16" s="43" t="inlineStr">
        <is>
          <t>Dependency updates were available but not required.</t>
        </is>
      </c>
    </row>
    <row r="17" ht="26.45" customHeight="1" s="78">
      <c r="A17" s="42" t="inlineStr">
        <is>
          <t>V52-013</t>
        </is>
      </c>
      <c r="B17" s="42" t="inlineStr">
        <is>
          <t>Runtime</t>
        </is>
      </c>
      <c r="C17" s="42" t="inlineStr">
        <is>
          <t>Local stack health</t>
        </is>
      </c>
      <c r="D17" s="42" t="inlineStr">
        <is>
          <t>Frontend, API, and sandbox respond</t>
        </is>
      </c>
      <c r="E17" s="44" t="inlineStr">
        <is>
          <t>PASS</t>
        </is>
      </c>
      <c r="F17" s="42" t="inlineStr">
        <is>
          <t>Frontend HTTP 200; backend and sandbox health status ok.</t>
        </is>
      </c>
      <c r="G17" s="42" t="inlineStr">
        <is>
          <t>Authenticated mutations were validated by API/widget tests to avoid altering shared data.</t>
        </is>
      </c>
    </row>
    <row r="18" ht="26.45" customHeight="1" s="78">
      <c r="A18" s="43" t="inlineStr">
        <is>
          <t>V52-014</t>
        </is>
      </c>
      <c r="B18" s="43" t="inlineStr">
        <is>
          <t>Ubuntu</t>
        </is>
      </c>
      <c r="C18" s="43" t="inlineStr">
        <is>
          <t>Bash/ShellCheck on current host</t>
        </is>
      </c>
      <c r="D18" s="43" t="inlineStr">
        <is>
          <t>Scripts parse and lint</t>
        </is>
      </c>
      <c r="E18" s="46" t="inlineStr">
        <is>
          <t>NOT RUN</t>
        </is>
      </c>
      <c r="F18" s="43" t="inlineStr">
        <is>
          <t>Current Windows host has no Bash/WSL or ShellCheck runtime.</t>
        </is>
      </c>
      <c r="G18" s="43" t="inlineStr">
        <is>
          <t>Physical Ubuntu lab-computer smoke test remains required.</t>
        </is>
      </c>
    </row>
  </sheetData>
  <mergeCells count="2">
    <mergeCell ref="A2:G2"/>
    <mergeCell ref="A1:G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22" customWidth="1" style="78" min="1" max="1"/>
    <col width="42" customWidth="1" style="78" min="2" max="2"/>
    <col width="12" customWidth="1" style="78" min="3" max="3"/>
    <col width="38" customWidth="1" style="78" min="4" max="5"/>
  </cols>
  <sheetData>
    <row r="1" ht="30" customHeight="1" s="78">
      <c r="A1" s="102" t="inlineStr">
        <is>
          <t>Neon-Only Database Architecture — SQA</t>
        </is>
      </c>
    </row>
    <row r="3">
      <c r="A3" s="47" t="inlineStr">
        <is>
          <t>Area</t>
        </is>
      </c>
      <c r="B3" s="47" t="inlineStr">
        <is>
          <t>Verification</t>
        </is>
      </c>
      <c r="C3" s="47" t="inlineStr">
        <is>
          <t>Result</t>
        </is>
      </c>
      <c r="D3" s="47" t="inlineStr">
        <is>
          <t>Evidence</t>
        </is>
      </c>
      <c r="E3" s="47" t="inlineStr">
        <is>
          <t>Remaining limitation</t>
        </is>
      </c>
    </row>
    <row r="4" ht="92.45" customHeight="1" s="78">
      <c r="A4" s="48" t="inlineStr">
        <is>
          <t>Runtime selection</t>
        </is>
      </c>
      <c r="B4" s="49" t="inlineStr">
        <is>
          <t>Launcher accepts only the configured Neon staging URL</t>
        </is>
      </c>
      <c r="C4" s="57" t="inlineStr">
        <is>
          <t>PASS</t>
        </is>
      </c>
      <c r="D4" s="49" t="inlineStr">
        <is>
          <t>Windows startup and runtime-state verification</t>
        </is>
      </c>
      <c r="E4" s="50" t="inlineStr">
        <is>
          <t>Internet and Neon service required</t>
        </is>
      </c>
    </row>
    <row r="5" ht="184.9" customHeight="1" s="78">
      <c r="A5" s="51" t="inlineStr">
        <is>
          <t>Local fallback removal</t>
        </is>
      </c>
      <c r="B5" s="52" t="inlineStr">
        <is>
          <t>PostgreSQL Compose service, dump transfer, backup worker, device lock, and SQLite runtime switches removed</t>
        </is>
      </c>
      <c r="C5" s="58" t="inlineStr">
        <is>
          <t>PASS</t>
        </is>
      </c>
      <c r="D5" s="52" t="inlineStr">
        <is>
          <t>Repository and launcher inspection</t>
        </is>
      </c>
      <c r="E5" s="53" t="inlineStr">
        <is>
          <t>Historical SQA reports remain labeled as superseded evidence</t>
        </is>
      </c>
    </row>
    <row r="6" ht="105.6" customHeight="1" s="78">
      <c r="A6" s="51" t="inlineStr">
        <is>
          <t>Private configuration</t>
        </is>
      </c>
      <c r="B6" s="52" t="inlineStr">
        <is>
          <t>One ignored repository-root .env; account roster is tracked separately without passwords</t>
        </is>
      </c>
      <c r="C6" s="58" t="inlineStr">
        <is>
          <t>PASS</t>
        </is>
      </c>
      <c r="D6" s="52" t="inlineStr">
        <is>
          <t>verify-private-config.ps1 and backend password-rejection test</t>
        </is>
      </c>
      <c r="E6" s="53" t="inlineStr">
        <is>
          <t>The .env must be provisioned securely on each authorized computer</t>
        </is>
      </c>
    </row>
    <row r="7" ht="79.15000000000001" customHeight="1" s="78">
      <c r="A7" s="51" t="inlineStr">
        <is>
          <t>Backend regression</t>
        </is>
      </c>
      <c r="B7" s="52" t="inlineStr">
        <is>
          <t>179 backend tests and pip dependency check</t>
        </is>
      </c>
      <c r="C7" s="58" t="inlineStr">
        <is>
          <t>PASS</t>
        </is>
      </c>
      <c r="D7" s="52" t="inlineStr">
        <is>
          <t>Local automated gate on 2026-08-28</t>
        </is>
      </c>
      <c r="E7" s="53" t="inlineStr">
        <is>
          <t>None observed</t>
        </is>
      </c>
    </row>
    <row r="8" ht="79.15000000000001" customHeight="1" s="78">
      <c r="A8" s="51" t="inlineStr">
        <is>
          <t>Flutter regression</t>
        </is>
      </c>
      <c r="B8" s="52" t="inlineStr">
        <is>
          <t>Static analysis, 51 tests, and release web build</t>
        </is>
      </c>
      <c r="C8" s="58" t="inlineStr">
        <is>
          <t>PASS</t>
        </is>
      </c>
      <c r="D8" s="52" t="inlineStr">
        <is>
          <t>Local automated gate on 2026-08-28</t>
        </is>
      </c>
      <c r="E8" s="53" t="inlineStr">
        <is>
          <t>None observed</t>
        </is>
      </c>
    </row>
    <row r="9" ht="92.45" customHeight="1" s="78">
      <c r="A9" s="54" t="inlineStr">
        <is>
          <t>Service health</t>
        </is>
      </c>
      <c r="B9" s="55" t="inlineStr">
        <is>
          <t>Frontend, backend, sandbox, Alembic migration, and Neon selection</t>
        </is>
      </c>
      <c r="C9" s="59" t="inlineStr">
        <is>
          <t>PASS</t>
        </is>
      </c>
      <c r="D9" s="55" t="inlineStr">
        <is>
          <t>Local Windows runtime on ports 8180/5100/5101</t>
        </is>
      </c>
      <c r="E9" s="56" t="inlineStr">
        <is>
          <t>Physical Ubuntu lab-computer smoke test not repeated</t>
        </is>
      </c>
    </row>
  </sheetData>
  <mergeCells count="1">
    <mergeCell ref="A1:E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21"/>
  <sheetViews>
    <sheetView showGridLines="0" workbookViewId="0">
      <pane ySplit="5" topLeftCell="A6" activePane="bottomLeft" state="frozen"/>
      <selection pane="bottomLeft" activeCell="A1" sqref="A1"/>
    </sheetView>
  </sheetViews>
  <sheetFormatPr baseColWidth="8" defaultRowHeight="15"/>
  <cols>
    <col width="12" customWidth="1" style="78" min="1" max="1"/>
    <col width="24" customWidth="1" style="78" min="2" max="2"/>
    <col width="11" customWidth="1" style="78" min="3" max="3"/>
    <col width="48" customWidth="1" style="78" min="4" max="5"/>
    <col width="34" customWidth="1" style="78" min="6" max="6"/>
  </cols>
  <sheetData>
    <row r="1" ht="27.95" customHeight="1" s="78">
      <c r="A1" s="62" t="inlineStr">
        <is>
          <t>Assignment grading integrity repair</t>
        </is>
      </c>
      <c r="B1" s="62" t="n"/>
      <c r="C1" s="62" t="n"/>
      <c r="D1" s="62" t="n"/>
      <c r="E1" s="62" t="n"/>
      <c r="F1" s="62" t="n"/>
    </row>
    <row r="2">
      <c r="A2" s="63" t="inlineStr">
        <is>
          <t>Test date</t>
        </is>
      </c>
      <c r="B2" s="64" t="n">
        <v>46288.79166666666</v>
      </c>
      <c r="C2" s="63" t="inlineStr">
        <is>
          <t>Branch</t>
        </is>
      </c>
      <c r="D2" s="65" t="inlineStr">
        <is>
          <t>fix/grading-integrity</t>
        </is>
      </c>
      <c r="E2" s="63" t="inlineStr">
        <is>
          <t>Release state</t>
        </is>
      </c>
      <c r="F2" s="65" t="inlineStr">
        <is>
          <t>Local only; not committed or pushed</t>
        </is>
      </c>
    </row>
    <row r="3">
      <c r="A3" s="63" t="inlineStr">
        <is>
          <t>Scope</t>
        </is>
      </c>
      <c r="B3" s="65" t="inlineStr">
        <is>
          <t>Assignments 1-6 grading, scoring, feedback, instructor validation, Flutter compatibility, and real ROS 2 execution</t>
        </is>
      </c>
      <c r="C3" s="65" t="n"/>
      <c r="D3" s="65" t="n"/>
      <c r="E3" s="65" t="n"/>
      <c r="F3" s="65" t="n"/>
    </row>
    <row r="4">
      <c r="A4" s="60" t="n"/>
      <c r="B4" s="60" t="n"/>
      <c r="C4" s="60" t="n"/>
      <c r="D4" s="60" t="n"/>
      <c r="E4" s="60" t="n"/>
      <c r="F4" s="60" t="n"/>
    </row>
    <row r="5">
      <c r="A5" s="66" t="inlineStr">
        <is>
          <t>Check ID</t>
        </is>
      </c>
      <c r="B5" s="66" t="inlineStr">
        <is>
          <t>Area</t>
        </is>
      </c>
      <c r="C5" s="66" t="inlineStr">
        <is>
          <t>Result</t>
        </is>
      </c>
      <c r="D5" s="66" t="inlineStr">
        <is>
          <t>Evidence</t>
        </is>
      </c>
      <c r="E5" s="66" t="inlineStr">
        <is>
          <t>Issue repaired</t>
        </is>
      </c>
      <c r="F5" s="66" t="inlineStr">
        <is>
          <t>Remaining limitation</t>
        </is>
      </c>
    </row>
    <row r="6" ht="25.5" customHeight="1" s="78">
      <c r="A6" s="61" t="inlineStr">
        <is>
          <t>GI-001</t>
        </is>
      </c>
      <c r="B6" s="61" t="inlineStr">
        <is>
          <t>Run endpoint</t>
        </is>
      </c>
      <c r="C6" s="67" t="inlineStr">
        <is>
          <t>Pass</t>
        </is>
      </c>
      <c r="D6" s="61" t="inlineStr">
        <is>
          <t>Run and Submit now use the same assignment grader.</t>
        </is>
      </c>
      <c r="E6" s="61" t="inlineStr">
        <is>
          <t>Executable code can no longer receive an automatic 100% Run result.</t>
        </is>
      </c>
      <c r="F6" s="61" t="inlineStr">
        <is>
          <t>None</t>
        </is>
      </c>
    </row>
    <row r="7" ht="25.5" customHeight="1" s="78">
      <c r="A7" s="61" t="inlineStr">
        <is>
          <t>GI-002</t>
        </is>
      </c>
      <c r="B7" s="61" t="inlineStr">
        <is>
          <t>Assignment 1</t>
        </is>
      </c>
      <c r="C7" s="67" t="inlineStr">
        <is>
          <t>Pass</t>
        </is>
      </c>
      <c r="D7" s="61" t="inlineStr">
        <is>
          <t>Official 100%; mixed 25%; displayed constants rejected.</t>
        </is>
      </c>
      <c r="E7" s="61" t="inlineStr">
        <is>
          <t>Grades a reusable Bug2 function across hidden coordinate scenarios.</t>
        </is>
      </c>
      <c r="F7" s="61" t="inlineStr">
        <is>
          <t>Hidden cases remain server-only.</t>
        </is>
      </c>
    </row>
    <row r="8" ht="25.5" customHeight="1" s="78">
      <c r="A8" s="61" t="inlineStr">
        <is>
          <t>GI-003</t>
        </is>
      </c>
      <c r="B8" s="61" t="inlineStr">
        <is>
          <t>Assignment 2</t>
        </is>
      </c>
      <c r="C8" s="67" t="inlineStr">
        <is>
          <t>Pass</t>
        </is>
      </c>
      <c r="D8" s="61" t="inlineStr">
        <is>
          <t>Official 100%; mixed 25%; displayed constants rejected.</t>
        </is>
      </c>
      <c r="E8" s="61" t="inlineStr">
        <is>
          <t>Grades a reusable Bug route function across hidden coordinate scenarios.</t>
        </is>
      </c>
      <c r="F8" s="61" t="inlineStr">
        <is>
          <t>Hidden cases remain server-only.</t>
        </is>
      </c>
    </row>
    <row r="9" ht="25.5" customHeight="1" s="78">
      <c r="A9" s="61" t="inlineStr">
        <is>
          <t>GI-004</t>
        </is>
      </c>
      <c r="B9" s="61" t="inlineStr">
        <is>
          <t>Assignment 3</t>
        </is>
      </c>
      <c r="C9" s="67" t="inlineStr">
        <is>
          <t>Pass</t>
        </is>
      </c>
      <c r="D9" s="61" t="inlineStr">
        <is>
          <t>Official 100%; mixed 50%; displayed constants rejected.</t>
        </is>
      </c>
      <c r="E9" s="61" t="inlineStr">
        <is>
          <t>Grades all eight route outputs across cases where either elevator can win.</t>
        </is>
      </c>
      <c r="F9" s="61" t="inlineStr">
        <is>
          <t>Eight 12.5% checks display as a rounded whole percentage.</t>
        </is>
      </c>
    </row>
    <row r="10" ht="25.5" customHeight="1" s="78">
      <c r="A10" s="61" t="inlineStr">
        <is>
          <t>GI-005</t>
        </is>
      </c>
      <c r="B10" s="61" t="inlineStr">
        <is>
          <t>Assignment 4</t>
        </is>
      </c>
      <c r="C10" s="67" t="inlineStr">
        <is>
          <t>Pass</t>
        </is>
      </c>
      <c r="D10" s="61" t="inlineStr">
        <is>
          <t>Official 100%; mixed 60%; displayed constants rejected.</t>
        </is>
      </c>
      <c r="E10" s="61" t="inlineStr">
        <is>
          <t>Expanded grading from two 50% checks to five 20% checks.</t>
        </is>
      </c>
      <c r="F10" s="61" t="inlineStr">
        <is>
          <t>None</t>
        </is>
      </c>
    </row>
    <row r="11" ht="25.5" customHeight="1" s="78">
      <c r="A11" s="61" t="inlineStr">
        <is>
          <t>GI-006</t>
        </is>
      </c>
      <c r="B11" s="61" t="inlineStr">
        <is>
          <t>Assignment 5 ROS 2</t>
        </is>
      </c>
      <c r="C11" s="67" t="inlineStr">
        <is>
          <t>Pass</t>
        </is>
      </c>
      <c r="D11" s="61" t="inlineStr">
        <is>
          <t>Real Docker ROS grader passed 7 of 7 checks.</t>
        </is>
      </c>
      <c r="E11" s="61" t="inlineStr">
        <is>
          <t>Rubric weights now match the behavior-harness weights.</t>
        </is>
      </c>
      <c r="F11" s="61" t="inlineStr">
        <is>
          <t>Docker Desktop Linux containers are required.</t>
        </is>
      </c>
    </row>
    <row r="12" ht="25.5" customHeight="1" s="78">
      <c r="A12" s="61" t="inlineStr">
        <is>
          <t>GI-007</t>
        </is>
      </c>
      <c r="B12" s="61" t="inlineStr">
        <is>
          <t>Assignment 6 ROS 2</t>
        </is>
      </c>
      <c r="C12" s="67" t="inlineStr">
        <is>
          <t>Pass</t>
        </is>
      </c>
      <c r="D12" s="61" t="inlineStr">
        <is>
          <t>Real Docker ROS grader passed 9 of 9 checks.</t>
        </is>
      </c>
      <c r="E12" s="61" t="inlineStr">
        <is>
          <t>Rubric weights now match the behavior-harness weights.</t>
        </is>
      </c>
      <c r="F12" s="61" t="inlineStr">
        <is>
          <t>Docker Desktop Linux containers are required.</t>
        </is>
      </c>
    </row>
    <row r="13" ht="25.5" customHeight="1" s="78">
      <c r="A13" s="61" t="inlineStr">
        <is>
          <t>GI-008</t>
        </is>
      </c>
      <c r="B13" s="61" t="inlineStr">
        <is>
          <t>Instructor validation</t>
        </is>
      </c>
      <c r="C13" s="67" t="inlineStr">
        <is>
          <t>Pass</t>
        </is>
      </c>
      <c r="D13" s="61" t="inlineStr">
        <is>
          <t>Function-grader assignments validate, edit, and publish in automated tests.</t>
        </is>
      </c>
      <c r="E13" s="61" t="inlineStr">
        <is>
          <t>Assignment Studio recognizes and validates the new grader configuration.</t>
        </is>
      </c>
      <c r="F13" s="61" t="inlineStr">
        <is>
          <t>None</t>
        </is>
      </c>
    </row>
    <row r="14">
      <c r="A14" s="61" t="inlineStr">
        <is>
          <t>GI-009</t>
        </is>
      </c>
      <c r="B14" s="61" t="inlineStr">
        <is>
          <t>Backend regression</t>
        </is>
      </c>
      <c r="C14" s="67" t="inlineStr">
        <is>
          <t>Pass</t>
        </is>
      </c>
      <c r="D14" s="61" t="inlineStr">
        <is>
          <t>Final backend regression gate passed all 200 tests.</t>
        </is>
      </c>
      <c r="E14" s="61" t="inlineStr">
        <is>
          <t>No backend regression detected.</t>
        </is>
      </c>
      <c r="F14" s="61" t="inlineStr">
        <is>
          <t>None</t>
        </is>
      </c>
    </row>
    <row r="15">
      <c r="A15" s="61" t="inlineStr">
        <is>
          <t>GI-010</t>
        </is>
      </c>
      <c r="B15" s="61" t="inlineStr">
        <is>
          <t>Python dependencies</t>
        </is>
      </c>
      <c r="C15" s="67" t="inlineStr">
        <is>
          <t>Pass</t>
        </is>
      </c>
      <c r="D15" s="61" t="inlineStr">
        <is>
          <t>pip check reported no broken requirements.</t>
        </is>
      </c>
      <c r="E15" s="61" t="inlineStr">
        <is>
          <t>No dependency conflict detected.</t>
        </is>
      </c>
      <c r="F15" s="61" t="inlineStr">
        <is>
          <t>None</t>
        </is>
      </c>
    </row>
    <row r="16" ht="25.5" customHeight="1" s="78">
      <c r="A16" s="61" t="inlineStr">
        <is>
          <t>GI-011</t>
        </is>
      </c>
      <c r="B16" s="61" t="inlineStr">
        <is>
          <t>Flutter client</t>
        </is>
      </c>
      <c r="C16" s="67" t="inlineStr">
        <is>
          <t>Pass</t>
        </is>
      </c>
      <c r="D16" s="61" t="inlineStr">
        <is>
          <t>Static analysis passed; 52 tests passed; release web build completed.</t>
        </is>
      </c>
      <c r="E16" s="61" t="inlineStr">
        <is>
          <t>Updated assignment criteria and instructions remain client-compatible.</t>
        </is>
      </c>
      <c r="F16" s="61" t="inlineStr">
        <is>
          <t>No physical mobile-device test was required.</t>
        </is>
      </c>
    </row>
    <row r="17" ht="25.5" customHeight="1" s="78">
      <c r="A17" s="61" t="inlineStr">
        <is>
          <t>GI-012</t>
        </is>
      </c>
      <c r="B17" s="61" t="inlineStr">
        <is>
          <t>Repository state</t>
        </is>
      </c>
      <c r="C17" s="67" t="inlineStr">
        <is>
          <t>Pass</t>
        </is>
      </c>
      <c r="D17" s="61" t="inlineStr">
        <is>
          <t>Changes are isolated on fix/grading-integrity.</t>
        </is>
      </c>
      <c r="E17" s="61" t="inlineStr">
        <is>
          <t>Production and remote main were not modified.</t>
        </is>
      </c>
      <c r="F17" s="61" t="inlineStr">
        <is>
          <t>Commit and push require separate approval.</t>
        </is>
      </c>
    </row>
    <row r="18" ht="51.95" customHeight="1" s="78">
      <c r="A18" s="32" t="inlineStr">
        <is>
          <t>GI-013</t>
        </is>
      </c>
      <c r="B18" s="32" t="inlineStr">
        <is>
          <t>Student mutation matrix</t>
        </is>
      </c>
      <c r="C18" s="32" t="inlineStr">
        <is>
          <t>Pass</t>
        </is>
      </c>
      <c r="D18" s="32" t="inlineStr">
        <is>
          <t>Assignments 1-4 missing/renamed helpers: 0%; Assignment 5 missing publisher: 20%; Assignment 6 missing publisher: 10%</t>
        </is>
      </c>
      <c r="E18" s="32" t="inlineStr">
        <is>
          <t>Broken or incomplete submissions no longer appear to earn a false 100% score</t>
        </is>
      </c>
      <c r="F18" s="32" t="inlineStr">
        <is>
          <t>ROS partial-credit weights are intentional and remain server-authoritative</t>
        </is>
      </c>
    </row>
    <row r="19" ht="51.95" customHeight="1" s="78">
      <c r="A19" s="32" t="inlineStr">
        <is>
          <t>GI-014</t>
        </is>
      </c>
      <c r="B19" s="32" t="inlineStr">
        <is>
          <t>Edited-code result state</t>
        </is>
      </c>
      <c r="C19" s="32" t="inlineStr">
        <is>
          <t>Pass</t>
        </is>
      </c>
      <c r="D19" s="32" t="inlineStr">
        <is>
          <t>Manual browser QA: correct answer 100%, edit code, stale Results panel hides and header labels the value as Previous score</t>
        </is>
      </c>
      <c r="E19" s="32" t="inlineStr">
        <is>
          <t>A previous successful result can no longer be mistaken for the edited, untested code</t>
        </is>
      </c>
      <c r="F19" s="32" t="inlineStr">
        <is>
          <t>Completed remains a historical achievement after a prior successful attempt</t>
        </is>
      </c>
    </row>
    <row r="20" ht="51.95" customHeight="1" s="78">
      <c r="A20" s="32" t="inlineStr">
        <is>
          <t>GI-015</t>
        </is>
      </c>
      <c r="B20" s="32" t="inlineStr">
        <is>
          <t>Weighted score display</t>
        </is>
      </c>
      <c r="C20" s="32" t="inlineStr">
        <is>
          <t>Pass</t>
        </is>
      </c>
      <c r="D20" s="32" t="inlineStr">
        <is>
          <t>UI uses backend score; check pass rate is displayed separately. Regression test covers 35% score with 1/2 checks</t>
        </is>
      </c>
      <c r="E20" s="32" t="inlineStr">
        <is>
          <t>Frontend no longer replaces assignment-specific weights with an unweighted check fraction</t>
        </is>
      </c>
      <c r="F20" s="32" t="inlineStr">
        <is>
          <t>None</t>
        </is>
      </c>
    </row>
    <row r="21" ht="51.95" customHeight="1" s="78">
      <c r="A21" s="32" t="inlineStr">
        <is>
          <t>GI-016</t>
        </is>
      </c>
      <c r="B21" s="32" t="inlineStr">
        <is>
          <t>Frontend regression</t>
        </is>
      </c>
      <c r="C21" s="32" t="inlineStr">
        <is>
          <t>Pass</t>
        </is>
      </c>
      <c r="D21" s="32" t="inlineStr">
        <is>
          <t>Flutter analyze passed; 52 tests passed; release web build passed; narrow-screen feedback test passed</t>
        </is>
      </c>
      <c r="E21" s="32" t="inlineStr">
        <is>
          <t>Student-facing score and stale-result changes were regression checked</t>
        </is>
      </c>
      <c r="F21" s="32" t="inlineStr">
        <is>
          <t>No physical mobile-device test was performed</t>
        </is>
      </c>
    </row>
  </sheetData>
  <pageMargins left="0.7" right="0.7" top="0.75" bottom="0.75" header="0.3" footer="0.3"/>
</worksheet>
</file>

<file path=xl/worksheets/sheet12.xml><?xml version="1.0" encoding="utf-8"?>
<worksheet xmlns="http://schemas.openxmlformats.org/spreadsheetml/2006/main">
  <sheetPr>
    <tabColor rgb="FF19778C"/>
    <outlinePr summaryBelow="1" summaryRight="1"/>
    <pageSetUpPr/>
  </sheetPr>
  <dimension ref="A1:E19"/>
  <sheetViews>
    <sheetView showGridLines="0"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4"/>
    <col width="25" customWidth="1" style="78" min="5" max="5"/>
  </cols>
  <sheetData>
    <row r="1" ht="30" customHeight="1" s="78">
      <c r="A1" s="68" t="inlineStr">
        <is>
          <t>V6.2 Learning Workbench QA</t>
        </is>
      </c>
      <c r="B1" s="68" t="inlineStr">
        <is>
          <t>2026-09-28</t>
        </is>
      </c>
      <c r="C1" s="68" t="inlineStr">
        <is>
          <t>Staging only</t>
        </is>
      </c>
      <c r="D1" s="68" t="n"/>
      <c r="E1" s="68" t="n"/>
    </row>
    <row r="2" ht="30" customHeight="1" s="78">
      <c r="A2" s="69" t="inlineStr">
        <is>
          <t>Check</t>
        </is>
      </c>
      <c r="B2" s="69" t="inlineStr">
        <is>
          <t>Result</t>
        </is>
      </c>
      <c r="C2" s="69" t="inlineStr">
        <is>
          <t>Evidence</t>
        </is>
      </c>
      <c r="D2" s="69" t="inlineStr">
        <is>
          <t>Scope / limitation</t>
        </is>
      </c>
      <c r="E2" s="69" t="inlineStr">
        <is>
          <t>Follow-up</t>
        </is>
      </c>
    </row>
    <row r="3" ht="56.1" customHeight="1" s="78">
      <c r="A3" s="70" t="inlineStr">
        <is>
          <t>Backend regression</t>
        </is>
      </c>
      <c r="B3" s="70" t="inlineStr">
        <is>
          <t>PASS</t>
        </is>
      </c>
      <c r="C3" s="70" t="inlineStr">
        <is>
          <t>215 tests passed; 80.65 seconds</t>
        </is>
      </c>
      <c r="D3" s="70" t="inlineStr">
        <is>
          <t>Exact staged release snapshot; no paid AI calls</t>
        </is>
      </c>
      <c r="E3" s="70" t="n"/>
    </row>
    <row r="4" ht="56.1" customHeight="1" s="78">
      <c r="A4" s="71" t="inlineStr">
        <is>
          <t>Python dependencies</t>
        </is>
      </c>
      <c r="B4" s="71" t="inlineStr">
        <is>
          <t>PASS</t>
        </is>
      </c>
      <c r="C4" s="71" t="inlineStr">
        <is>
          <t>pip check: no broken requirements</t>
        </is>
      </c>
      <c r="D4" s="71" t="inlineStr">
        <is>
          <t>Existing pinned Python environment</t>
        </is>
      </c>
      <c r="E4" s="71" t="n"/>
    </row>
    <row r="5" ht="56.1" customHeight="1" s="78">
      <c r="A5" s="70" t="inlineStr">
        <is>
          <t>Flutter analysis</t>
        </is>
      </c>
      <c r="B5" s="70" t="inlineStr">
        <is>
          <t>PASS</t>
        </is>
      </c>
      <c r="C5" s="70" t="inlineStr">
        <is>
          <t>No issues found</t>
        </is>
      </c>
      <c r="D5" s="70" t="inlineStr">
        <is>
          <t>Approved frontend source only</t>
        </is>
      </c>
      <c r="E5" s="70" t="n"/>
    </row>
    <row r="6" ht="56.1" customHeight="1" s="78">
      <c r="A6" s="71" t="inlineStr">
        <is>
          <t>Flutter regression</t>
        </is>
      </c>
      <c r="B6" s="71" t="inlineStr">
        <is>
          <t>PASS</t>
        </is>
      </c>
      <c r="C6" s="71" t="inlineStr">
        <is>
          <t>89 tests passed</t>
        </is>
      </c>
      <c r="D6" s="71" t="inlineStr">
        <is>
          <t>Widgets, APIs, contrast, keyboard and responsive states</t>
        </is>
      </c>
      <c r="E6" s="71" t="n"/>
    </row>
    <row r="7" ht="56.1" customHeight="1" s="78">
      <c r="A7" s="70" t="inlineStr">
        <is>
          <t>Release web build</t>
        </is>
      </c>
      <c r="B7" s="70" t="inlineStr">
        <is>
          <t>PASS</t>
        </is>
      </c>
      <c r="C7" s="70" t="inlineStr">
        <is>
          <t>Build completed; 52.3 seconds</t>
        </is>
      </c>
      <c r="D7" s="70" t="inlineStr">
        <is>
          <t>Local API at port 5100</t>
        </is>
      </c>
      <c r="E7" s="70" t="n"/>
    </row>
    <row r="8" ht="56.1" customHeight="1" s="78">
      <c r="A8" s="71" t="inlineStr">
        <is>
          <t>ROS assignment 5</t>
        </is>
      </c>
      <c r="B8" s="71" t="inlineStr">
        <is>
          <t>PASS</t>
        </is>
      </c>
      <c r="C8" s="71" t="inlineStr">
        <is>
          <t>Maintained answer: 7/7 checks</t>
        </is>
      </c>
      <c r="D8" s="71" t="inlineStr">
        <is>
          <t>Real pinned Docker image</t>
        </is>
      </c>
      <c r="E8" s="71" t="n"/>
    </row>
    <row r="9" ht="56.1" customHeight="1" s="78">
      <c r="A9" s="70" t="inlineStr">
        <is>
          <t>ROS assignment 6</t>
        </is>
      </c>
      <c r="B9" s="70" t="inlineStr">
        <is>
          <t>PASS</t>
        </is>
      </c>
      <c r="C9" s="70" t="inlineStr">
        <is>
          <t>Maintained answer: 9/9 checks</t>
        </is>
      </c>
      <c r="D9" s="70" t="inlineStr">
        <is>
          <t>Real pinned Docker image</t>
        </is>
      </c>
      <c r="E9" s="70" t="n"/>
    </row>
    <row r="10" ht="56.1" customHeight="1" s="78">
      <c r="A10" s="71" t="inlineStr">
        <is>
          <t>Persistent student records</t>
        </is>
      </c>
      <c r="B10" s="71" t="inlineStr">
        <is>
          <t>PASS</t>
        </is>
      </c>
      <c r="C10" s="71" t="inlineStr">
        <is>
          <t>Student login, saved assignment and quiz progress, study analytics visible</t>
        </is>
      </c>
      <c r="D10" s="71" t="inlineStr">
        <is>
          <t>Read-only browser checks; existing records preserved</t>
        </is>
      </c>
      <c r="E10" s="71" t="n"/>
    </row>
    <row r="11" ht="56.1" customHeight="1" s="78">
      <c r="A11" s="70" t="inlineStr">
        <is>
          <t>Lesson reading and outline</t>
        </is>
      </c>
      <c r="B11" s="70" t="inlineStr">
        <is>
          <t>PASS</t>
        </is>
      </c>
      <c r="C11" s="70" t="inlineStr">
        <is>
          <t>Readable bounded text; outline jump to VFH verified in browser</t>
        </is>
      </c>
      <c r="D11" s="70" t="inlineStr">
        <is>
          <t>Authored HTML retained; anchor behavior also widget-tested</t>
        </is>
      </c>
      <c r="E11" s="70" t="n"/>
    </row>
    <row r="12" ht="56.1" customHeight="1" s="78">
      <c r="A12" s="71" t="inlineStr">
        <is>
          <t>Visual contrast and metadata</t>
        </is>
      </c>
      <c r="B12" s="71" t="inlineStr">
        <is>
          <t>PASS</t>
        </is>
      </c>
      <c r="C12" s="71" t="inlineStr">
        <is>
          <t>New tinted surfaces meet tested 4.5:1 text contrast; attempt/best/latest badges</t>
        </is>
      </c>
      <c r="D12" s="71" t="inlineStr">
        <is>
          <t>No grading calculations changed</t>
        </is>
      </c>
      <c r="E12" s="71" t="n"/>
    </row>
    <row r="13" ht="56.1" customHeight="1" s="78">
      <c r="A13" s="70" t="inlineStr">
        <is>
          <t>Results dock</t>
        </is>
      </c>
      <c r="B13" s="70" t="inlineStr">
        <is>
          <t>PASS</t>
        </is>
      </c>
      <c r="C13" s="70" t="inlineStr">
        <is>
          <t>Desktop opening, drag resizing, minimize/reopen covered by widget tests</t>
        </is>
      </c>
      <c r="D13" s="70" t="inlineStr">
        <is>
          <t>Browser smoke evidence in Markdown report</t>
        </is>
      </c>
      <c r="E13" s="70" t="n"/>
    </row>
    <row r="14" ht="56.1" customHeight="1" s="78">
      <c r="A14" s="71" t="inlineStr">
        <is>
          <t>Recovery states</t>
        </is>
      </c>
      <c r="B14" s="71" t="inlineStr">
        <is>
          <t>PASS</t>
        </is>
      </c>
      <c r="C14" s="71" t="inlineStr">
        <is>
          <t>401 session-expired message tested; generic retry preserved</t>
        </is>
      </c>
      <c r="D14" s="71" t="inlineStr">
        <is>
          <t>No automatic account or session mutation</t>
        </is>
      </c>
      <c r="E14" s="71" t="n"/>
    </row>
    <row r="15" ht="56.1" customHeight="1" s="78">
      <c r="A15" s="70" t="inlineStr">
        <is>
          <t>Production / paid AI</t>
        </is>
      </c>
      <c r="B15" s="70" t="inlineStr">
        <is>
          <t>NOT RUN</t>
        </is>
      </c>
      <c r="C15" s="70" t="inlineStr">
        <is>
          <t>No deployment or OpenAI request made</t>
        </is>
      </c>
      <c r="D15" s="70" t="inlineStr">
        <is>
          <t>Not authorized as part of staging visual release</t>
        </is>
      </c>
      <c r="E15" s="70" t="inlineStr">
        <is>
          <t>Separate future gate</t>
        </is>
      </c>
    </row>
    <row r="16" ht="56.1" customHeight="1" s="78">
      <c r="A16" s="71" t="inlineStr">
        <is>
          <t>Physical Ubuntu / hardware</t>
        </is>
      </c>
      <c r="B16" s="71" t="inlineStr">
        <is>
          <t>NOT RUN</t>
        </is>
      </c>
      <c r="C16" s="71" t="inlineStr">
        <is>
          <t>No second-device test performed</t>
        </is>
      </c>
      <c r="D16" s="71" t="inlineStr">
        <is>
          <t>Source UI change only; existing setup scripts unchanged</t>
        </is>
      </c>
      <c r="E16" s="71" t="inlineStr">
        <is>
          <t>Separate device smoke test</t>
        </is>
      </c>
    </row>
    <row r="17" ht="56.1" customHeight="1" s="78">
      <c r="A17" s="70" t="inlineStr">
        <is>
          <t>Unrelated user file moves</t>
        </is>
      </c>
      <c r="B17" s="70" t="inlineStr">
        <is>
          <t>EXCLUDED</t>
        </is>
      </c>
      <c r="C17" s="70" t="inlineStr">
        <is>
          <t>Answer and reference moves plus content-builder edit not staged</t>
        </is>
      </c>
      <c r="D17" s="70" t="inlineStr">
        <is>
          <t>Backend gate ran exported Git index, not dirty answer paths</t>
        </is>
      </c>
      <c r="E17" s="70" t="inlineStr">
        <is>
          <t>User work remains local</t>
        </is>
      </c>
    </row>
    <row r="18" ht="56.1" customHeight="1" s="78">
      <c r="A18" s="71" t="inlineStr">
        <is>
          <t>Instructor browser smoke</t>
        </is>
      </c>
      <c r="B18" s="71" t="inlineStr">
        <is>
          <t>PASS</t>
        </is>
      </c>
      <c r="C18" s="71" t="inlineStr">
        <is>
          <t>Instructor sign-in, six published assignments in studio and classroom dashboard loaded</t>
        </is>
      </c>
      <c r="D18" s="71" t="inlineStr">
        <is>
          <t>Read-only; no account or assignment changes</t>
        </is>
      </c>
      <c r="E18" s="71" t="n"/>
    </row>
    <row r="19" ht="56.1" customHeight="1" s="78">
      <c r="A19" s="70" t="inlineStr">
        <is>
          <t>Demo grading browser smoke</t>
        </is>
      </c>
      <c r="B19" s="70" t="inlineStr">
        <is>
          <t>PASS</t>
        </is>
      </c>
      <c r="C19" s="70" t="inlineStr">
        <is>
          <t>Assignment 1 starter 0/4; complete solution 4/4; editing beside dock and responsive drawer verified</t>
        </is>
      </c>
      <c r="D19" s="70" t="inlineStr">
        <is>
          <t>Temporary demo only; AI remained off</t>
        </is>
      </c>
      <c r="E19" s="70"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4"/>
    <col width="25" customWidth="1" style="78" min="5" max="5"/>
  </cols>
  <sheetData>
    <row r="1" ht="30" customHeight="1" s="78">
      <c r="A1" s="68" t="inlineStr">
        <is>
          <t>Staging quality, ROS, and Ubuntu QA</t>
        </is>
      </c>
      <c r="B1" s="68" t="inlineStr">
        <is>
          <t>2026-10-02</t>
        </is>
      </c>
      <c r="C1" s="68" t="inlineStr">
        <is>
          <t>Staging only; code commit 49e27f8</t>
        </is>
      </c>
      <c r="D1" s="68" t="n"/>
      <c r="E1" s="68" t="n"/>
    </row>
    <row r="2" ht="30" customHeight="1" s="78">
      <c r="A2" s="69" t="inlineStr">
        <is>
          <t>Check</t>
        </is>
      </c>
      <c r="B2" s="69" t="inlineStr">
        <is>
          <t>Result</t>
        </is>
      </c>
      <c r="C2" s="69" t="inlineStr">
        <is>
          <t>Evidence</t>
        </is>
      </c>
      <c r="D2" s="69" t="inlineStr">
        <is>
          <t>Scope / limitation</t>
        </is>
      </c>
      <c r="E2" s="69" t="inlineStr">
        <is>
          <t>Follow-up</t>
        </is>
      </c>
    </row>
    <row r="3" ht="56.1" customHeight="1" s="78">
      <c r="A3" s="70" t="inlineStr">
        <is>
          <t>Windows complete gate</t>
        </is>
      </c>
      <c r="B3" s="70" t="inlineStr">
        <is>
          <t>PASS</t>
        </is>
      </c>
      <c r="C3" s="70" t="inlineStr">
        <is>
          <t>verify-local.ps1 on 49e27f8: 461 backend tests, pip check, compileall, Flutter analyze clean, 95 Flutter tests, release web build, release-source and fresh-clone checks, service health</t>
        </is>
      </c>
      <c r="D3" s="70" t="inlineStr">
        <is>
          <t>scripts/verify-local.ps1 on branch staging-ops-hardening, Windows 11</t>
        </is>
      </c>
      <c r="E3" s="70" t="n"/>
    </row>
    <row r="4" ht="56.1" customHeight="1" s="78">
      <c r="A4" s="71" t="inlineStr">
        <is>
          <t>Ubuntu fresh-clone script flow</t>
        </is>
      </c>
      <c r="B4" s="71" t="inlineStr">
        <is>
          <t>PASS</t>
        </is>
      </c>
      <c r="C4" s="71" t="inlineStr">
        <is>
          <t>Fresh clone of 49e27f8 in a disposable ubuntu:24.04 container: setup-local.sh, run-local.sh, run-browser-tests.sh 2/2, verify-local.sh (461 backend tests, Flutter analyze clean, 95 Flutter tests, release build), check-ros2-local.sh, stop-local.sh</t>
        </is>
      </c>
      <c r="D4" s="71" t="inlineStr">
        <is>
          <t>Container on Windows Docker Desktop with the host Docker engine; not a physical Ubuntu laptop or lab computer</t>
        </is>
      </c>
      <c r="E4" s="71" t="inlineStr">
        <is>
          <t>Physical lab-computer smoke test</t>
        </is>
      </c>
    </row>
    <row r="5" ht="56.1" customHeight="1" s="78">
      <c r="A5" s="70" t="inlineStr">
        <is>
          <t>Bash lint (ShellCheck)</t>
        </is>
      </c>
      <c r="B5" s="70" t="inlineStr">
        <is>
          <t>PASS</t>
        </is>
      </c>
      <c r="C5" s="70" t="inlineStr">
        <is>
          <t>koalaman/shellcheck:stable -x -S warning: 0 findings in 7 Bash scripts</t>
        </is>
      </c>
      <c r="D5" s="70" t="inlineStr">
        <is>
          <t>verify-local.sh skips ShellCheck when it is not installed</t>
        </is>
      </c>
      <c r="E5" s="70" t="n"/>
    </row>
    <row r="6" ht="56.1" customHeight="1" s="78">
      <c r="A6" s="71" t="inlineStr">
        <is>
          <t>ROS 2 grader image rebuild</t>
        </is>
      </c>
      <c r="B6" s="71" t="inlineStr">
        <is>
          <t>PASS</t>
        </is>
      </c>
      <c r="C6" s="71" t="inlineStr">
        <is>
          <t>check-ros2-local.ps1 -Build rebuilt robotics-lab-ros2-grader:jazzy-v1; A5 7/7, A6 9/9; duplicate commands rejected for both; two consecutive clean runs; Ubuntu run also passed</t>
        </is>
      </c>
      <c r="D6" s="71" t="inlineStr">
        <is>
          <t>One earlier run failed the A5 duplicate-rejection check while another image build saturated the same Docker engine</t>
        </is>
      </c>
      <c r="E6" s="71" t="inlineStr">
        <is>
          <t>Watch timing under load before hosted ROS</t>
        </is>
      </c>
    </row>
    <row r="7" ht="56.1" customHeight="1" s="78">
      <c r="A7" s="70" t="inlineStr">
        <is>
          <t>ROS runner output and timeout bounds</t>
        </is>
      </c>
      <c r="B7" s="70" t="inlineStr">
        <is>
          <t>PASS</t>
        </is>
      </c>
      <c r="C7" s="70" t="inlineStr">
        <is>
          <t>Unit tests run real processes: timeout, 1 MB output cap, early stop, docker rm --force after timeout/overflow, no removal after normal exit</t>
        </is>
      </c>
      <c r="D7" s="70" t="inlineStr">
        <is>
          <t>Container-level timeout not forced in the real image</t>
        </is>
      </c>
      <c r="E7" s="70" t="n"/>
    </row>
    <row r="8" ht="56.1" customHeight="1" s="78">
      <c r="A8" s="71" t="inlineStr">
        <is>
          <t>Browser flows</t>
        </is>
      </c>
      <c r="B8" s="71" t="inlineStr">
        <is>
          <t>PASS</t>
        </is>
      </c>
      <c r="C8" s="71" t="inlineStr">
        <is>
          <t>run-browser-tests: student demo (fail, hint, maintained answer 100%, refresh resets) and instructor studio/dashboard/sign-out; 2/2 on Windows (repeated) and Ubuntu</t>
        </is>
      </c>
      <c r="D8" s="71" t="inlineStr">
        <is>
          <t>Instructor sign-in writes normal session and audit rows</t>
        </is>
      </c>
      <c r="E8" s="71" t="n"/>
    </row>
    <row r="9" ht="56.1" customHeight="1" s="78">
      <c r="A9" s="70" t="inlineStr">
        <is>
          <t>Run tests load race (SQ-01)</t>
        </is>
      </c>
      <c r="B9" s="70" t="inlineStr">
        <is>
          <t>PASS</t>
        </is>
      </c>
      <c r="C9" s="70" t="inlineStr">
        <is>
          <t>Run tests disabled until code loads; 5/5 immediate-click browser attempts graded normally; widget tests for disabled and loaded states</t>
        </is>
      </c>
      <c r="D9" s="70" t="inlineStr">
        <is>
          <t>Fixed in 8731a37</t>
        </is>
      </c>
      <c r="E9" s="70" t="n"/>
    </row>
    <row r="10" ht="56.1" customHeight="1" s="78">
      <c r="A10" s="71" t="inlineStr">
        <is>
          <t>Redirected PowerShell launch (SQ-02)</t>
        </is>
      </c>
      <c r="B10" s="71" t="inlineStr">
        <is>
          <t>PASS</t>
        </is>
      </c>
      <c r="C10" s="71" t="inlineStr">
        <is>
          <t>run-local.ps1 *&gt; log started all services; check-ros2-local.ps1 passed under redirection</t>
        </is>
      </c>
      <c r="D10" s="71" t="inlineStr">
        <is>
          <t>Fixed in 0ebcba4</t>
        </is>
      </c>
      <c r="E10" s="71" t="n"/>
    </row>
    <row r="11" ht="56.1" customHeight="1" s="78">
      <c r="A11" s="70" t="inlineStr">
        <is>
          <t>Production demo-password guard (SQ-03)</t>
        </is>
      </c>
      <c r="B11" s="70" t="inlineStr">
        <is>
          <t>PASS</t>
        </is>
      </c>
      <c r="C11" s="70" t="inlineStr">
        <is>
          <t>Production refuses default or &lt;12-character demo passwords; 5 new config tests; credentials removed from READMEs and .env.example</t>
        </is>
      </c>
      <c r="D11" s="70" t="inlineStr">
        <is>
          <t>Fixed in 49e27f8</t>
        </is>
      </c>
      <c r="E11" s="70" t="n"/>
    </row>
    <row r="12" ht="56.1" customHeight="1" s="78">
      <c r="A12" s="71" t="inlineStr">
        <is>
          <t>Staging instructor password rotation (SQ-03)</t>
        </is>
      </c>
      <c r="B12" s="71" t="inlineStr">
        <is>
          <t>BLOCKED</t>
        </is>
      </c>
      <c r="C12" s="71" t="inlineStr">
        <is>
          <t>Not changed: rotating the shared Neon staging credential requires the project owner</t>
        </is>
      </c>
      <c r="D12" s="71" t="inlineStr">
        <is>
          <t>Account still uses the formerly published default</t>
        </is>
      </c>
      <c r="E12" s="71" t="inlineStr">
        <is>
          <t>Owner: reset via Manage accounts</t>
        </is>
      </c>
    </row>
    <row r="13" ht="56.1" customHeight="1" s="78">
      <c r="A13" s="70" t="inlineStr">
        <is>
          <t>Local release-build serving</t>
        </is>
      </c>
      <c r="B13" s="70" t="inlineStr">
        <is>
          <t>PASS</t>
        </is>
      </c>
      <c r="C13" s="70" t="inlineStr">
        <is>
          <t>Launcher serves the Vercel-equivalent build: ready in 0.8 s with 13 requests (was ~500)</t>
        </is>
      </c>
      <c r="D13" s="70" t="inlineStr">
        <is>
          <t>-DebugFrontend keeps hot reload</t>
        </is>
      </c>
      <c r="E13" s="70" t="n"/>
    </row>
    <row r="14" ht="56.1" customHeight="1" s="78">
      <c r="A14" s="71" t="inlineStr">
        <is>
          <t>AI evaluation dataset</t>
        </is>
      </c>
      <c r="B14" s="71" t="inlineStr">
        <is>
          <t>PASS</t>
        </is>
      </c>
      <c r="C14" s="71" t="inlineStr">
        <is>
          <t>27 cases; prompt-injection, hallucination, provider-failure stubs rejected by tutor guards</t>
        </is>
      </c>
      <c r="D14" s="71" t="inlineStr">
        <is>
          <t>Offline harness only; no paid AI calls</t>
        </is>
      </c>
      <c r="E14" s="71" t="n"/>
    </row>
    <row r="15" ht="56.1" customHeight="1" s="78">
      <c r="A15" s="70" t="inlineStr">
        <is>
          <t>Instructor review of AI cases</t>
        </is>
      </c>
      <c r="B15" s="70" t="inlineStr">
        <is>
          <t>NOT RUN</t>
        </is>
      </c>
      <c r="C15" s="70" t="inlineStr">
        <is>
          <t>27 cases remain draft; listed by instructor_dataset.py --review-queue</t>
        </is>
      </c>
      <c r="D15" s="70" t="inlineStr">
        <is>
          <t>Requires a named instructor reviewer</t>
        </is>
      </c>
      <c r="E15" s="70" t="inlineStr">
        <is>
          <t>Owner: instructor review</t>
        </is>
      </c>
    </row>
    <row r="16" ht="56.1" customHeight="1" s="78">
      <c r="A16" s="71" t="inlineStr">
        <is>
          <t>Production deployment</t>
        </is>
      </c>
      <c r="B16" s="71" t="inlineStr">
        <is>
          <t>NOT RUN</t>
        </is>
      </c>
      <c r="C16" s="71" t="inlineStr">
        <is>
          <t>No production change</t>
        </is>
      </c>
      <c r="D16" s="71" t="inlineStr">
        <is>
          <t>Not authorized</t>
        </is>
      </c>
      <c r="E16" s="71" t="n"/>
    </row>
    <row r="17" ht="56.1" customHeight="1" s="78">
      <c r="A17" s="70" t="inlineStr">
        <is>
          <t>Staging instructor password rotation retest (SQ-03)</t>
        </is>
      </c>
      <c r="B17" s="70" t="inlineStr">
        <is>
          <t>PASS</t>
        </is>
      </c>
      <c r="C17" s="70" t="inlineStr">
        <is>
          <t>Owner-approved reset via the app's change_password: 32-character random value stored only in the ignored .env; existing instructor sessions revoked; default password returns 401; new password signs in; browser tests 2/2</t>
        </is>
      </c>
      <c r="D17" s="70" t="inlineStr">
        <is>
          <t>Neon staging only; value never printed or committed</t>
        </is>
      </c>
      <c r="E17" s="70" t="inlineStr">
        <is>
          <t>Owner: share the new .env value with other devices privately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ht="30" customHeight="1" s="78">
      <c r="A1" s="68" t="inlineStr">
        <is>
          <t>Professional UI and UX refresh QA</t>
        </is>
      </c>
      <c r="B1" s="68" t="inlineStr">
        <is>
          <t>2026-10-02</t>
        </is>
      </c>
      <c r="C1" s="68" t="inlineStr">
        <is>
          <t>Staging only; code commit 8071420</t>
        </is>
      </c>
      <c r="D1" s="68" t="n"/>
      <c r="E1" s="68" t="n"/>
    </row>
    <row r="2" ht="30" customHeight="1" s="78">
      <c r="A2" s="69" t="inlineStr">
        <is>
          <t>Check</t>
        </is>
      </c>
      <c r="B2" s="69" t="inlineStr">
        <is>
          <t>Result</t>
        </is>
      </c>
      <c r="C2" s="69" t="inlineStr">
        <is>
          <t>Evidence</t>
        </is>
      </c>
      <c r="D2" s="69" t="inlineStr">
        <is>
          <t>Scope / limitation</t>
        </is>
      </c>
      <c r="E2" s="69" t="inlineStr">
        <is>
          <t>Follow-up</t>
        </is>
      </c>
    </row>
    <row r="3" ht="56.1" customHeight="1" s="78">
      <c r="A3" s="70" t="inlineStr">
        <is>
          <t>Windows complete gate</t>
        </is>
      </c>
      <c r="B3" s="70" t="inlineStr">
        <is>
          <t>PASS</t>
        </is>
      </c>
      <c r="C3" s="70" t="inlineStr">
        <is>
          <t>verify-local.ps1 on 8071420: 461 backend tests, Flutter analyze clean, 97 Flutter tests, release web build, release-source and fresh-clone checks, service health</t>
        </is>
      </c>
      <c r="D3" s="70" t="inlineStr">
        <is>
          <t>Windows 11 staging checkout; frontend-only change</t>
        </is>
      </c>
      <c r="E3" s="70" t="n"/>
    </row>
    <row r="4" ht="56.1" customHeight="1" s="78">
      <c r="A4" s="71" t="inlineStr">
        <is>
          <t>Browser flows</t>
        </is>
      </c>
      <c r="B4" s="71" t="inlineStr">
        <is>
          <t>PASS</t>
        </is>
      </c>
      <c r="C4" s="71" t="inlineStr">
        <is>
          <t>run-browser-tests: student demo (fail, hint, maintained answer 100%, refresh resets) and instructor studio, research dashboard, sign-out: 2/2</t>
        </is>
      </c>
      <c r="D4" s="71" t="inlineStr">
        <is>
          <t>Local stack restarted through run-local.ps1</t>
        </is>
      </c>
      <c r="E4" s="71" t="n"/>
    </row>
    <row r="5" ht="56.1" customHeight="1" s="78">
      <c r="A5" s="70" t="inlineStr">
        <is>
          <t>Fresh-browser regression checks</t>
        </is>
      </c>
      <c r="B5" s="70" t="inlineStr">
        <is>
          <t>PASS</t>
        </is>
      </c>
      <c r="C5" s="70" t="inlineStr">
        <is>
          <t>18/18 at 1440px and 390px: no demo credentials on login, learning-path hero and Up next, no instructor studio for students, AI off by default, Ctrl+Enter grades, built-in hint with AI off, refresh resets demo, no unexpected console or HTTP errors</t>
        </is>
      </c>
      <c r="D5" s="70" t="inlineStr">
        <is>
          <t>Known demo research 409 (SQ-04) excluded as deferred</t>
        </is>
      </c>
      <c r="E5" s="70" t="n"/>
    </row>
    <row r="6" ht="56.1" customHeight="1" s="78">
      <c r="A6" s="71" t="inlineStr">
        <is>
          <t>Design system and contrast</t>
        </is>
      </c>
      <c r="B6" s="71" t="inlineStr">
        <is>
          <t>PASS</t>
        </is>
      </c>
      <c r="C6" s="71" t="inlineStr">
        <is>
          <t>Explicit brand, neutral, and AI colors; contrast tests cover body text, brand tint, AI badge, AI container, secondary and neutral chips at 4.5:1 or better</t>
        </is>
      </c>
      <c r="D6" s="71" t="inlineStr">
        <is>
          <t>Automated color-pair checks; no manual screen-reader pass</t>
        </is>
      </c>
      <c r="E6" s="71" t="inlineStr">
        <is>
          <t>Optional screen-reader review</t>
        </is>
      </c>
    </row>
    <row r="7" ht="56.1" customHeight="1" s="78">
      <c r="A7" s="70" t="inlineStr">
        <is>
          <t>Screen coverage</t>
        </is>
      </c>
      <c r="B7" s="70" t="inlineStr">
        <is>
          <t>PASS</t>
        </is>
      </c>
      <c r="C7" s="70" t="inlineStr">
        <is>
          <t>Before/after screenshots of login, home, contents, lesson, workspace, results, studio, research, accounts, and assignment editor at desktop and phone widths</t>
        </is>
      </c>
      <c r="D7" s="70" t="inlineStr">
        <is>
          <t>Visual review by the developer</t>
        </is>
      </c>
      <c r="E7" s="70" t="n"/>
    </row>
    <row r="8" ht="56.1" customHeight="1" s="78">
      <c r="A8" s="71" t="inlineStr">
        <is>
          <t>AI feedback labeling</t>
        </is>
      </c>
      <c r="B8" s="71" t="inlineStr">
        <is>
          <t>PASS</t>
        </is>
      </c>
      <c r="C8" s="71" t="inlineStr">
        <is>
          <t>OpenAI hints and responses use the reserved AI color with an AI-generated badge; widget test asserts the badge on AI responses</t>
        </is>
      </c>
      <c r="D8" s="71" t="inlineStr">
        <is>
          <t>AI provider not called; offline widget tests only</t>
        </is>
      </c>
      <c r="E8" s="71" t="n"/>
    </row>
    <row r="9" ht="56.1" customHeight="1" s="78">
      <c r="A9" s="70" t="inlineStr">
        <is>
          <t>Results overlay invariant</t>
        </is>
      </c>
      <c r="B9" s="70" t="inlineStr">
        <is>
          <t>PASS</t>
        </is>
      </c>
      <c r="C9" s="70" t="inlineStr">
        <is>
          <t>Results remains a minimizable right-side overlay; existing results-panel widget tests pass</t>
        </is>
      </c>
      <c r="D9" s="70" t="inlineStr">
        <is>
          <t>No layout docking change</t>
        </is>
      </c>
      <c r="E9" s="70" t="n"/>
    </row>
    <row r="10" ht="56.1" customHeight="1" s="78">
      <c r="A10" s="71" t="inlineStr">
        <is>
          <t>Production deployment</t>
        </is>
      </c>
      <c r="B10" s="71" t="inlineStr">
        <is>
          <t>NOT RUN</t>
        </is>
      </c>
      <c r="C10" s="71" t="inlineStr">
        <is>
          <t>No production change</t>
        </is>
      </c>
      <c r="D10" s="71" t="inlineStr">
        <is>
          <t>Not authorized</t>
        </is>
      </c>
      <c r="E10" s="71"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Failure view and Try inputs playground QA</t>
        </is>
      </c>
      <c r="B1" s="68" t="inlineStr">
        <is>
          <t>2026-10-02</t>
        </is>
      </c>
      <c r="C1" s="68" t="inlineStr">
        <is>
          <t>Staging only; code commit 075a5e2</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Backend suite</t>
        </is>
      </c>
      <c r="B3" s="70" t="inlineStr">
        <is>
          <t>PASS</t>
        </is>
      </c>
      <c r="C3" s="70" t="inlineStr">
        <is>
          <t>pytest with ENVIRONMENT=testing and SQLite (CI settings): 502 passed; compileall and pip check clean</t>
        </is>
      </c>
      <c r="D3" s="70" t="inlineStr">
        <is>
          <t>Run on the rebased commit; disposable SQLite only</t>
        </is>
      </c>
      <c r="E3" s="70" t="n"/>
    </row>
    <row r="4">
      <c r="A4" s="70" t="inlineStr">
        <is>
          <t>Failure reasons and points</t>
        </is>
      </c>
      <c r="B4" s="70" t="inlineStr">
        <is>
          <t>PASS</t>
        </is>
      </c>
      <c r="C4" s="70" t="inlineStr">
        <is>
          <t>Grader tests cover passed, wrong_all_inputs, wrong_some_inputs, error_on_some_inputs, unsupported_type, and not_checked with rubric weights; evidence keys stay limited to the documented fields</t>
        </is>
      </c>
      <c r="D4" s="70" t="inlineStr">
        <is>
          <t>Function assignments 1-4 only; ROS and variable graders unchanged</t>
        </is>
      </c>
      <c r="E4" s="70" t="n"/>
    </row>
    <row r="5">
      <c r="A5" s="70" t="inlineStr">
        <is>
          <t>Protected-case safety</t>
        </is>
      </c>
      <c r="B5" s="70" t="inlineStr">
        <is>
          <t>PASS</t>
        </is>
      </c>
      <c r="C5" s="70" t="inlineStr">
        <is>
          <t>API test confirms playground responses contain no configured expected values; reasons never include case data</t>
        </is>
      </c>
      <c r="D5" s="70" t="inlineStr">
        <is>
          <t>Automated check</t>
        </is>
      </c>
      <c r="E5" s="70" t="n"/>
    </row>
    <row r="6">
      <c r="A6" s="70" t="inlineStr">
        <is>
          <t>Playground input safety</t>
        </is>
      </c>
      <c r="B6" s="70" t="inlineStr">
        <is>
          <t>PASS</t>
        </is>
      </c>
      <c r="C6" s="70" t="inlineStr">
        <is>
          <t>Literal-only parser rejects code, names, arithmetic, starred or keyword arguments, non-finite numbers, more than 20 inputs, and inputs over 2000 characters</t>
        </is>
      </c>
      <c r="D6" s="70" t="inlineStr">
        <is>
          <t>Execution still bounded by the existing sandbox limits</t>
        </is>
      </c>
      <c r="E6" s="70" t="n"/>
    </row>
    <row r="7">
      <c r="A7" s="70" t="inlineStr">
        <is>
          <t>No persistence from playground</t>
        </is>
      </c>
      <c r="B7" s="70" t="inlineStr">
        <is>
          <t>PASS</t>
        </is>
      </c>
      <c r="C7" s="70" t="inlineStr">
        <is>
          <t>API test for persistent and demo students: submission, hint, study-session, audit, learning-event, and activity row counts unchanged</t>
        </is>
      </c>
      <c r="D7" s="70" t="inlineStr">
        <is>
          <t>Automated check</t>
        </is>
      </c>
      <c r="E7" s="70" t="n"/>
    </row>
    <row r="8">
      <c r="A8" s="70" t="inlineStr">
        <is>
          <t>Authorization and errors</t>
        </is>
      </c>
      <c r="B8" s="70" t="inlineStr">
        <is>
          <t>PASS</t>
        </is>
      </c>
      <c r="C8" s="70" t="inlineStr">
        <is>
          <t>Unauthenticated 401; ROS assignment 422; blank code 400; oversized code 413; invalid inputs 422 with student-readable message</t>
        </is>
      </c>
      <c r="D8" s="70" t="inlineStr">
        <is>
          <t>Automated check</t>
        </is>
      </c>
      <c r="E8" s="70" t="n"/>
    </row>
    <row r="9">
      <c r="A9" s="70" t="inlineStr">
        <is>
          <t>Flutter gate</t>
        </is>
      </c>
      <c r="B9" s="70" t="inlineStr">
        <is>
          <t>PASS</t>
        </is>
      </c>
      <c r="C9" s="70" t="inlineStr">
        <is>
          <t>flutter analyze clean; 115 tests passed (11 new); release web build succeeded</t>
        </is>
      </c>
      <c r="D9" s="70" t="inlineStr">
        <is>
          <t>OneDrive-safe copy under LocalAppData</t>
        </is>
      </c>
      <c r="E9" s="70" t="n"/>
    </row>
    <row r="10">
      <c r="A10" s="70" t="inlineStr">
        <is>
          <t>Browser flows</t>
        </is>
      </c>
      <c r="B10" s="70" t="inlineStr">
        <is>
          <t>PASS</t>
        </is>
      </c>
      <c r="C10" s="70" t="inlineStr">
        <is>
          <t>Playwright in Chrome: existing demo flow plus new flow (Try inputs on Assignment 1, labelled values, printed output, graded cards show points and failure guidance): 2 passed, instructor flow skipped</t>
        </is>
      </c>
      <c r="D10" s="70" t="inlineStr">
        <is>
          <t>Local stack with ENVIRONMENT=testing and throwaway SQLite; Neon staging not used</t>
        </is>
      </c>
      <c r="E10" s="70" t="inlineStr">
        <is>
          <t>Run instructor flow with E2E credentials when convenient</t>
        </is>
      </c>
    </row>
    <row r="11">
      <c r="A11" s="70" t="inlineStr">
        <is>
          <t>Desktop and phone layout</t>
        </is>
      </c>
      <c r="B11" s="70" t="inlineStr">
        <is>
          <t>PASS</t>
        </is>
      </c>
      <c r="C11" s="70" t="inlineStr">
        <is>
          <t>Screenshots at 1280px, 390px, and 360px: dialog, results cards, and compact phone toolbar button fit without overflow</t>
        </is>
      </c>
      <c r="D11" s="70" t="inlineStr">
        <is>
          <t>Visual review by the developer; no physical device</t>
        </is>
      </c>
      <c r="E11" s="70" t="n"/>
    </row>
    <row r="12">
      <c r="A12" s="70" t="inlineStr">
        <is>
          <t>Assignments 3 and 4 live playground</t>
        </is>
      </c>
      <c r="B12" s="70" t="inlineStr">
        <is>
          <t>PASS</t>
        </is>
      </c>
      <c r="C12" s="70" t="inlineStr">
        <is>
          <t>Demo session calls with waypoint lists and an integer-keyed sensor dict returned 8/8 and 5/5 labelled values, graded false</t>
        </is>
      </c>
      <c r="D12" s="70" t="inlineStr">
        <is>
          <t>Starter code only</t>
        </is>
      </c>
      <c r="E12" s="70" t="n"/>
    </row>
    <row r="13">
      <c r="A13" s="70" t="inlineStr">
        <is>
          <t>Windows verify-local.ps1 and Neon staging</t>
        </is>
      </c>
      <c r="B13" s="70" t="inlineStr">
        <is>
          <t>NOT RUN</t>
        </is>
      </c>
      <c r="C13" s="70" t="inlineStr">
        <is>
          <t>Launcher requires the canonical checkout's private .env and environment; the worktree was verified with CI settings instead</t>
        </is>
      </c>
      <c r="D13" s="70" t="inlineStr">
        <is>
          <t>No schema or seed change in this commit</t>
        </is>
      </c>
      <c r="E13" s="70" t="inlineStr">
        <is>
          <t>Owner: run verify-local.ps1 in the canonical checkout</t>
        </is>
      </c>
    </row>
    <row r="14">
      <c r="A14" s="70" t="inlineStr">
        <is>
          <t>Production deployment</t>
        </is>
      </c>
      <c r="B14" s="70" t="inlineStr">
        <is>
          <t>NOT RUN</t>
        </is>
      </c>
      <c r="C14" s="70" t="inlineStr">
        <is>
          <t>No production change</t>
        </is>
      </c>
      <c r="D14" s="70" t="inlineStr">
        <is>
          <t>Not authorized</t>
        </is>
      </c>
      <c r="E14" s="70"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v6.3-playground: Try inputs diagrams and example inputs QA</t>
        </is>
      </c>
      <c r="B1" s="68" t="inlineStr">
        <is>
          <t>2026-10-05</t>
        </is>
      </c>
      <c r="C1" s="68" t="inlineStr">
        <is>
          <t>Staging only; code commit 99f4360</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Design decision</t>
        </is>
      </c>
      <c r="B3" s="70" t="inlineStr">
        <is>
          <t>PASS</t>
        </is>
      </c>
      <c r="C3" s="70" t="inlineStr">
        <is>
          <t>Fable 5.1 consulted: static 2D diagram (Level 1) chosen over a time-step simulator because a simulator would compute answers; example inputs taken from the instructions' public example call</t>
        </is>
      </c>
      <c r="D3" s="70" t="inlineStr">
        <is>
          <t>Design review; no runtime effect</t>
        </is>
      </c>
      <c r="E3" s="70" t="n"/>
    </row>
    <row r="4">
      <c r="A4" s="70" t="inlineStr">
        <is>
          <t>Backend suite</t>
        </is>
      </c>
      <c r="B4" s="70" t="inlineStr">
        <is>
          <t>PASS</t>
        </is>
      </c>
      <c r="C4" s="70" t="inlineStr">
        <is>
          <t>pytest with ENVIRONMENT=testing and SQLite (CI settings): 548 passed; compileall and pip check clean</t>
        </is>
      </c>
      <c r="D4" s="70" t="inlineStr">
        <is>
          <t>Run on the rebased commit with no other load on the machine</t>
        </is>
      </c>
      <c r="E4" s="70" t="n"/>
    </row>
    <row r="5">
      <c r="A5" s="70" t="inlineStr">
        <is>
          <t>Diagram contract</t>
        </is>
      </c>
      <c r="B5" s="70" t="inlineStr">
        <is>
          <t>PASS</t>
        </is>
      </c>
      <c r="C5" s="70" t="inlineStr">
        <is>
          <t>SimulationConfig.diagram and playground.sample_arguments validated (index-only references, unknown points, star misuse, ray sources, checks, extra fields, unparseable samples rejected); assignments 5 and 6 keep their stored shape</t>
        </is>
      </c>
      <c r="D5" s="70" t="inlineStr">
        <is>
          <t>Automated</t>
        </is>
      </c>
      <c r="E5" s="70" t="n"/>
    </row>
    <row r="6">
      <c r="A6" s="70" t="inlineStr">
        <is>
          <t>No answer leakage</t>
        </is>
      </c>
      <c r="B6" s="70" t="inlineStr">
        <is>
          <t>PASS</t>
        </is>
      </c>
      <c r="C6" s="70" t="inlineStr">
        <is>
          <t>Diagram configs contain only argument and value indices; no grading case values; app never computes distances, densities, or optimal angles; hints compare only the student's own returned values</t>
        </is>
      </c>
      <c r="D6" s="70" t="inlineStr">
        <is>
          <t>Automated plus code review</t>
        </is>
      </c>
      <c r="E6" s="70" t="n"/>
    </row>
    <row r="7">
      <c r="A7" s="70" t="inlineStr">
        <is>
          <t>Example inputs</t>
        </is>
      </c>
      <c r="B7" s="70" t="inlineStr">
        <is>
          <t>PASS</t>
        </is>
      </c>
      <c r="C7" s="70" t="inlineStr">
        <is>
          <t>Each A1-A4 sample parses, matches the function's parameter count, and runs on starter code with the expected return count; empty box prefills; Use example inputs restores after edits</t>
        </is>
      </c>
      <c r="D7" s="70" t="inlineStr">
        <is>
          <t>Samples equal the instructions' displayed example inputs</t>
        </is>
      </c>
      <c r="E7" s="70" t="n"/>
    </row>
    <row r="8">
      <c r="A8" s="70" t="inlineStr">
        <is>
          <t>Partial drawing</t>
        </is>
      </c>
      <c r="B8" s="70" t="inlineStr">
        <is>
          <t>PASS</t>
        </is>
      </c>
      <c r="C8" s="70" t="inlineStr">
        <is>
          <t>Owner-reported input (0,0), 2, 3, (4,5), (10,5) now draws S, L, G and the L to G path and names hit and corner as not drawn; paths with a missing point are left out</t>
        </is>
      </c>
      <c r="D8" s="70" t="inlineStr">
        <is>
          <t>Automated and browser screenshot</t>
        </is>
      </c>
      <c r="E8" s="70" t="n"/>
    </row>
    <row r="9">
      <c r="A9" s="70" t="inlineStr">
        <is>
          <t>Flutter gate</t>
        </is>
      </c>
      <c r="B9" s="70" t="inlineStr">
        <is>
          <t>PASS</t>
        </is>
      </c>
      <c r="C9" s="70" t="inlineStr">
        <is>
          <t>flutter analyze clean; 140 tests passed; release web build succeeded</t>
        </is>
      </c>
      <c r="D9" s="70" t="inlineStr">
        <is>
          <t>OneDrive-safe copy under LocalAppData</t>
        </is>
      </c>
      <c r="E9" s="70" t="n"/>
    </row>
    <row r="10">
      <c r="A10" s="70" t="inlineStr">
        <is>
          <t>Browser flows</t>
        </is>
      </c>
      <c r="B10" s="70" t="inlineStr">
        <is>
          <t>PASS</t>
        </is>
      </c>
      <c r="C10" s="70" t="inlineStr">
        <is>
          <t>Playwright in Chrome: demo grading flow plus Try inputs flow (one-click example run, diagram image with screen-reader name, graded failure guidance): 2 passed, instructor flow skipped</t>
        </is>
      </c>
      <c r="D10" s="70" t="inlineStr">
        <is>
          <t>Local stack with ENVIRONMENT=testing and throwaway SQLite; Neon staging not used</t>
        </is>
      </c>
      <c r="E10" s="70" t="inlineStr">
        <is>
          <t>Run instructor flow with E2E credentials</t>
        </is>
      </c>
    </row>
    <row r="11">
      <c r="A11" s="70" t="inlineStr">
        <is>
          <t>Desktop and phone visuals</t>
        </is>
      </c>
      <c r="B11" s="70" t="inlineStr">
        <is>
          <t>PASS</t>
        </is>
      </c>
      <c r="C11" s="70" t="inlineStr">
        <is>
          <t>Screenshots of A1-A4 diagrams at 1280px and A3/A4 at 360px using maintained answers read locally: to scale, legend, rounded map labels, no overflow</t>
        </is>
      </c>
      <c r="D11" s="70" t="inlineStr">
        <is>
          <t>Visual review by the developer; no physical device</t>
        </is>
      </c>
      <c r="E11" s="70" t="n"/>
    </row>
    <row r="12">
      <c r="A12" s="70" t="inlineStr">
        <is>
          <t>Assignment versions</t>
        </is>
      </c>
      <c r="B12" s="70" t="inlineStr">
        <is>
          <t>PASS</t>
        </is>
      </c>
      <c r="C12" s="70" t="inlineStr">
        <is>
          <t>A1-A4 at 11, 11, 12, 11 with matching AI evaluation cases; A5-A6 unchanged at 8, 8</t>
        </is>
      </c>
      <c r="D12" s="70" t="inlineStr">
        <is>
          <t>Older-version drafts no longer load by design</t>
        </is>
      </c>
      <c r="E12" s="70" t="inlineStr">
        <is>
          <t>Tell students to copy unfinished work before this reaches a class</t>
        </is>
      </c>
    </row>
    <row r="13">
      <c r="A13" s="70" t="inlineStr">
        <is>
          <t>Windows verify-local.ps1 and Neon staging</t>
        </is>
      </c>
      <c r="B13" s="70" t="inlineStr">
        <is>
          <t>NOT RUN</t>
        </is>
      </c>
      <c r="C13" s="70" t="inlineStr">
        <is>
          <t>Launcher needs the canonical checkout's private .env; worktree verified with CI settings instead</t>
        </is>
      </c>
      <c r="D13" s="70" t="inlineStr">
        <is>
          <t>No database schema change</t>
        </is>
      </c>
      <c r="E13" s="70" t="inlineStr">
        <is>
          <t>Owner: run verify-local.ps1 in the canonical checkout</t>
        </is>
      </c>
    </row>
    <row r="14">
      <c r="A14" s="70" t="inlineStr">
        <is>
          <t>Production deployment</t>
        </is>
      </c>
      <c r="B14" s="70" t="inlineStr">
        <is>
          <t>NOT RUN</t>
        </is>
      </c>
      <c r="C14" s="70" t="inlineStr">
        <is>
          <t>No production change</t>
        </is>
      </c>
      <c r="D14" s="70" t="inlineStr">
        <is>
          <t>Not authorized</t>
        </is>
      </c>
      <c r="E14" s="70"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v6.4-playground: labelled field per input QA</t>
        </is>
      </c>
      <c r="B1" s="68" t="inlineStr">
        <is>
          <t>2026-10-05</t>
        </is>
      </c>
      <c r="C1" s="68" t="inlineStr">
        <is>
          <t>Staging only; code commit dcccba6</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Design decision</t>
        </is>
      </c>
      <c r="B3" s="70" t="inlineStr">
        <is>
          <t>PASS</t>
        </is>
      </c>
      <c r="C3" s="70" t="inlineStr">
        <is>
          <t>Fable 5.1 chose one labelled field per parameter (Option B) with an Edit as one line toggle; learning aid, not an assessment shortcut, because hints compare only the student's own values; research logging and predict-before-run deferred to a reviewed release</t>
        </is>
      </c>
      <c r="D3" s="70" t="inlineStr">
        <is>
          <t>Design review</t>
        </is>
      </c>
      <c r="E3" s="70" t="inlineStr">
        <is>
          <t>Phase 3: playground_run event, prediction box</t>
        </is>
      </c>
    </row>
    <row r="4">
      <c r="A4" s="70" t="inlineStr">
        <is>
          <t>Backend suite</t>
        </is>
      </c>
      <c r="B4" s="70" t="inlineStr">
        <is>
          <t>PASS</t>
        </is>
      </c>
      <c r="C4" s="70" t="inlineStr">
        <is>
          <t>pytest with ENVIRONMENT=testing and SQLite (CI settings): 563 passed; compileall clean</t>
        </is>
      </c>
      <c r="D4" s="70" t="inlineStr">
        <is>
          <t>Run with no other load on the machine</t>
        </is>
      </c>
      <c r="E4" s="70" t="n"/>
    </row>
    <row r="5">
      <c r="A5" s="70" t="inlineStr">
        <is>
          <t>Parameter contract</t>
        </is>
      </c>
      <c r="B5" s="70" t="inlineStr">
        <is>
          <t>PASS</t>
        </is>
      </c>
      <c r="C5" s="70" t="inlineStr">
        <is>
          <t>PlaygroundParameter validated (kind, name pattern, label, example parsed and kind-checked, unique names, extra fields rejected); v6.3 sample_arguments accepted and dropped; A1-A4 parameter names equal the function signature in order</t>
        </is>
      </c>
      <c r="D5" s="70" t="inlineStr">
        <is>
          <t>Automated</t>
        </is>
      </c>
      <c r="E5" s="70" t="n"/>
    </row>
    <row r="6">
      <c r="A6" s="70" t="inlineStr">
        <is>
          <t>Server kind checks</t>
        </is>
      </c>
      <c r="B6" s="70" t="inlineStr">
        <is>
          <t>PASS</t>
        </is>
      </c>
      <c r="C6" s="70" t="inlineStr">
        <is>
          <t>point, number, integer, list_of_points, angle_map, and text accept only their shapes; wrong inputs return 400 with details entries carrying parameter_index; count mismatch returns parameter_index null</t>
        </is>
      </c>
      <c r="D6" s="70" t="inlineStr">
        <is>
          <t>Automated</t>
        </is>
      </c>
      <c r="E6" s="70" t="n"/>
    </row>
    <row r="7">
      <c r="A7" s="70" t="inlineStr">
        <is>
          <t>Flutter gate</t>
        </is>
      </c>
      <c r="B7" s="70" t="inlineStr">
        <is>
          <t>PASS</t>
        </is>
      </c>
      <c r="C7" s="70" t="inlineStr">
        <is>
          <t>flutter analyze clean; 154 tests passed (labelled fields, per-field errors, empty-field check, one-line round trip, example restore, groups at 360px, hints switch); release web build succeeded</t>
        </is>
      </c>
      <c r="D7" s="70" t="inlineStr">
        <is>
          <t>OneDrive-safe copy under LocalAppData</t>
        </is>
      </c>
      <c r="E7" s="70" t="n"/>
    </row>
    <row r="8">
      <c r="A8" s="70" t="inlineStr">
        <is>
          <t>Browser flows</t>
        </is>
      </c>
      <c r="B8" s="70" t="inlineStr">
        <is>
          <t>PASS</t>
        </is>
      </c>
      <c r="C8" s="70" t="inlineStr">
        <is>
          <t>Playwright in Chrome: demo grading flow plus Try inputs flow with labelled fields (Hit point field visible, one-click example run, diagram image): 2 passed, instructor flow skipped</t>
        </is>
      </c>
      <c r="D8" s="70" t="inlineStr">
        <is>
          <t>Local stack with ENVIRONMENT=testing and throwaway SQLite; Neon staging not used</t>
        </is>
      </c>
      <c r="E8" s="70" t="inlineStr">
        <is>
          <t>Run instructor flow with E2E credentials</t>
        </is>
      </c>
    </row>
    <row r="9">
      <c r="A9" s="70" t="inlineStr">
        <is>
          <t>Visual checks</t>
        </is>
      </c>
      <c r="B9" s="70" t="inlineStr">
        <is>
          <t>PASS</t>
        </is>
      </c>
      <c r="C9" s="70" t="inlineStr">
        <is>
          <t>Screenshots: A1 labelled fields at 1280px; owner's earlier input shows red messages on exactly Hit point and Corner; A3 at 360px with Robot, Elevators, Map headings and no overflow</t>
        </is>
      </c>
      <c r="D9" s="70" t="inlineStr">
        <is>
          <t>Visual review by the developer; no physical device</t>
        </is>
      </c>
      <c r="E9" s="70" t="n"/>
    </row>
    <row r="10">
      <c r="A10" s="70" t="inlineStr">
        <is>
          <t>Assignment versions</t>
        </is>
      </c>
      <c r="B10" s="70" t="inlineStr">
        <is>
          <t>PASS</t>
        </is>
      </c>
      <c r="C10" s="70" t="inlineStr">
        <is>
          <t>A1-A4 at 12, 12, 13, 12 with matching AI evaluation cases; A5-A6 unchanged at 8, 8</t>
        </is>
      </c>
      <c r="D10" s="70" t="inlineStr">
        <is>
          <t>Older-version drafts no longer load by design</t>
        </is>
      </c>
      <c r="E10" s="70" t="n"/>
    </row>
    <row r="11">
      <c r="A11" s="70" t="inlineStr">
        <is>
          <t>Windows verify-local.ps1 and Neon staging</t>
        </is>
      </c>
      <c r="B11" s="70" t="inlineStr">
        <is>
          <t>NOT RUN</t>
        </is>
      </c>
      <c r="C11" s="70" t="inlineStr">
        <is>
          <t>Launcher needs the canonical checkout's private .env; worktree verified with CI settings instead</t>
        </is>
      </c>
      <c r="D11" s="70" t="inlineStr">
        <is>
          <t>No database schema change</t>
        </is>
      </c>
      <c r="E11" s="70" t="inlineStr">
        <is>
          <t>Owner: run verify-local.ps1 in the canonical checkout</t>
        </is>
      </c>
    </row>
    <row r="12">
      <c r="A12" s="70" t="inlineStr">
        <is>
          <t>Production deployment</t>
        </is>
      </c>
      <c r="B12" s="70" t="inlineStr">
        <is>
          <t>NOT RUN</t>
        </is>
      </c>
      <c r="C12" s="70" t="inlineStr">
        <is>
          <t>No production change</t>
        </is>
      </c>
      <c r="D12" s="70" t="inlineStr">
        <is>
          <t>Not authorized</t>
        </is>
      </c>
      <c r="E12" s="70"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v6.5-playground: presets, run history, instant checks QA</t>
        </is>
      </c>
      <c r="B1" s="68" t="inlineStr">
        <is>
          <t>2026-10-05</t>
        </is>
      </c>
      <c r="C1" s="68" t="inlineStr">
        <is>
          <t>Staging only; code commit e805d46</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Design decision</t>
        </is>
      </c>
      <c r="B3" s="70" t="inlineStr">
        <is>
          <t>PASS</t>
        </is>
      </c>
      <c r="C3" s="70" t="inlineStr">
        <is>
          <t>Fable 5.1 selected scenario presets, run history, advisory client kind checks, and Ctrl+Enter; research logging and predict-before-run deferred again; focus linking and point labels excluded</t>
        </is>
      </c>
      <c r="D3" s="70" t="inlineStr">
        <is>
          <t>Design review</t>
        </is>
      </c>
      <c r="E3" s="70" t="inlineStr">
        <is>
          <t>Phase 3 in its own reviewed release</t>
        </is>
      </c>
    </row>
    <row r="4">
      <c r="A4" s="70" t="inlineStr">
        <is>
          <t>Backend suite</t>
        </is>
      </c>
      <c r="B4" s="70" t="inlineStr">
        <is>
          <t>PASS</t>
        </is>
      </c>
      <c r="C4" s="70" t="inlineStr">
        <is>
          <t>pytest with ENVIRONMENT=testing and SQLite (CI settings): 579 passed; compileall clean</t>
        </is>
      </c>
      <c r="D4" s="70" t="inlineStr">
        <is>
          <t>Run with no other load on the machine</t>
        </is>
      </c>
      <c r="E4" s="70" t="n"/>
    </row>
    <row r="5">
      <c r="A5" s="70" t="inlineStr">
        <is>
          <t>Scenario contract</t>
        </is>
      </c>
      <c r="B5" s="70" t="inlineStr">
        <is>
          <t>PASS</t>
        </is>
      </c>
      <c r="C5" s="70" t="inlineStr">
        <is>
          <t>Scenarios need exactly one valid value per parameter; missing or extra parameters, wrong kinds, unparseable values, extra keys such as expected, bad ids, duplicates, and more than 8 rejected</t>
        </is>
      </c>
      <c r="D5" s="70" t="inlineStr">
        <is>
          <t>Automated</t>
        </is>
      </c>
      <c r="E5" s="70" t="n"/>
    </row>
    <row r="6">
      <c r="A6" s="70" t="inlineStr">
        <is>
          <t>Presets are safe and runnable</t>
        </is>
      </c>
      <c r="B6" s="70" t="inlineStr">
        <is>
          <t>PASS</t>
        </is>
      </c>
      <c r="C6" s="70" t="inlineStr">
        <is>
          <t>Every A1-A4 preset runs on the starter code and the maintained answer with the expected return count; preset labels and descriptions quote no grading value</t>
        </is>
      </c>
      <c r="D6" s="70" t="inlineStr">
        <is>
          <t>Maintained answers read only inside tests</t>
        </is>
      </c>
      <c r="E6" s="70" t="n"/>
    </row>
    <row r="7">
      <c r="A7" s="70" t="inlineStr">
        <is>
          <t>Flutter gate</t>
        </is>
      </c>
      <c r="B7" s="70" t="inlineStr">
        <is>
          <t>PASS</t>
        </is>
      </c>
      <c r="C7" s="70" t="inlineStr">
        <is>
          <t>flutter analyze clean; 166 tests passed (kind check table mirroring server rules, preset dropdown, Custom switching, example button fallback, server answer replacing instant check, three-run history with highlight and eviction, reopen history, Ctrl+Enter, 360px fit); release web build succeeded</t>
        </is>
      </c>
      <c r="D7" s="70" t="inlineStr">
        <is>
          <t>OneDrive-safe copy under LocalAppData</t>
        </is>
      </c>
      <c r="E7" s="70" t="n"/>
    </row>
    <row r="8">
      <c r="A8" s="70" t="inlineStr">
        <is>
          <t>Browser flows</t>
        </is>
      </c>
      <c r="B8" s="70" t="inlineStr">
        <is>
          <t>PASS</t>
        </is>
      </c>
      <c r="C8" s="70" t="inlineStr">
        <is>
          <t>Playwright in Chrome: demo grading flow plus Try inputs flow (labelled fields, example run, diagram, preset Hit right after start, run comparison table): 2 passed, instructor flow skipped</t>
        </is>
      </c>
      <c r="D8" s="70" t="inlineStr">
        <is>
          <t>Local stack with ENVIRONMENT=testing and throwaway SQLite; Neon staging not used</t>
        </is>
      </c>
      <c r="E8" s="70" t="inlineStr">
        <is>
          <t>Run instructor flow with E2E credentials</t>
        </is>
      </c>
    </row>
    <row r="9">
      <c r="A9" s="70" t="inlineStr">
        <is>
          <t>Visual checks</t>
        </is>
      </c>
      <c r="B9" s="70" t="inlineStr">
        <is>
          <t>PASS</t>
        </is>
      </c>
      <c r="C9" s="70" t="inlineStr">
        <is>
          <t>Screenshots at 1280px: preset with guiding prompt, instant kind warning with Custom selection, comparison table with the changed Hit point highlighted; 360px preset view (helper text wrap fixed after review)</t>
        </is>
      </c>
      <c r="D9" s="70" t="inlineStr">
        <is>
          <t>Visual review by the developer; no physical device</t>
        </is>
      </c>
      <c r="E9" s="70" t="n"/>
    </row>
    <row r="10">
      <c r="A10" s="70" t="inlineStr">
        <is>
          <t>Assignment versions</t>
        </is>
      </c>
      <c r="B10" s="70" t="inlineStr">
        <is>
          <t>PASS</t>
        </is>
      </c>
      <c r="C10" s="70" t="inlineStr">
        <is>
          <t>A1-A4 at 13, 13, 14, 13 with matching AI evaluation cases; A5-A6 unchanged at 8, 8</t>
        </is>
      </c>
      <c r="D10" s="70" t="inlineStr">
        <is>
          <t>Older-version drafts no longer load by design</t>
        </is>
      </c>
      <c r="E10" s="70" t="n"/>
    </row>
    <row r="11">
      <c r="A11" s="70" t="inlineStr">
        <is>
          <t>Windows verify-local.ps1 and Neon staging</t>
        </is>
      </c>
      <c r="B11" s="70" t="inlineStr">
        <is>
          <t>NOT RUN</t>
        </is>
      </c>
      <c r="C11" s="70" t="inlineStr">
        <is>
          <t>Launcher needs the canonical checkout's private .env; worktree verified with CI settings instead</t>
        </is>
      </c>
      <c r="D11" s="70" t="inlineStr">
        <is>
          <t>No database schema change</t>
        </is>
      </c>
      <c r="E11" s="70" t="inlineStr">
        <is>
          <t>Owner: run verify-local.ps1 in the canonical checkout</t>
        </is>
      </c>
    </row>
    <row r="12">
      <c r="A12" s="70" t="inlineStr">
        <is>
          <t>Production deployment</t>
        </is>
      </c>
      <c r="B12" s="70" t="inlineStr">
        <is>
          <t>NOT RUN</t>
        </is>
      </c>
      <c r="C12" s="70" t="inlineStr">
        <is>
          <t>No production change</t>
        </is>
      </c>
      <c r="D12" s="70" t="inlineStr">
        <is>
          <t>Not authorized</t>
        </is>
      </c>
      <c r="E12" s="70"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Student draft persistence QA</t>
        </is>
      </c>
      <c r="B1" s="68" t="inlineStr">
        <is>
          <t>2026-10-05</t>
        </is>
      </c>
      <c r="C1" s="68" t="inlineStr">
        <is>
          <t>Staging only; code commit b9b4906</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Back home and reopen</t>
        </is>
      </c>
      <c r="B3" s="70" t="inlineStr">
        <is>
          <t>PASS</t>
        </is>
      </c>
      <c r="C3" s="70" t="inlineStr">
        <is>
          <t>Persistent student typed a unique marker, went back home, reopened Assignment 1: same code</t>
        </is>
      </c>
      <c r="D3" s="70" t="inlineStr">
        <is>
          <t>Playwright in Chrome; throwaway SQLite stack</t>
        </is>
      </c>
      <c r="E3" s="70" t="n"/>
    </row>
    <row r="4">
      <c r="A4" s="70" t="inlineStr">
        <is>
          <t>Browser refresh</t>
        </is>
      </c>
      <c r="B4" s="70" t="inlineStr">
        <is>
          <t>PASS</t>
        </is>
      </c>
      <c r="C4" s="70" t="inlineStr">
        <is>
          <t>Refresh inside /app kept the session; reopening showed the same code</t>
        </is>
      </c>
      <c r="D4" s="70" t="inlineStr">
        <is>
          <t>Opening the front address still asks to sign in by design</t>
        </is>
      </c>
      <c r="E4" s="70" t="n"/>
    </row>
    <row r="5">
      <c r="A5" s="70" t="inlineStr">
        <is>
          <t>Sign out and in</t>
        </is>
      </c>
      <c r="B5" s="70" t="inlineStr">
        <is>
          <t>PASS</t>
        </is>
      </c>
      <c r="C5" s="70" t="inlineStr">
        <is>
          <t>Signed out, signed in again, reopened: same code; sign-out never clears device drafts</t>
        </is>
      </c>
      <c r="D5" s="70" t="inlineStr">
        <is>
          <t>Automated browser test</t>
        </is>
      </c>
      <c r="E5" s="70" t="n"/>
    </row>
    <row r="6">
      <c r="A6" s="70" t="inlineStr">
        <is>
          <t>Another computer</t>
        </is>
      </c>
      <c r="B6" s="70" t="inlineStr">
        <is>
          <t>PASS</t>
        </is>
      </c>
      <c r="C6" s="70" t="inlineStr">
        <is>
          <t>Fresh browser profile with no device copy: home showed Continue assignment, workspace showed In progress, editor showed the server copy</t>
        </is>
      </c>
      <c r="D6" s="70" t="inlineStr">
        <is>
          <t>Automated browser test</t>
        </is>
      </c>
      <c r="E6" s="70" t="n"/>
    </row>
    <row r="7">
      <c r="A7" s="70" t="inlineStr">
        <is>
          <t>Tab closed right after typing</t>
        </is>
      </c>
      <c r="B7" s="70" t="inlineStr">
        <is>
          <t>PASS</t>
        </is>
      </c>
      <c r="C7" s="70" t="inlineStr">
        <is>
          <t>Tab closed before the server save; reopening on the same device restored the device copy</t>
        </is>
      </c>
      <c r="D7" s="70" t="inlineStr">
        <is>
          <t>Automated browser test</t>
        </is>
      </c>
      <c r="E7" s="70" t="n"/>
    </row>
    <row r="8">
      <c r="A8" s="70" t="inlineStr">
        <is>
          <t>Connection lost while typing</t>
        </is>
      </c>
      <c r="B8" s="70" t="inlineStr">
        <is>
          <t>PASS</t>
        </is>
      </c>
      <c r="C8" s="70" t="inlineStr">
        <is>
          <t>Offline edits restored on return and then reached the server, confirmed from a second fresh profile</t>
        </is>
      </c>
      <c r="D8" s="70" t="inlineStr">
        <is>
          <t>Automated browser test</t>
        </is>
      </c>
      <c r="E8" s="70" t="n"/>
    </row>
    <row r="9">
      <c r="A9" s="70" t="inlineStr">
        <is>
          <t>Saved-work status</t>
        </is>
      </c>
      <c r="B9" s="70" t="inlineStr">
        <is>
          <t>PASS</t>
        </is>
      </c>
      <c r="C9" s="70" t="inlineStr">
        <is>
          <t>Fixed: workspace header said Not started despite saved work; list now reports has_saved_draft from one query; demo and other accounts never see it</t>
        </is>
      </c>
      <c r="D9" s="70" t="inlineStr">
        <is>
          <t>Backend and Flutter unit tests</t>
        </is>
      </c>
      <c r="E9" s="70" t="n"/>
    </row>
    <row r="10">
      <c r="A10" s="70" t="inlineStr">
        <is>
          <t>Backend suite</t>
        </is>
      </c>
      <c r="B10" s="70" t="inlineStr">
        <is>
          <t>PASS</t>
        </is>
      </c>
      <c r="C10" s="70" t="inlineStr">
        <is>
          <t>pytest with ENVIRONMENT=testing and SQLite (CI settings): 581 passed; compileall clean</t>
        </is>
      </c>
      <c r="D10" s="70" t="inlineStr">
        <is>
          <t>Run with no other load on the machine</t>
        </is>
      </c>
      <c r="E10" s="70" t="n"/>
    </row>
    <row r="11">
      <c r="A11" s="70" t="inlineStr">
        <is>
          <t>Flutter gate</t>
        </is>
      </c>
      <c r="B11" s="70" t="inlineStr">
        <is>
          <t>PASS</t>
        </is>
      </c>
      <c r="C11" s="70" t="inlineStr">
        <is>
          <t>flutter analyze clean; 170 tests passed; release web build succeeded</t>
        </is>
      </c>
      <c r="D11" s="70" t="inlineStr">
        <is>
          <t>OneDrive-safe copy under LocalAppData</t>
        </is>
      </c>
      <c r="E11" s="70" t="n"/>
    </row>
    <row r="12">
      <c r="A12" s="70" t="inlineStr">
        <is>
          <t>Browser flows</t>
        </is>
      </c>
      <c r="B12" s="70" t="inlineStr">
        <is>
          <t>PASS</t>
        </is>
      </c>
      <c r="C12" s="70" t="inlineStr">
        <is>
          <t>5 passed: demo grading, Try inputs, instructor studio, and both persistent-student draft tests</t>
        </is>
      </c>
      <c r="D12" s="70" t="inlineStr">
        <is>
          <t>Student and instructor flows used throwaway test accounts</t>
        </is>
      </c>
      <c r="E12" s="70" t="inlineStr">
        <is>
          <t>Run the student flows with a dedicated test account before the study</t>
        </is>
      </c>
    </row>
    <row r="13">
      <c r="A13" s="70" t="inlineStr">
        <is>
          <t>Assignment versions</t>
        </is>
      </c>
      <c r="B13" s="70" t="inlineStr">
        <is>
          <t>PASS</t>
        </is>
      </c>
      <c r="C13" s="70" t="inlineStr">
        <is>
          <t>No assignment configuration changed; no version bump, so no draft reset</t>
        </is>
      </c>
      <c r="D13" s="70" t="n"/>
      <c r="E13" s="70" t="n"/>
    </row>
    <row r="14">
      <c r="A14" s="70" t="inlineStr">
        <is>
          <t>Windows verify-local.ps1 and Neon staging</t>
        </is>
      </c>
      <c r="B14" s="70" t="inlineStr">
        <is>
          <t>NOT RUN</t>
        </is>
      </c>
      <c r="C14" s="70" t="inlineStr">
        <is>
          <t>Launcher needs the canonical checkout's private .env; worktree verified with CI settings instead</t>
        </is>
      </c>
      <c r="D14" s="70" t="inlineStr">
        <is>
          <t>No database schema change</t>
        </is>
      </c>
      <c r="E14" s="70" t="inlineStr">
        <is>
          <t>Owner: run verify-local.ps1 in the canonical checkout</t>
        </is>
      </c>
    </row>
    <row r="15">
      <c r="A15" s="70" t="inlineStr">
        <is>
          <t>Production deployment</t>
        </is>
      </c>
      <c r="B15" s="70" t="inlineStr">
        <is>
          <t>NOT RUN</t>
        </is>
      </c>
      <c r="C15" s="70" t="inlineStr">
        <is>
          <t>No production change</t>
        </is>
      </c>
      <c r="D15" s="70" t="inlineStr">
        <is>
          <t>Not authorized</t>
        </is>
      </c>
      <c r="E15" s="70"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Terminal under the code editor QA</t>
        </is>
      </c>
      <c r="B1" s="68" t="inlineStr">
        <is>
          <t>2026-10-14</t>
        </is>
      </c>
      <c r="C1" s="68" t="inlineStr">
        <is>
          <t>Staging only; code commit e049187</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Normal run</t>
        </is>
      </c>
      <c r="B3" s="70" t="inlineStr">
        <is>
          <t>PASS</t>
        </is>
      </c>
      <c r="C3" s="70" t="inlineStr">
        <is>
          <t>Terminal shows the command, printed output, and the Tests finished summary (for example 0 of 4 checks passed)</t>
        </is>
      </c>
      <c r="D3" s="70" t="inlineStr">
        <is>
          <t>Playwright in Chrome on the demo; widget tests</t>
        </is>
      </c>
      <c r="E3" s="70" t="n"/>
    </row>
    <row r="4">
      <c r="A4" s="70" t="inlineStr">
        <is>
          <t>Run with an error</t>
        </is>
      </c>
      <c r="B4" s="70" t="inlineStr">
        <is>
          <t>PASS</t>
        </is>
      </c>
      <c r="C4" s="70" t="inlineStr">
        <is>
          <t>Shows output printed before the error, the File/line location, the student's own failing line, the error message, and Tests did not finish</t>
        </is>
      </c>
      <c r="D4" s="70" t="inlineStr">
        <is>
          <t>Location parsed from the existing error text; no backend change</t>
        </is>
      </c>
      <c r="E4" s="70" t="n"/>
    </row>
    <row r="5">
      <c r="A5" s="70" t="inlineStr">
        <is>
          <t>Jump to line</t>
        </is>
      </c>
      <c r="B5" s="70" t="inlineStr">
        <is>
          <t>PASS</t>
        </is>
      </c>
      <c r="C5" s="70" t="inlineStr">
        <is>
          <t>The Go to line button moves the editor cursor to the failing line and is its own screen-reader button</t>
        </is>
      </c>
      <c r="D5" s="70" t="inlineStr">
        <is>
          <t>Browser test clicks it</t>
        </is>
      </c>
      <c r="E5" s="70" t="n"/>
    </row>
    <row r="6">
      <c r="A6" s="70" t="inlineStr">
        <is>
          <t>Accessibility</t>
        </is>
      </c>
      <c r="B6" s="70" t="inlineStr">
        <is>
          <t>PASS</t>
        </is>
      </c>
      <c r="C6" s="70" t="inlineStr">
        <is>
          <t>Terminal lines read as text (a per-line selectable version read as empty boxes and was replaced); header buttons labelled</t>
        </is>
      </c>
      <c r="D6" s="70" t="inlineStr">
        <is>
          <t>Accessibility tree checked; no manual screen-reader pass</t>
        </is>
      </c>
      <c r="E6" s="70" t="inlineStr">
        <is>
          <t>Optional screen-reader review</t>
        </is>
      </c>
    </row>
    <row r="7">
      <c r="A7" s="70" t="inlineStr">
        <is>
          <t>Controls and layout</t>
        </is>
      </c>
      <c r="B7" s="70" t="inlineStr">
        <is>
          <t>PASS</t>
        </is>
      </c>
      <c r="C7" s="70" t="inlineStr">
        <is>
          <t>Collapse, clear, copy, and drag-resize (96 to 480 px) tested; editor monospace font; fits 360 and 390 px phones</t>
        </is>
      </c>
      <c r="D7" s="70" t="inlineStr">
        <is>
          <t>Widget tests and screenshots</t>
        </is>
      </c>
      <c r="E7" s="70" t="n"/>
    </row>
    <row r="8">
      <c r="A8" s="70" t="inlineStr">
        <is>
          <t>Results overlay unchanged</t>
        </is>
      </c>
      <c r="B8" s="70" t="inlineStr">
        <is>
          <t>PASS</t>
        </is>
      </c>
      <c r="C8" s="70" t="inlineStr">
        <is>
          <t>The Results drawer still opens on each run; the terminal adds to it (AGENTS.md records the owner approval)</t>
        </is>
      </c>
      <c r="D8" s="70" t="n"/>
      <c r="E8" s="70" t="n"/>
    </row>
    <row r="9">
      <c r="A9" s="70" t="inlineStr">
        <is>
          <t>Flutter gate</t>
        </is>
      </c>
      <c r="B9" s="70" t="inlineStr">
        <is>
          <t>PASS</t>
        </is>
      </c>
      <c r="C9" s="70" t="inlineStr">
        <is>
          <t>flutter analyze clean; 190 tests passed (13 new); release web build succeeded</t>
        </is>
      </c>
      <c r="D9" s="70" t="inlineStr">
        <is>
          <t>OneDrive-safe copy under LocalAppData</t>
        </is>
      </c>
      <c r="E9" s="70" t="n"/>
    </row>
    <row r="10">
      <c r="A10" s="70" t="inlineStr">
        <is>
          <t>Browser flows</t>
        </is>
      </c>
      <c r="B10" s="70" t="inlineStr">
        <is>
          <t>PASS</t>
        </is>
      </c>
      <c r="C10" s="70" t="inlineStr">
        <is>
          <t>6 of 6 passed three runs in a row: demo grading, Try inputs, instructor studio, two persistent-student draft checks, terminal</t>
        </is>
      </c>
      <c r="D10" s="70" t="inlineStr">
        <is>
          <t>Throwaway SQLite stack with test accounts</t>
        </is>
      </c>
      <c r="E10" s="70" t="n"/>
    </row>
    <row r="11">
      <c r="A11" s="70" t="inlineStr">
        <is>
          <t>Draft browser checks hardened</t>
        </is>
      </c>
      <c r="B11" s="70" t="inlineStr">
        <is>
          <t>PASS</t>
        </is>
      </c>
      <c r="C11" s="70" t="inlineStr">
        <is>
          <t>Typing is confirmed through the browser draft copy with retries, and the closed-tab case blocks the server save; on staging main without this change these checks failed intermittently</t>
        </is>
      </c>
      <c r="D11" s="70" t="inlineStr">
        <is>
          <t>Synthetic keystrokes were sometimes dropped before Flutter focus; app saving verified separately</t>
        </is>
      </c>
      <c r="E11" s="70" t="n"/>
    </row>
    <row r="12">
      <c r="A12" s="70" t="inlineStr">
        <is>
          <t>Backend suite</t>
        </is>
      </c>
      <c r="B12" s="70" t="inlineStr">
        <is>
          <t>NOT RUN</t>
        </is>
      </c>
      <c r="C12" s="70" t="inlineStr">
        <is>
          <t>No backend file changed in this commit</t>
        </is>
      </c>
      <c r="D12" s="70" t="inlineStr">
        <is>
          <t>Last full run: 581 passed on f63a874c</t>
        </is>
      </c>
      <c r="E12" s="70" t="n"/>
    </row>
    <row r="13">
      <c r="A13" s="70" t="inlineStr">
        <is>
          <t>Windows verify-local.ps1 and Neon staging</t>
        </is>
      </c>
      <c r="B13" s="70" t="inlineStr">
        <is>
          <t>NOT RUN</t>
        </is>
      </c>
      <c r="C13" s="70" t="inlineStr">
        <is>
          <t>The launcher needs the canonical checkout's private .env; the worktree was verified with CI settings instead</t>
        </is>
      </c>
      <c r="D13" s="70" t="n"/>
      <c r="E13" s="70" t="inlineStr">
        <is>
          <t>Owner: run verify-local.ps1 in the canonical checkout</t>
        </is>
      </c>
    </row>
    <row r="14">
      <c r="A14" s="70" t="inlineStr">
        <is>
          <t>Production deployment</t>
        </is>
      </c>
      <c r="B14" s="70" t="inlineStr">
        <is>
          <t>NOT RUN</t>
        </is>
      </c>
      <c r="C14" s="70" t="inlineStr">
        <is>
          <t>No production change</t>
        </is>
      </c>
      <c r="D14" s="70" t="inlineStr">
        <is>
          <t>Not authorized</t>
        </is>
      </c>
      <c r="E14" s="70"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VS Code style terminal follow-up QA</t>
        </is>
      </c>
      <c r="B1" s="68" t="inlineStr">
        <is>
          <t>2026-10-14</t>
        </is>
      </c>
      <c r="C1" s="68" t="inlineStr">
        <is>
          <t>Staging only; code commit 7be6a23</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Python traceback</t>
        </is>
      </c>
      <c r="B3" s="70" t="inlineStr">
        <is>
          <t>PASS</t>
        </is>
      </c>
      <c r="C3" s="70" t="inlineStr">
        <is>
          <t>Error runs print Traceback (most recent call last) with every student frame, outermost first, each with the student's line and a jump button</t>
        </is>
      </c>
      <c r="D3" s="70" t="inlineStr">
        <is>
          <t>Browser test, widget tests, and screenshots</t>
        </is>
      </c>
      <c r="E3" s="70" t="n"/>
    </row>
    <row r="4">
      <c r="A4" s="70" t="inlineStr">
        <is>
          <t>Frames stay safe</t>
        </is>
      </c>
      <c r="B4" s="70" t="inlineStr">
        <is>
          <t>PASS</t>
        </is>
      </c>
      <c r="C4" s="70" t="inlineStr">
        <is>
          <t>Worker returns only student frames (line and function name, max 20); sanitized in the grader; none for syntax errors, rejected code, or hidden-scenario failures</t>
        </is>
      </c>
      <c r="D4" s="70" t="inlineStr">
        <is>
          <t>Backend tests including a hidden-scenario failure</t>
        </is>
      </c>
      <c r="E4" s="70" t="n"/>
    </row>
    <row r="5">
      <c r="A5" s="70" t="inlineStr">
        <is>
          <t>Research data</t>
        </is>
      </c>
      <c r="B5" s="70" t="inlineStr">
        <is>
          <t>PASS</t>
        </is>
      </c>
      <c r="C5" s="70" t="inlineStr">
        <is>
          <t>evidence.error_frames documented in the data dictionary; research exports read specific fields and never include it</t>
        </is>
      </c>
      <c r="D5" s="70" t="inlineStr">
        <is>
          <t>Code review of export paths</t>
        </is>
      </c>
      <c r="E5" s="70" t="n"/>
    </row>
    <row r="6">
      <c r="A6" s="70" t="inlineStr">
        <is>
          <t>Terminal open by default</t>
        </is>
      </c>
      <c r="B6" s="70" t="inlineStr">
        <is>
          <t>PASS</t>
        </is>
      </c>
      <c r="C6" s="70" t="inlineStr">
        <is>
          <t>The workspace opens with the terminal expanded and a ready message</t>
        </is>
      </c>
      <c r="D6" s="70" t="inlineStr">
        <is>
          <t>Browser test and screenshot</t>
        </is>
      </c>
      <c r="E6" s="70" t="n"/>
    </row>
    <row r="7">
      <c r="A7" s="70" t="inlineStr">
        <is>
          <t>Visible next to Results</t>
        </is>
      </c>
      <c r="B7" s="70" t="inlineStr">
        <is>
          <t>PASS</t>
        </is>
      </c>
      <c r="C7" s="70" t="inlineStr">
        <is>
          <t>Results slide in without dimming the editor; screenshot shows the traceback beside the feedback and hints</t>
        </is>
      </c>
      <c r="D7" s="70" t="inlineStr">
        <is>
          <t>Desktop width</t>
        </is>
      </c>
      <c r="E7" s="70" t="n"/>
    </row>
    <row r="8">
      <c r="A8" s="70" t="inlineStr">
        <is>
          <t>Backend suite</t>
        </is>
      </c>
      <c r="B8" s="70" t="inlineStr">
        <is>
          <t>PASS</t>
        </is>
      </c>
      <c r="C8" s="70" t="inlineStr">
        <is>
          <t>pytest with ENVIRONMENT=testing and SQLite (CI settings): 613 passed; compileall clean</t>
        </is>
      </c>
      <c r="D8" s="70" t="inlineStr">
        <is>
          <t>Run with no other load on the machine</t>
        </is>
      </c>
      <c r="E8" s="70" t="n"/>
    </row>
    <row r="9">
      <c r="A9" s="70" t="inlineStr">
        <is>
          <t>Flutter gate</t>
        </is>
      </c>
      <c r="B9" s="70" t="inlineStr">
        <is>
          <t>PASS</t>
        </is>
      </c>
      <c r="C9" s="70" t="inlineStr">
        <is>
          <t>flutter analyze clean; 193 tests passed; release web build succeeded</t>
        </is>
      </c>
      <c r="D9" s="70" t="inlineStr">
        <is>
          <t>OneDrive-safe copy under LocalAppData</t>
        </is>
      </c>
      <c r="E9" s="70" t="n"/>
    </row>
    <row r="10">
      <c r="A10" s="70" t="inlineStr">
        <is>
          <t>Browser flows</t>
        </is>
      </c>
      <c r="B10" s="70" t="inlineStr">
        <is>
          <t>PASS</t>
        </is>
      </c>
      <c r="C10" s="70" t="inlineStr">
        <is>
          <t>6 of 6 passed three runs in a row</t>
        </is>
      </c>
      <c r="D10" s="70" t="inlineStr">
        <is>
          <t>Throwaway SQLite stack with test accounts</t>
        </is>
      </c>
      <c r="E10" s="70" t="n"/>
    </row>
    <row r="11">
      <c r="A11" s="70" t="inlineStr">
        <is>
          <t>Windows verify-local.ps1 and Neon staging</t>
        </is>
      </c>
      <c r="B11" s="70" t="inlineStr">
        <is>
          <t>NOT RUN</t>
        </is>
      </c>
      <c r="C11" s="70" t="inlineStr">
        <is>
          <t>The launcher needs the canonical checkout's private .env; the worktree was verified with CI settings instead</t>
        </is>
      </c>
      <c r="D11" s="70" t="n"/>
      <c r="E11" s="70" t="inlineStr">
        <is>
          <t>Owner: run verify-local.ps1 in the canonical checkout</t>
        </is>
      </c>
    </row>
    <row r="12">
      <c r="A12" s="70" t="inlineStr">
        <is>
          <t>Production deployment</t>
        </is>
      </c>
      <c r="B12" s="70" t="inlineStr">
        <is>
          <t>NOT RUN</t>
        </is>
      </c>
      <c r="C12" s="70" t="inlineStr">
        <is>
          <t>No production change</t>
        </is>
      </c>
      <c r="D12" s="70" t="inlineStr">
        <is>
          <t>Not authorized</t>
        </is>
      </c>
      <c r="E12" s="70"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Terminal traceback for grading calls and ROS QA</t>
        </is>
      </c>
      <c r="B1" s="68" t="inlineStr">
        <is>
          <t>2026-10-14</t>
        </is>
      </c>
      <c r="C1" s="68" t="inlineStr">
        <is>
          <t>Staging only; code commit 61f1c7c8</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Crash inside a grading call (A1 to A4)</t>
        </is>
      </c>
      <c r="B3" s="70" t="inlineStr">
        <is>
          <t>PASS</t>
        </is>
      </c>
      <c r="C3" s="70" t="inlineStr">
        <is>
          <t>A bug only a grading test reaches now prints Traceback with the student's own frames, their failing line, and NameError: name 'missing_name' is not defined; the line opens in the editor</t>
        </is>
      </c>
      <c r="D3" s="70" t="inlineStr">
        <is>
          <t>Browser test on Assignment 1 and screenshot; widget tests</t>
        </is>
      </c>
      <c r="E3" s="70" t="n"/>
    </row>
    <row r="4">
      <c r="A4" s="70" t="inlineStr">
        <is>
          <t>Hidden inputs stay hidden</t>
        </is>
      </c>
      <c r="B4" s="70" t="inlineStr">
        <is>
          <t>PASS</t>
        </is>
      </c>
      <c r="C4" s="70" t="inlineStr">
        <is>
          <t>The grader's call line is dropped; messages are kept only for NameError/UnboundLocalError naming an identifier the student wrote and fixed ZeroDivisionError/RecursionError text; a KeyError echoing an input shows only its class</t>
        </is>
      </c>
      <c r="D4" s="70" t="inlineStr">
        <is>
          <t>Backend tests including an input-echo attempt</t>
        </is>
      </c>
      <c r="E4" s="70" t="n"/>
    </row>
    <row r="5">
      <c r="A5" s="70" t="inlineStr">
        <is>
          <t>ROS node error (A5, A6)</t>
        </is>
      </c>
      <c r="B5" s="70" t="inlineStr">
        <is>
          <t>PASS</t>
        </is>
      </c>
      <c r="C5" s="70" t="inlineStr">
        <is>
          <t>The existing ROS error text (controller.py, line N, in name) prints as a Traceback with a clickable controller.py line; command shows python controller.py</t>
        </is>
      </c>
      <c r="D5" s="70" t="inlineStr">
        <is>
          <t>Widget test on the reported text format; frontend only, no image change</t>
        </is>
      </c>
      <c r="E5" s="70" t="inlineStr">
        <is>
          <t>Owner: confirm once on a ROS run with the Docker image</t>
        </is>
      </c>
    </row>
    <row r="6">
      <c r="A6" s="70" t="inlineStr">
        <is>
          <t>Research data</t>
        </is>
      </c>
      <c r="B6" s="70" t="inlineStr">
        <is>
          <t>PASS</t>
        </is>
      </c>
      <c r="C6" s="70" t="inlineStr">
        <is>
          <t>Data dictionary updated for grading-call frames and the safe message rule</t>
        </is>
      </c>
      <c r="D6" s="70" t="n"/>
      <c r="E6" s="70" t="n"/>
    </row>
    <row r="7">
      <c r="A7" s="70" t="inlineStr">
        <is>
          <t>Backend suite</t>
        </is>
      </c>
      <c r="B7" s="70" t="inlineStr">
        <is>
          <t>PASS</t>
        </is>
      </c>
      <c r="C7" s="70" t="inlineStr">
        <is>
          <t>pytest with ENVIRONMENT=testing and SQLite (CI settings): 617 passed</t>
        </is>
      </c>
      <c r="D7" s="70" t="n"/>
      <c r="E7" s="70" t="n"/>
    </row>
    <row r="8">
      <c r="A8" s="70" t="inlineStr">
        <is>
          <t>Flutter gate</t>
        </is>
      </c>
      <c r="B8" s="70" t="inlineStr">
        <is>
          <t>PASS</t>
        </is>
      </c>
      <c r="C8" s="70" t="inlineStr">
        <is>
          <t>flutter analyze clean; 196 tests passed; release web build succeeded</t>
        </is>
      </c>
      <c r="D8" s="70" t="inlineStr">
        <is>
          <t>OneDrive-safe copy under LocalAppData</t>
        </is>
      </c>
      <c r="E8" s="70" t="n"/>
    </row>
    <row r="9">
      <c r="A9" s="70" t="inlineStr">
        <is>
          <t>Browser flows</t>
        </is>
      </c>
      <c r="B9" s="70" t="inlineStr">
        <is>
          <t>PASS</t>
        </is>
      </c>
      <c r="C9" s="70" t="inlineStr">
        <is>
          <t>6 of 6 passed, including the new grading-call traceback step</t>
        </is>
      </c>
      <c r="D9" s="70" t="inlineStr">
        <is>
          <t>Throwaway SQLite stack with test accounts</t>
        </is>
      </c>
      <c r="E9" s="70" t="n"/>
    </row>
    <row r="10">
      <c r="A10" s="70" t="inlineStr">
        <is>
          <t>ROS end to end in Docker</t>
        </is>
      </c>
      <c r="B10" s="70" t="inlineStr">
        <is>
          <t>NOT RUN</t>
        </is>
      </c>
      <c r="C10" s="70" t="inlineStr">
        <is>
          <t>The ROS image was not rebuilt or run; the backend text it produces is unchanged</t>
        </is>
      </c>
      <c r="D10" s="70" t="n"/>
      <c r="E10" s="70" t="inlineStr">
        <is>
          <t>Owner: optional ROS run</t>
        </is>
      </c>
    </row>
    <row r="11">
      <c r="A11" s="70" t="inlineStr">
        <is>
          <t>Windows verify-local.ps1 and Neon staging</t>
        </is>
      </c>
      <c r="B11" s="70" t="inlineStr">
        <is>
          <t>NOT RUN</t>
        </is>
      </c>
      <c r="C11" s="70" t="inlineStr">
        <is>
          <t>The launcher needs the canonical checkout's private .env; the worktree was verified with CI settings instead</t>
        </is>
      </c>
      <c r="D11" s="70" t="n"/>
      <c r="E11" s="70" t="inlineStr">
        <is>
          <t>Owner: run verify-local.ps1 in the canonical checkout</t>
        </is>
      </c>
    </row>
    <row r="12">
      <c r="A12" s="70" t="inlineStr">
        <is>
          <t>Production deployment</t>
        </is>
      </c>
      <c r="B12" s="70" t="inlineStr">
        <is>
          <t>NOT RUN</t>
        </is>
      </c>
      <c r="C12" s="70" t="inlineStr">
        <is>
          <t>No production change</t>
        </is>
      </c>
      <c r="D12" s="70" t="inlineStr">
        <is>
          <t>Not authorized</t>
        </is>
      </c>
      <c r="E12" s="70"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Assignments 1-6 review fixes QA</t>
        </is>
      </c>
      <c r="B1" s="68" t="inlineStr">
        <is>
          <t>2026-10-05</t>
        </is>
      </c>
      <c r="C1" s="68" t="inlineStr">
        <is>
          <t>Staging only; code commits e939dc3b and 40de925c</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Backend suite (verify-local)</t>
        </is>
      </c>
      <c r="B3" s="70" t="inlineStr">
        <is>
          <t>PASS</t>
        </is>
      </c>
      <c r="C3" s="70" t="inlineStr">
        <is>
          <t>Canonical checkout at 40de925c: 506 passed; pip check and compileall passed</t>
        </is>
      </c>
      <c r="D3" s="70" t="inlineStr">
        <is>
          <t>Windows; disposable test databases</t>
        </is>
      </c>
      <c r="E3" s="70" t="n"/>
    </row>
    <row r="4">
      <c r="A4" s="70" t="inlineStr">
        <is>
          <t>Flutter gate</t>
        </is>
      </c>
      <c r="B4" s="70" t="inlineStr">
        <is>
          <t>PASS</t>
        </is>
      </c>
      <c r="C4" s="70" t="inlineStr">
        <is>
          <t>flutter analyze clean; 118 tests passed; release web build succeeded</t>
        </is>
      </c>
      <c r="D4" s="70" t="inlineStr">
        <is>
          <t>OneDrive-safe copy under LocalAppData</t>
        </is>
      </c>
      <c r="E4" s="70" t="n"/>
    </row>
    <row r="5">
      <c r="A5" s="70" t="inlineStr">
        <is>
          <t>Release source and fresh-clone checks</t>
        </is>
      </c>
      <c r="B5" s="70" t="inlineStr">
        <is>
          <t>PASS</t>
        </is>
      </c>
      <c r="C5" s="70" t="inlineStr">
        <is>
          <t>check-release.ps1 and fresh-clone completeness (six assignments, solutions, migrations) passed</t>
        </is>
      </c>
      <c r="D5" s="70" t="inlineStr">
        <is>
          <t>Local only</t>
        </is>
      </c>
      <c r="E5" s="70" t="n"/>
    </row>
    <row r="6">
      <c r="A6" s="70" t="inlineStr">
        <is>
          <t>Starters and maintained answers</t>
        </is>
      </c>
      <c r="B6" s="70" t="inlineStr">
        <is>
          <t>PASS</t>
        </is>
      </c>
      <c r="C6" s="70" t="inlineStr">
        <is>
          <t>Python grader probe: starters 0% (A1-A4), answers 100%. Running app as demo: A5 and A6 starters 0% with scaffold-credit explanation</t>
        </is>
      </c>
      <c r="D6" s="70" t="inlineStr">
        <is>
          <t>Demo session; memory-only</t>
        </is>
      </c>
      <c r="E6" s="70" t="n"/>
    </row>
    <row r="7">
      <c r="A7" s="70" t="inlineStr">
        <is>
          <t>A4 dict readings (AR-01)</t>
        </is>
      </c>
      <c r="B7" s="70" t="inlineStr">
        <is>
          <t>PASS</t>
        </is>
      </c>
      <c r="C7" s="70" t="inlineStr">
        <is>
          <t>seed_readings.copy(), {**...}, .items() and dict() all score 100% (were 0%)</t>
        </is>
      </c>
      <c r="D7" s="70" t="inlineStr">
        <is>
          <t>Automated regression test</t>
        </is>
      </c>
      <c r="E7" s="70" t="n"/>
    </row>
    <row r="8">
      <c r="A8" s="70" t="inlineStr">
        <is>
          <t>Sandbox line numbers and limits (AR-02)</t>
        </is>
      </c>
      <c r="B8" s="70" t="inlineStr">
        <is>
          <t>PASS</t>
        </is>
      </c>
      <c r="C8" s="70" t="inlineStr">
        <is>
          <t>Rejections and runtime errors report the student's own line; limits documented in A1-A4</t>
        </is>
      </c>
      <c r="D8" s="70" t="inlineStr">
        <is>
          <t>Automated regression test</t>
        </is>
      </c>
      <c r="E8" s="70" t="n"/>
    </row>
    <row r="9">
      <c r="A9" s="70" t="inlineStr">
        <is>
          <t>ROS never-moving loopholes (AR-03, AR-04)</t>
        </is>
      </c>
      <c r="B9" s="70" t="inlineStr">
        <is>
          <t>PASS</t>
        </is>
      </c>
      <c r="C9" s="70" t="inlineStr">
        <is>
          <t>Docker: never-moving A5 node 40% (was 50%); always-stopped A6 node 35% (was 75%); verify_ros2_assignments.py regressions pass</t>
        </is>
      </c>
      <c r="D9" s="70" t="inlineStr">
        <is>
          <t>Local Docker grader image</t>
        </is>
      </c>
      <c r="E9" s="70" t="n"/>
    </row>
    <row r="10">
      <c r="A10" s="70" t="inlineStr">
        <is>
          <t>ROS repeated runs</t>
        </is>
      </c>
      <c r="B10" s="70" t="inlineStr">
        <is>
          <t>PARTIAL</t>
        </is>
      </c>
      <c r="C10" s="70" t="inlineStr">
        <is>
          <t>verify_ros2_assignments.py: 4 of 5 runs passed. Run 1 hit the 20 s limit while the backend suite and a Flutter build ran concurrently</t>
        </is>
      </c>
      <c r="D10" s="70" t="inlineStr">
        <is>
          <t>Load-dependent timeout, not a behavior failure</t>
        </is>
      </c>
      <c r="E10" s="70" t="inlineStr">
        <is>
          <t>Resolved: owner approved a 30 s limit; see the retest row</t>
        </is>
      </c>
    </row>
    <row r="11">
      <c r="A11" s="70" t="inlineStr">
        <is>
          <t>ROS 30 s limit retest</t>
        </is>
      </c>
      <c r="B11" s="70" t="inlineStr">
        <is>
          <t>PASS</t>
        </is>
      </c>
      <c r="C11" s="70" t="inlineStr">
        <is>
          <t>Owner-approved limit raised from 20 s to 30 s for Assignments 5 and 6 (version 8). verify_ros2_assignments.py passed 2 of 2 runs while the full backend suite ran concurrently (the load that caused the earlier timeout); backend suite 506 passed</t>
        </is>
      </c>
      <c r="D11" s="70" t="inlineStr">
        <is>
          <t>Browser client waits up to 90 s, above the 30 s + 5 s grace; in-container build and test limits unchanged</t>
        </is>
      </c>
      <c r="E11" s="70" t="n"/>
    </row>
    <row r="12">
      <c r="A12" s="70" t="inlineStr">
        <is>
          <t>Course pages (AR-05)</t>
        </is>
      </c>
      <c r="B12" s="70" t="inlineStr">
        <is>
          <t>PASS</t>
        </is>
      </c>
      <c r="C12" s="70" t="inlineStr">
        <is>
          <t>Instructor-note sections hidden at build; each practice page points to its graded assignment; served VFH page verified through the API</t>
        </is>
      </c>
      <c r="D12" s="70" t="inlineStr">
        <is>
          <t>Rebuild changed only the intended pages</t>
        </is>
      </c>
      <c r="E12" s="70" t="n"/>
    </row>
    <row r="13">
      <c r="A13" s="70" t="inlineStr">
        <is>
          <t>Served assignments and diagram</t>
        </is>
      </c>
      <c r="B13" s="70" t="inlineStr">
        <is>
          <t>PASS</t>
        </is>
      </c>
      <c r="C13" s="70" t="inlineStr">
        <is>
          <t>API returns versions 10, 10, 11, 10, 7, 7 without grader_config; served image1.png equals the fixed file</t>
        </is>
      </c>
      <c r="D13" s="70" t="inlineStr">
        <is>
          <t>Flutter canvas rendering not inspected visually</t>
        </is>
      </c>
      <c r="E13" s="70" t="n"/>
    </row>
    <row r="14">
      <c r="A14" s="70" t="inlineStr">
        <is>
          <t>Browser flows</t>
        </is>
      </c>
      <c r="B14" s="70" t="inlineStr">
        <is>
          <t>PARTIAL</t>
        </is>
      </c>
      <c r="C14" s="70" t="inlineStr">
        <is>
          <t>Playwright in Chrome against Neon staging stack: 2 student demo flows passed; instructor flow skipped</t>
        </is>
      </c>
      <c r="D14" s="70" t="inlineStr">
        <is>
          <t>Instructor flow needs E2E instructor credentials</t>
        </is>
      </c>
      <c r="E14" s="70" t="inlineStr">
        <is>
          <t>Owner: run run-browser-tests.ps1 -InstructorLogin when convenient</t>
        </is>
      </c>
    </row>
    <row r="15">
      <c r="A15" s="70" t="inlineStr">
        <is>
          <t>Production deployment</t>
        </is>
      </c>
      <c r="B15" s="70" t="inlineStr">
        <is>
          <t>NOT RUN</t>
        </is>
      </c>
      <c r="C15" s="70" t="inlineStr">
        <is>
          <t>No production change</t>
        </is>
      </c>
      <c r="D15" s="70" t="inlineStr">
        <is>
          <t>Not authorized</t>
        </is>
      </c>
      <c r="E15" s="70"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9" customWidth="1" style="78" min="1" max="1"/>
    <col width="14" customWidth="1" style="78" min="2" max="2"/>
    <col width="52" customWidth="1" style="78" min="3" max="3"/>
    <col width="25" customWidth="1" style="78" min="5" max="5"/>
  </cols>
  <sheetData>
    <row r="1">
      <c r="A1" s="68" t="inlineStr">
        <is>
          <t>Assignments 1-6 in-depth review fixes QA</t>
        </is>
      </c>
      <c r="B1" s="68" t="inlineStr">
        <is>
          <t>2026-10-05</t>
        </is>
      </c>
      <c r="C1" s="68" t="inlineStr">
        <is>
          <t>Staging only; code commit 1af50897</t>
        </is>
      </c>
      <c r="D1" s="68" t="n"/>
      <c r="E1" s="68" t="n"/>
    </row>
    <row r="2">
      <c r="A2" s="69" t="inlineStr">
        <is>
          <t>Check</t>
        </is>
      </c>
      <c r="B2" s="69" t="inlineStr">
        <is>
          <t>Result</t>
        </is>
      </c>
      <c r="C2" s="69" t="inlineStr">
        <is>
          <t>Evidence</t>
        </is>
      </c>
      <c r="D2" s="69" t="inlineStr">
        <is>
          <t>Scope / limitation</t>
        </is>
      </c>
      <c r="E2" s="69" t="inlineStr">
        <is>
          <t>Follow-up</t>
        </is>
      </c>
    </row>
    <row r="3">
      <c r="A3" s="70" t="inlineStr">
        <is>
          <t>Backend suite</t>
        </is>
      </c>
      <c r="B3" s="70" t="inlineStr">
        <is>
          <t>PASS</t>
        </is>
      </c>
      <c r="C3" s="70" t="inlineStr">
        <is>
          <t>pytest with ENVIRONMENT=testing and disposable SQLite: 595 passed</t>
        </is>
      </c>
      <c r="D3" s="70" t="inlineStr">
        <is>
          <t>Windows host</t>
        </is>
      </c>
      <c r="E3" s="70" t="n"/>
    </row>
    <row r="4">
      <c r="A4" s="70" t="inlineStr">
        <is>
          <t>Flutter gate</t>
        </is>
      </c>
      <c r="B4" s="70" t="inlineStr">
        <is>
          <t>PASS</t>
        </is>
      </c>
      <c r="C4" s="70" t="inlineStr">
        <is>
          <t>flutter analyze clean; 173 tests passed; release web build succeeded</t>
        </is>
      </c>
      <c r="D4" s="70" t="inlineStr">
        <is>
          <t>OneDrive-safe copy under LocalAppData</t>
        </is>
      </c>
      <c r="E4" s="70" t="n"/>
    </row>
    <row r="5">
      <c r="A5" s="70" t="inlineStr">
        <is>
          <t>ROS maintained answers (Docker)</t>
        </is>
      </c>
      <c r="B5" s="70" t="inlineStr">
        <is>
          <t>PASS</t>
        </is>
      </c>
      <c r="C5" s="70" t="inlineStr">
        <is>
          <t>Rebuilt grader image; verify_ros2_assignments.py: A5 7/7 and A6 9/9, duplicate and never-moving rejections pass</t>
        </is>
      </c>
      <c r="D5" s="70" t="inlineStr">
        <is>
          <t>Local Docker image</t>
        </is>
      </c>
      <c r="E5" s="70" t="n"/>
    </row>
    <row r="6">
      <c r="A6" s="70" t="inlineStr">
        <is>
          <t>ROS student error text (AR-11)</t>
        </is>
      </c>
      <c r="B6" s="70" t="inlineStr">
        <is>
          <t>PASS</t>
        </is>
      </c>
      <c r="C6" s="70" t="inlineStr">
        <is>
          <t>Crashed node now shows only controller.py frames plus the exception; clean exit explains rclpy.spin(); no /grader path or ROS warning lines</t>
        </is>
      </c>
      <c r="D6" s="70" t="inlineStr">
        <is>
          <t>Docker probes: publisher None, SystemExit, empty-scan crash</t>
        </is>
      </c>
      <c r="E6" s="70" t="n"/>
    </row>
    <row r="7">
      <c r="A7" s="70" t="inlineStr">
        <is>
          <t>ROS per-check points (AR-12)</t>
        </is>
      </c>
      <c r="B7" s="70" t="inlineStr">
        <is>
          <t>PASS</t>
        </is>
      </c>
      <c r="C7" s="70" t="inlineStr">
        <is>
          <t>ROS evidence carries weight; untouched A5 starter shows 0 of 10 for passed scaffold checks</t>
        </is>
      </c>
      <c r="D7" s="70" t="inlineStr">
        <is>
          <t>Docker probe and widget test</t>
        </is>
      </c>
      <c r="E7" s="70" t="n"/>
    </row>
    <row r="8">
      <c r="A8" s="70" t="inlineStr">
        <is>
          <t>Cancelled timer message (AR-13)</t>
        </is>
      </c>
      <c r="B8" s="70" t="inlineStr">
        <is>
          <t>PASS</t>
        </is>
      </c>
      <c r="C8" s="70" t="inlineStr">
        <is>
          <t>timer.cancel() at 5 s: first failure now says publishing stopped about 5.6 s after start</t>
        </is>
      </c>
      <c r="D8" s="70" t="inlineStr">
        <is>
          <t>Docker probe</t>
        </is>
      </c>
      <c r="E8" s="70" t="n"/>
    </row>
    <row r="9">
      <c r="A9" s="70" t="inlineStr">
        <is>
          <t>Sandbox numpy spellings (AR-10)</t>
        </is>
      </c>
      <c r="B9" s="70" t="inlineStr">
        <is>
          <t>PASS</t>
        </is>
      </c>
      <c r="C9" s="70" t="inlineStr">
        <is>
          <t>np.deg2rad, np.array, np.min, np.where, np.argmin, math.pow, dict.update, and a lone _ now run; np.save, np.fromfile, __import__, str.format stay blocked</t>
        </is>
      </c>
      <c r="D9" s="70" t="inlineStr">
        <is>
          <t>Sandbox tests and student probes</t>
        </is>
      </c>
      <c r="E9" s="70" t="n"/>
    </row>
    <row r="10">
      <c r="A10" s="70" t="inlineStr">
        <is>
          <t>A4 zero half width (AR-14)</t>
        </is>
      </c>
      <c r="B10" s="70" t="inlineStr">
        <is>
          <t>PASS</t>
        </is>
      </c>
      <c r="C10" s="70" t="inlineStr">
        <is>
          <t>Rule states search_half_width may be 0; content test confirms a hidden case uses 0</t>
        </is>
      </c>
      <c r="D10" s="70" t="inlineStr">
        <is>
          <t>Exclusive-window code still scores 0% by design</t>
        </is>
      </c>
      <c r="E10" s="70" t="n"/>
    </row>
    <row r="11">
      <c r="A11" s="70" t="inlineStr">
        <is>
          <t>Printed output on failure (AR-15)</t>
        </is>
      </c>
      <c r="B11" s="70" t="inlineStr">
        <is>
          <t>PASS</t>
        </is>
      </c>
      <c r="C11" s="70" t="inlineStr">
        <is>
          <t>Results panel shows 'Your printed output' under an execution error</t>
        </is>
      </c>
      <c r="D11" s="70" t="inlineStr">
        <is>
          <t>Widget test</t>
        </is>
      </c>
      <c r="E11" s="70" t="n"/>
    </row>
    <row r="12">
      <c r="A12" s="70" t="inlineStr">
        <is>
          <t>Misconception tags (AR-16)</t>
        </is>
      </c>
      <c r="B12" s="70" t="inlineStr">
        <is>
          <t>PASS</t>
        </is>
      </c>
      <c r="C12" s="70" t="inlineStr">
        <is>
          <t>A1-A4 criteria name configured tags; evidence carries a tag only for wrong values, not crashes</t>
        </is>
      </c>
      <c r="D12" s="70" t="inlineStr">
        <is>
          <t>Grader test; ROS tags intentionally not mapped</t>
        </is>
      </c>
      <c r="E12" s="70" t="n"/>
    </row>
    <row r="13">
      <c r="A13" s="70" t="inlineStr">
        <is>
          <t>Instruction wording and layout (AR-17)</t>
        </is>
      </c>
      <c r="B13" s="70" t="inlineStr">
        <is>
          <t>PASS</t>
        </is>
      </c>
      <c r="C13" s="70" t="inlineStr">
        <is>
          <t>Rules/scoring/checks grouped in one card with headings; neutral feedback; grid units; rectangle first in A2; LiDAR spelling; ROS grading sentence; A6 duplicate ROS terms removed; reveal dialog wording; VFH+ and VFH* in lesson</t>
        </is>
      </c>
      <c r="D13" s="70" t="inlineStr">
        <is>
          <t>Content tests; visual check by owner pending</t>
        </is>
      </c>
      <c r="E13" s="70" t="inlineStr">
        <is>
          <t>Owner: manual walkthrough</t>
        </is>
      </c>
    </row>
    <row r="14">
      <c r="A14" s="70" t="inlineStr">
        <is>
          <t>Accessibility of Scenario card (X-5)</t>
        </is>
      </c>
      <c r="B14" s="70" t="inlineStr">
        <is>
          <t>PASS</t>
        </is>
      </c>
      <c r="C14" s="70" t="inlineStr">
        <is>
          <t>Scenario text and diagram alt text are present as aria-labels in the live semantics tree</t>
        </is>
      </c>
      <c r="D14" s="70" t="inlineStr">
        <is>
          <t>Earlier report was a capture artifact; no code change</t>
        </is>
      </c>
      <c r="E14" s="70" t="n"/>
    </row>
    <row r="15">
      <c r="A15" s="70" t="inlineStr">
        <is>
          <t>Live staging app</t>
        </is>
      </c>
      <c r="B15" s="70" t="inlineStr">
        <is>
          <t>NOT RUN</t>
        </is>
      </c>
      <c r="C15" s="70" t="inlineStr">
        <is>
          <t>Running stack not restarted; another session owns it</t>
        </is>
      </c>
      <c r="D15" s="70" t="inlineStr">
        <is>
          <t>New versions 14/14/15/14/9/9 apply on next restart</t>
        </is>
      </c>
      <c r="E15" s="70" t="inlineStr">
        <is>
          <t>Owner: stop-local and run-local, then check manually</t>
        </is>
      </c>
    </row>
    <row r="16">
      <c r="A16" s="70" t="inlineStr">
        <is>
          <t>Production deployment</t>
        </is>
      </c>
      <c r="B16" s="70" t="inlineStr">
        <is>
          <t>NOT RUN</t>
        </is>
      </c>
      <c r="C16" s="70" t="inlineStr">
        <is>
          <t>No production change</t>
        </is>
      </c>
      <c r="D16" s="70" t="inlineStr">
        <is>
          <t>Not authorized</t>
        </is>
      </c>
      <c r="E16" s="70"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0"/>
  <sheetViews>
    <sheetView showGridLines="0" workbookViewId="0">
      <pane ySplit="1" topLeftCell="A2" activePane="bottomLeft" state="frozen"/>
      <selection pane="bottomLeft" activeCell="A1" sqref="A1"/>
    </sheetView>
  </sheetViews>
  <sheetFormatPr baseColWidth="8" defaultRowHeight="15"/>
  <cols>
    <col width="13" customWidth="1" style="78" min="1" max="1"/>
    <col width="55" customWidth="1" style="78" min="2" max="2"/>
    <col width="42" customWidth="1" style="78" min="3" max="3"/>
    <col width="68" customWidth="1" style="78" min="4" max="4"/>
    <col width="70" customWidth="1" style="78" min="5" max="5"/>
    <col width="18" customWidth="1" style="78" min="6" max="7"/>
  </cols>
  <sheetData>
    <row r="1" ht="30" customHeight="1" s="78">
      <c r="A1" s="72" t="inlineStr">
        <is>
          <t>Report ID</t>
        </is>
      </c>
      <c r="B1" s="72" t="inlineStr">
        <is>
          <t>Report title</t>
        </is>
      </c>
      <c r="C1" s="72" t="inlineStr">
        <is>
          <t>Historical scope</t>
        </is>
      </c>
      <c r="D1" s="72" t="inlineStr">
        <is>
          <t>Original report path</t>
        </is>
      </c>
      <c r="E1" s="72" t="inlineStr">
        <is>
          <t>Source SHA-256</t>
        </is>
      </c>
      <c r="F1" s="72" t="inlineStr">
        <is>
          <t>Archive first row</t>
        </is>
      </c>
      <c r="G1" s="72" t="inlineStr">
        <is>
          <t>Source line count</t>
        </is>
      </c>
    </row>
    <row r="2" ht="57.95" customHeight="1" s="78">
      <c r="A2" s="73" t="inlineStr">
        <is>
          <t>QA-001</t>
        </is>
      </c>
      <c r="B2" s="73" t="inlineStr">
        <is>
          <t>Local AI tutor repair — 2026-09-24</t>
        </is>
      </c>
      <c r="C2" s="73" t="inlineStr">
        <is>
          <t>Dated evidence; not a current release verdict</t>
        </is>
      </c>
      <c r="D2" s="73" t="inlineStr">
        <is>
          <t>docs/sqa/AI_TUTOR_LOCAL_FIX_2026-09-24.md</t>
        </is>
      </c>
      <c r="E2" s="73" t="inlineStr">
        <is>
          <t>b964bd9f3d05f6bd9e3cf426c0b2ff6ca1b95f102e03db9f831a1aa105ded067</t>
        </is>
      </c>
      <c r="F2" s="73" t="n">
        <v>2</v>
      </c>
      <c r="G2" s="73" t="n">
        <v>42</v>
      </c>
    </row>
    <row r="3" ht="57.95" customHeight="1" s="78">
      <c r="A3" s="73" t="inlineStr">
        <is>
          <t>QA-002</t>
        </is>
      </c>
      <c r="B3" s="73" t="inlineStr">
        <is>
          <t>Automatic Local Database Backup SQA Report</t>
        </is>
      </c>
      <c r="C3" s="73" t="inlineStr">
        <is>
          <t>Dated evidence; not a current release verdict</t>
        </is>
      </c>
      <c r="D3" s="73" t="inlineStr">
        <is>
          <t>docs/sqa/AUTOMATIC_LOCAL_DATABASE_BACKUP_SQA_REPORT_2026-08-26.md</t>
        </is>
      </c>
      <c r="E3" s="73" t="inlineStr">
        <is>
          <t>e86ef6c196a923430d71442bf6955e92fd3cec6ffd013c3687e91802219168f2</t>
        </is>
      </c>
      <c r="F3" s="73" t="n">
        <v>44</v>
      </c>
      <c r="G3" s="73" t="n">
        <v>42</v>
      </c>
    </row>
    <row r="4" ht="57.95" customHeight="1" s="78">
      <c r="A4" s="73" t="inlineStr">
        <is>
          <t>QA-003</t>
        </is>
      </c>
      <c r="B4" s="73" t="inlineStr">
        <is>
          <t>Unified Local Handoff Package SQA Report</t>
        </is>
      </c>
      <c r="C4" s="73" t="inlineStr">
        <is>
          <t>Dated evidence; not a current release verdict</t>
        </is>
      </c>
      <c r="D4" s="73" t="inlineStr">
        <is>
          <t>docs/sqa/COPYABLE_LOCAL_HANDOFF_PACKAGE_SQA_REPORT_2026-08-25.md</t>
        </is>
      </c>
      <c r="E4" s="73" t="inlineStr">
        <is>
          <t>8eb34c14d3b8551386c177747bd74b4af379022e9c430e24c515b8eb521c2fe9</t>
        </is>
      </c>
      <c r="F4" s="73" t="n">
        <v>86</v>
      </c>
      <c r="G4" s="73" t="n">
        <v>94</v>
      </c>
    </row>
    <row r="5" ht="57.95" customHeight="1" s="78">
      <c r="A5" s="73" t="inlineStr">
        <is>
          <t>QA-004</t>
        </is>
      </c>
      <c r="B5" s="73" t="inlineStr">
        <is>
          <t>Course content library — staging QA</t>
        </is>
      </c>
      <c r="C5" s="73" t="inlineStr">
        <is>
          <t>Dated evidence; not a current release verdict</t>
        </is>
      </c>
      <c r="D5" s="73" t="inlineStr">
        <is>
          <t>docs/sqa/COURSE_CONTENT_LIBRARY_QA.md</t>
        </is>
      </c>
      <c r="E5" s="73" t="inlineStr">
        <is>
          <t>2931709136e418d895dbd8b7f1dae6dc20305831ce01c751f927cfbc6cfc9646</t>
        </is>
      </c>
      <c r="F5" s="73" t="n">
        <v>180</v>
      </c>
      <c r="G5" s="73" t="n">
        <v>139</v>
      </c>
    </row>
    <row r="6" ht="57.95" customHeight="1" s="78">
      <c r="A6" s="73" t="inlineStr">
        <is>
          <t>QA-005</t>
        </is>
      </c>
      <c r="B6" s="73" t="inlineStr">
        <is>
          <t>Python Editor Upgrade SQA Report</t>
        </is>
      </c>
      <c r="C6" s="73" t="inlineStr">
        <is>
          <t>Dated evidence; not a current release verdict</t>
        </is>
      </c>
      <c r="D6" s="73" t="inlineStr">
        <is>
          <t>docs/sqa/EDITOR_UPGRADE_SQA_REPORT_2026-09-24.md</t>
        </is>
      </c>
      <c r="E6" s="73" t="inlineStr">
        <is>
          <t>028428c77fbdf0ce61da68964f2781dcb1b3871d35e735972391d9c726fc2463</t>
        </is>
      </c>
      <c r="F6" s="73" t="n">
        <v>319</v>
      </c>
      <c r="G6" s="73" t="n">
        <v>67</v>
      </c>
    </row>
    <row r="7" ht="57.95" customHeight="1" s="78">
      <c r="A7" s="73" t="inlineStr">
        <is>
          <t>QA-006</t>
        </is>
      </c>
      <c r="B7" s="73" t="inlineStr">
        <is>
          <t>Assignment Grading Integrity SQA Report</t>
        </is>
      </c>
      <c r="C7" s="73" t="inlineStr">
        <is>
          <t>Dated evidence; not a current release verdict</t>
        </is>
      </c>
      <c r="D7" s="73" t="inlineStr">
        <is>
          <t>docs/sqa/GRADING_INTEGRITY_SQA_REPORT_2026-09-23.md</t>
        </is>
      </c>
      <c r="E7" s="73" t="inlineStr">
        <is>
          <t>bc1155b7b7b1e126270d408315eaccca2fdc9efaa07c6970803622a967bddcec</t>
        </is>
      </c>
      <c r="F7" s="73" t="n">
        <v>386</v>
      </c>
      <c r="G7" s="73" t="n">
        <v>95</v>
      </c>
    </row>
    <row r="8" ht="57.95" customHeight="1" s="78">
      <c r="A8" s="73" t="inlineStr">
        <is>
          <t>QA-007</t>
        </is>
      </c>
      <c r="B8" s="73" t="inlineStr">
        <is>
          <t>Local PostgreSQL OneDrive Handoff SQA Report</t>
        </is>
      </c>
      <c r="C8" s="73" t="inlineStr">
        <is>
          <t>Dated evidence; not a current release verdict</t>
        </is>
      </c>
      <c r="D8" s="73" t="inlineStr">
        <is>
          <t>docs/sqa/LOCAL_POSTGRES_ONEDRIVE_HANDOFF_SQA_REPORT_2026-08-24.md</t>
        </is>
      </c>
      <c r="E8" s="73" t="inlineStr">
        <is>
          <t>5b76acff9b40ab89bd6458731cb108430c8e6df74d9c690a4b0f8e15e43509cd</t>
        </is>
      </c>
      <c r="F8" s="73" t="n">
        <v>481</v>
      </c>
      <c r="G8" s="73" t="n">
        <v>131</v>
      </c>
    </row>
    <row r="9" ht="57.95" customHeight="1" s="78">
      <c r="A9" s="73" t="inlineStr">
        <is>
          <t>QA-008</t>
        </is>
      </c>
      <c r="B9" s="73" t="inlineStr">
        <is>
          <t>Neon and Account Management SQA Report</t>
        </is>
      </c>
      <c r="C9" s="73" t="inlineStr">
        <is>
          <t>Dated evidence; not a current release verdict</t>
        </is>
      </c>
      <c r="D9" s="73" t="inlineStr">
        <is>
          <t>docs/sqa/NEON_ACCOUNT_MANAGEMENT_SQA_REPORT_2026-08-28.md</t>
        </is>
      </c>
      <c r="E9" s="73" t="inlineStr">
        <is>
          <t>482c065442e43769a4f40043f677f1192768486a72439eaf7e7c99c7de756137</t>
        </is>
      </c>
      <c r="F9" s="73" t="n">
        <v>612</v>
      </c>
      <c r="G9" s="73" t="n">
        <v>69</v>
      </c>
    </row>
    <row r="10" ht="57.95" customHeight="1" s="78">
      <c r="A10" s="73" t="inlineStr">
        <is>
          <t>QA-009</t>
        </is>
      </c>
      <c r="B10" s="73" t="inlineStr">
        <is>
          <t>Neon-Only Database Architecture SQA Report</t>
        </is>
      </c>
      <c r="C10" s="73" t="inlineStr">
        <is>
          <t>Dated evidence; not a current release verdict</t>
        </is>
      </c>
      <c r="D10" s="73" t="inlineStr">
        <is>
          <t>docs/sqa/NEON_ONLY_DATABASE_SQA_REPORT_2026-08-28.md</t>
        </is>
      </c>
      <c r="E10" s="73" t="inlineStr">
        <is>
          <t>25906992e2574ec18194c39a3ea2b22207b9012ff512f6e02cacd8659564e1c5</t>
        </is>
      </c>
      <c r="F10" s="73" t="n">
        <v>681</v>
      </c>
      <c r="G10" s="73" t="n">
        <v>56</v>
      </c>
    </row>
    <row r="11" ht="57.95" customHeight="1" s="78">
      <c r="A11" s="73" t="inlineStr">
        <is>
          <t>QA-010</t>
        </is>
      </c>
      <c r="B11" s="73" t="inlineStr">
        <is>
          <t>Repository cleanup SQA report</t>
        </is>
      </c>
      <c r="C11" s="73" t="inlineStr">
        <is>
          <t>Dated evidence; not a current release verdict</t>
        </is>
      </c>
      <c r="D11" s="73" t="inlineStr">
        <is>
          <t>docs/sqa/REPOSITORY_CLEANUP_SQA_REPORT_2026-08-24.md</t>
        </is>
      </c>
      <c r="E11" s="73" t="inlineStr">
        <is>
          <t>b3cc6e57f6374fed91edbbbbc637b016527bc170c65d0324a6f58c7264bfa512</t>
        </is>
      </c>
      <c r="F11" s="73" t="n">
        <v>737</v>
      </c>
      <c r="G11" s="73" t="n">
        <v>81</v>
      </c>
    </row>
    <row r="12" ht="57.95" customHeight="1" s="78">
      <c r="A12" s="73" t="inlineStr">
        <is>
          <t>QA-011</t>
        </is>
      </c>
      <c r="B12" s="73" t="inlineStr">
        <is>
          <t>Results drawer and account-label SQA</t>
        </is>
      </c>
      <c r="C12" s="73" t="inlineStr">
        <is>
          <t>Dated evidence; not a current release verdict</t>
        </is>
      </c>
      <c r="D12" s="73" t="inlineStr">
        <is>
          <t>docs/sqa/RESULTS_DRAWER_ACCOUNT_LABEL_SQA_2026-09-25.md</t>
        </is>
      </c>
      <c r="E12" s="73" t="inlineStr">
        <is>
          <t>babfeb9651300b80ce6bfb76bb9bca950469d55d45047be5dc8c95511eec3d0f</t>
        </is>
      </c>
      <c r="F12" s="73" t="n">
        <v>818</v>
      </c>
      <c r="G12" s="73" t="n">
        <v>27</v>
      </c>
    </row>
    <row r="13" ht="57.95" customHeight="1" s="78">
      <c r="A13" s="73" t="inlineStr">
        <is>
          <t>QA-012</t>
        </is>
      </c>
      <c r="B13" s="73" t="inlineStr">
        <is>
          <t>Isolated Results Panel Correction</t>
        </is>
      </c>
      <c r="C13" s="73" t="inlineStr">
        <is>
          <t>Dated evidence; not a current release verdict</t>
        </is>
      </c>
      <c r="D13" s="73" t="inlineStr">
        <is>
          <t>docs/sqa/RESULTS_PANEL_CORRECTION_QA.md</t>
        </is>
      </c>
      <c r="E13" s="73" t="inlineStr">
        <is>
          <t>b48e5bfbd40948099f3cb97a40d6df1afa7d101c9c386d2ef070a4089a530d15</t>
        </is>
      </c>
      <c r="F13" s="73" t="n">
        <v>845</v>
      </c>
      <c r="G13" s="73" t="n">
        <v>42</v>
      </c>
    </row>
    <row r="14" ht="57.95" customHeight="1" s="78">
      <c r="A14" s="73" t="inlineStr">
        <is>
          <t>QA-013</t>
        </is>
      </c>
      <c r="B14" s="73" t="inlineStr">
        <is>
          <t>Tutor explanation and partial-score verification</t>
        </is>
      </c>
      <c r="C14" s="73" t="inlineStr">
        <is>
          <t>Dated evidence; not a current release verdict</t>
        </is>
      </c>
      <c r="D14" s="73" t="inlineStr">
        <is>
          <t>docs/sqa/TUTOR_AND_PARTIAL_SCORE_FIX_2026-09-30.md</t>
        </is>
      </c>
      <c r="E14" s="73" t="inlineStr">
        <is>
          <t>2012f9168c7a0c71bfbb136e292990812d661eceb9e65433d311209dcf3ab759</t>
        </is>
      </c>
      <c r="F14" s="73" t="n">
        <v>887</v>
      </c>
      <c r="G14" s="73" t="n">
        <v>58</v>
      </c>
    </row>
    <row r="15" ht="57.95" customHeight="1" s="78">
      <c r="A15" s="73" t="inlineStr">
        <is>
          <t>QA-014</t>
        </is>
      </c>
      <c r="B15" s="73" t="inlineStr">
        <is>
          <t>Ubuntu Local Support SQA Report</t>
        </is>
      </c>
      <c r="C15" s="73" t="inlineStr">
        <is>
          <t>Dated evidence; not a current release verdict</t>
        </is>
      </c>
      <c r="D15" s="73" t="inlineStr">
        <is>
          <t>docs/sqa/UBUNTU_LOCAL_SUPPORT_SQA_REPORT_2026-08-28.md</t>
        </is>
      </c>
      <c r="E15" s="73" t="inlineStr">
        <is>
          <t>ad3753c4be15c3b622d14f9bc8988f606b281df1efec26c71ee25ba8c69ef8ac</t>
        </is>
      </c>
      <c r="F15" s="73" t="n">
        <v>945</v>
      </c>
      <c r="G15" s="73" t="n">
        <v>62</v>
      </c>
    </row>
    <row r="16" ht="57.95" customHeight="1" s="78">
      <c r="A16" s="73" t="inlineStr">
        <is>
          <t>QA-015</t>
        </is>
      </c>
      <c r="B16" s="73" t="inlineStr">
        <is>
          <t>V5.2 Basic Research Analytics SQA Report</t>
        </is>
      </c>
      <c r="C16" s="73" t="inlineStr">
        <is>
          <t>Dated evidence; not a current release verdict</t>
        </is>
      </c>
      <c r="D16" s="73" t="inlineStr">
        <is>
          <t>docs/sqa/V5_2_BASIC_ANALYTICS_SQA_REPORT_2026-08-26.md</t>
        </is>
      </c>
      <c r="E16" s="73" t="inlineStr">
        <is>
          <t>b1e3637e1847edf16894850f7f4a9f4f153a6d2384ac69f41c813f45668ef872</t>
        </is>
      </c>
      <c r="F16" s="73" t="n">
        <v>1007</v>
      </c>
      <c r="G16" s="73" t="n">
        <v>126</v>
      </c>
    </row>
    <row r="17" ht="57.95" customHeight="1" s="78">
      <c r="A17" s="73" t="inlineStr">
        <is>
          <t>QA-016</t>
        </is>
      </c>
      <c r="B17" s="73" t="inlineStr">
        <is>
          <t>V5.4 Assignment and Progress SQA Report</t>
        </is>
      </c>
      <c r="C17" s="73" t="inlineStr">
        <is>
          <t>Dated evidence; not a current release verdict</t>
        </is>
      </c>
      <c r="D17" s="73" t="inlineStr">
        <is>
          <t>docs/sqa/V5_4_ASSIGNMENT_PROGRESS_SQA_REPORT_2026-08-30.md</t>
        </is>
      </c>
      <c r="E17" s="73" t="inlineStr">
        <is>
          <t>dd0f7e66ef55d04765a5015bd5984c74081b2519c0d114e775b9540489c8cca2</t>
        </is>
      </c>
      <c r="F17" s="73" t="n">
        <v>1133</v>
      </c>
      <c r="G17" s="73" t="n">
        <v>52</v>
      </c>
    </row>
    <row r="18" ht="57.95" customHeight="1" s="78">
      <c r="A18" s="73" t="inlineStr">
        <is>
          <t>QA-017</t>
        </is>
      </c>
      <c r="B18" s="73" t="inlineStr">
        <is>
          <t>V6.2 Learning Workbench QA</t>
        </is>
      </c>
      <c r="C18" s="73" t="inlineStr">
        <is>
          <t>Dated evidence; not a current release verdict</t>
        </is>
      </c>
      <c r="D18" s="73" t="inlineStr">
        <is>
          <t>docs/sqa/V6_2_WORKBENCH_QA.md</t>
        </is>
      </c>
      <c r="E18" s="73" t="inlineStr">
        <is>
          <t>d5acf298f34a430a4a0277347e17a0b44df53aca3f5fdf6f550de2f39d11a401</t>
        </is>
      </c>
      <c r="F18" s="73" t="n">
        <v>1185</v>
      </c>
      <c r="G18" s="73" t="n">
        <v>50</v>
      </c>
    </row>
    <row r="19" ht="57.95" customHeight="1" s="78">
      <c r="A19" s="73" t="inlineStr">
        <is>
          <t>QA-018</t>
        </is>
      </c>
      <c r="B19" s="73" t="inlineStr">
        <is>
          <t>Local visual polish QA — 2026-09-28</t>
        </is>
      </c>
      <c r="C19" s="73" t="inlineStr">
        <is>
          <t>Dated evidence; not a current release verdict</t>
        </is>
      </c>
      <c r="D19" s="73" t="inlineStr">
        <is>
          <t>docs/sqa/VISUAL_POLISH_QA.md</t>
        </is>
      </c>
      <c r="E19" s="73" t="inlineStr">
        <is>
          <t>80448a2692d11200a4a92a36860f7113edd8793c4f056011ebf83c975c55d556</t>
        </is>
      </c>
      <c r="F19" s="73" t="n">
        <v>1235</v>
      </c>
      <c r="G19" s="73" t="n">
        <v>76</v>
      </c>
    </row>
    <row r="20" ht="57.95" customHeight="1" s="78">
      <c r="A20" s="73" t="inlineStr">
        <is>
          <t>QA-019</t>
        </is>
      </c>
      <c r="B20" s="73" t="inlineStr">
        <is>
          <t>AI Tutor Phase 1 Staging SQA Report</t>
        </is>
      </c>
      <c r="C20" s="73" t="inlineStr">
        <is>
          <t>Archived at consolidation</t>
        </is>
      </c>
      <c r="D20" s="73" t="inlineStr">
        <is>
          <t>docs/archive/sqa/AI_TUTOR_PHASE1_SQA_REPORT_2026-08-21.md</t>
        </is>
      </c>
      <c r="E20" s="73" t="inlineStr">
        <is>
          <t>f07f18f692248f146a3fc76082d35bad98c28a4b64ecb6b604c996e45ad5183c</t>
        </is>
      </c>
      <c r="F20" s="73" t="n">
        <v>1311</v>
      </c>
      <c r="G20" s="73" t="n">
        <v>130</v>
      </c>
    </row>
    <row r="21" ht="57.95" customHeight="1" s="78">
      <c r="A21" s="73" t="inlineStr">
        <is>
          <t>QA-020</t>
        </is>
      </c>
      <c r="B21" s="73" t="inlineStr">
        <is>
          <t>Assignment 5 ROS 2 Local SQA Report</t>
        </is>
      </c>
      <c r="C21" s="73" t="inlineStr">
        <is>
          <t>Archived at consolidation</t>
        </is>
      </c>
      <c r="D21" s="73" t="inlineStr">
        <is>
          <t>docs/archive/sqa/ASSIGNMENT_5_ROS2_LOCAL_SQA_REPORT.md</t>
        </is>
      </c>
      <c r="E21" s="73" t="inlineStr">
        <is>
          <t>16c1fcd638b58097fde4f70e150a33a143bd68b06093d63a4e5c3df639233cfc</t>
        </is>
      </c>
      <c r="F21" s="73" t="n">
        <v>1441</v>
      </c>
      <c r="G21" s="73" t="n">
        <v>55</v>
      </c>
    </row>
    <row r="22" ht="57.95" customHeight="1" s="78">
      <c r="A22" s="73" t="inlineStr">
        <is>
          <t>QA-021</t>
        </is>
      </c>
      <c r="B22" s="73" t="inlineStr">
        <is>
          <t>Assignment 6 ROS 2 Local SQA Report</t>
        </is>
      </c>
      <c r="C22" s="73" t="inlineStr">
        <is>
          <t>Archived at consolidation</t>
        </is>
      </c>
      <c r="D22" s="73" t="inlineStr">
        <is>
          <t>docs/archive/sqa/ASSIGNMENT_6_ROS2_LOCAL_SQA_REPORT.md</t>
        </is>
      </c>
      <c r="E22" s="73" t="inlineStr">
        <is>
          <t>b550566b8e57ed2ebc35f8fa05981a7864d0f7d7a8151f0291ae73bbbd36e4b9</t>
        </is>
      </c>
      <c r="F22" s="73" t="n">
        <v>1496</v>
      </c>
      <c r="G22" s="73" t="n">
        <v>87</v>
      </c>
    </row>
    <row r="23" ht="57.95" customHeight="1" s="78">
      <c r="A23" s="73" t="inlineStr">
        <is>
          <t>QA-022</t>
        </is>
      </c>
      <c r="B23" s="73" t="inlineStr">
        <is>
          <t>Assignment Content Local SQA Report</t>
        </is>
      </c>
      <c r="C23" s="73" t="inlineStr">
        <is>
          <t>Archived at consolidation</t>
        </is>
      </c>
      <c r="D23" s="73" t="inlineStr">
        <is>
          <t>docs/archive/sqa/ASSIGNMENT_CONTENT_LOCAL_SQA_REPORT_2026-08-21.md</t>
        </is>
      </c>
      <c r="E23" s="73" t="inlineStr">
        <is>
          <t>b294bf4addc93fbf74f9b46aa89ca45f47abf228daa5c901213d2a9bfa2a5ece</t>
        </is>
      </c>
      <c r="F23" s="73" t="n">
        <v>1583</v>
      </c>
      <c r="G23" s="73" t="n">
        <v>91</v>
      </c>
    </row>
    <row r="24" ht="57.95" customHeight="1" s="78">
      <c r="A24" s="73" t="inlineStr">
        <is>
          <t>QA-023</t>
        </is>
      </c>
      <c r="B24" s="73" t="inlineStr">
        <is>
          <t>Stage 1 Data Standardization SQA Report</t>
        </is>
      </c>
      <c r="C24" s="73" t="inlineStr">
        <is>
          <t>Archived at consolidation</t>
        </is>
      </c>
      <c r="D24" s="73" t="inlineStr">
        <is>
          <t>docs/archive/sqa/DATA_STANDARDIZATION_STAGE1_SQA_REPORT.md</t>
        </is>
      </c>
      <c r="E24" s="73" t="inlineStr">
        <is>
          <t>79a7fecf7f6ad7ae489dabf20400da1ae913c1cff510b16bd07de7b8d4af85e7</t>
        </is>
      </c>
      <c r="F24" s="73" t="n">
        <v>1674</v>
      </c>
      <c r="G24" s="73" t="n">
        <v>58</v>
      </c>
    </row>
    <row r="25" ht="57.95" customHeight="1" s="78">
      <c r="A25" s="73" t="inlineStr">
        <is>
          <t>QA-024</t>
        </is>
      </c>
      <c r="B25" s="73" t="inlineStr">
        <is>
          <t>Public Student Demo Session SQA Report</t>
        </is>
      </c>
      <c r="C25" s="73" t="inlineStr">
        <is>
          <t>Archived at consolidation</t>
        </is>
      </c>
      <c r="D25" s="73" t="inlineStr">
        <is>
          <t>docs/archive/sqa/DEMO_SESSION_SQA_REPORT_2026-08-12.md</t>
        </is>
      </c>
      <c r="E25" s="73" t="inlineStr">
        <is>
          <t>cd5460164a06d33de3748480bf1f08116ee02ba5b5b3e9368b15cf1ad5246651</t>
        </is>
      </c>
      <c r="F25" s="73" t="n">
        <v>1732</v>
      </c>
      <c r="G25" s="73" t="n">
        <v>70</v>
      </c>
    </row>
    <row r="26" ht="57.95" customHeight="1" s="78">
      <c r="A26" s="73" t="inlineStr">
        <is>
          <t>QA-025</t>
        </is>
      </c>
      <c r="B26" s="73" t="inlineStr">
        <is>
          <t>Python 3.14 and OneDrive Local SQA Report</t>
        </is>
      </c>
      <c r="C26" s="73" t="inlineStr">
        <is>
          <t>Archived at consolidation</t>
        </is>
      </c>
      <c r="D26" s="73" t="inlineStr">
        <is>
          <t>docs/archive/sqa/PYTHON_314_ONEDRIVE_SQA_REPORT_2026-08-23.md</t>
        </is>
      </c>
      <c r="E26" s="73" t="inlineStr">
        <is>
          <t>8c02098124c94d185d48238c28a68723ce4543e6d6c60534a9fd1ad001133726</t>
        </is>
      </c>
      <c r="F26" s="73" t="n">
        <v>1802</v>
      </c>
      <c r="G26" s="73" t="n">
        <v>84</v>
      </c>
    </row>
    <row r="27" ht="57.95" customHeight="1" s="78">
      <c r="A27" s="73" t="inlineStr">
        <is>
          <t>QA-026</t>
        </is>
      </c>
      <c r="B27" s="73" t="inlineStr">
        <is>
          <t>Secure Grader Reliability SQA Report</t>
        </is>
      </c>
      <c r="C27" s="73" t="inlineStr">
        <is>
          <t>Archived at consolidation</t>
        </is>
      </c>
      <c r="D27" s="73" t="inlineStr">
        <is>
          <t>docs/archive/sqa/SECURE_GRADER_RELIABILITY_SQA_REPORT_2026-08-17.md</t>
        </is>
      </c>
      <c r="E27" s="73" t="inlineStr">
        <is>
          <t>48e18796eb89b0f15d8b890e141ff52a7453fec0def20f6dec16ecc8c18c3f12</t>
        </is>
      </c>
      <c r="F27" s="73" t="n">
        <v>1886</v>
      </c>
      <c r="G27" s="73" t="n">
        <v>61</v>
      </c>
    </row>
    <row r="28" ht="57.95" customHeight="1" s="78">
      <c r="A28" s="73" t="inlineStr">
        <is>
          <t>QA-027</t>
        </is>
      </c>
      <c r="B28" s="73" t="inlineStr">
        <is>
          <t>V4.1 Staging SQA Report</t>
        </is>
      </c>
      <c r="C28" s="73" t="inlineStr">
        <is>
          <t>Archived at consolidation</t>
        </is>
      </c>
      <c r="D28" s="73" t="inlineStr">
        <is>
          <t>docs/archive/sqa/V4_1_STAGING_SQA_REPORT.md</t>
        </is>
      </c>
      <c r="E28" s="73" t="inlineStr">
        <is>
          <t>9f9e799e5716ff1a839a32ef8e22b4efa90327726908cd89b981eaa1152e50ac</t>
        </is>
      </c>
      <c r="F28" s="73" t="n">
        <v>1947</v>
      </c>
      <c r="G28" s="73" t="n">
        <v>57</v>
      </c>
    </row>
    <row r="29" ht="57.95" customHeight="1" s="78">
      <c r="A29" s="73" t="inlineStr">
        <is>
          <t>QA-028</t>
        </is>
      </c>
      <c r="B29" s="73" t="inlineStr">
        <is>
          <t>V5 Python 3.14 Full Local SQA Report</t>
        </is>
      </c>
      <c r="C29" s="73" t="inlineStr">
        <is>
          <t>Archived at consolidation</t>
        </is>
      </c>
      <c r="D29" s="73" t="inlineStr">
        <is>
          <t>docs/archive/sqa/V5_PYTHON_314_FULL_LOCAL_SQA_REPORT_2026-08-23.md</t>
        </is>
      </c>
      <c r="E29" s="73" t="inlineStr">
        <is>
          <t>d8d1a473607f4182f372fba6bd0efa8a722f1becfa33e9d32e0ab94cda6af73c</t>
        </is>
      </c>
      <c r="F29" s="73" t="n">
        <v>2004</v>
      </c>
      <c r="G29" s="73" t="n">
        <v>144</v>
      </c>
    </row>
    <row r="30" ht="57.95" customHeight="1" s="78">
      <c r="A30" s="73" t="inlineStr">
        <is>
          <t>QA-029</t>
        </is>
      </c>
      <c r="B30" s="73" t="inlineStr">
        <is>
          <t>V5 Staging SQA Report</t>
        </is>
      </c>
      <c r="C30" s="73" t="inlineStr">
        <is>
          <t>Archived at consolidation</t>
        </is>
      </c>
      <c r="D30" s="73" t="inlineStr">
        <is>
          <t>docs/archive/sqa/V5_STAGING_SQA_REPORT.md</t>
        </is>
      </c>
      <c r="E30" s="73" t="inlineStr">
        <is>
          <t>7a9a3846885332da806980f0d1e736f50f3e5aaf5df9db6e2025ed6dd035c528</t>
        </is>
      </c>
      <c r="F30" s="73" t="n">
        <v>2148</v>
      </c>
      <c r="G30" s="73" t="n">
        <v>74</v>
      </c>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E1001"/>
  <sheetViews>
    <sheetView showGridLines="0" workbookViewId="0">
      <pane ySplit="1" topLeftCell="A2" activePane="bottomLeft" state="frozen"/>
      <selection pane="bottomLeft" activeCell="A1" sqref="A1"/>
    </sheetView>
  </sheetViews>
  <sheetFormatPr baseColWidth="8" defaultRowHeight="15"/>
  <cols>
    <col width="13" customWidth="1" style="78" min="1" max="2"/>
    <col width="65" customWidth="1" style="78" min="3" max="3"/>
    <col width="28" customWidth="1" style="78" min="4" max="4"/>
    <col width="110" customWidth="1" style="78" min="5" max="5"/>
  </cols>
  <sheetData>
    <row r="1" ht="30" customHeight="1" s="78">
      <c r="A1" s="72" t="inlineStr">
        <is>
          <t>Report ID</t>
        </is>
      </c>
      <c r="B1" s="72" t="inlineStr">
        <is>
          <t>Source line</t>
        </is>
      </c>
      <c r="C1" s="72" t="inlineStr">
        <is>
          <t>Recorded check</t>
        </is>
      </c>
      <c r="D1" s="72" t="inlineStr">
        <is>
          <t>Recorded result</t>
        </is>
      </c>
      <c r="E1" s="72" t="inlineStr">
        <is>
          <t>Recorded evidence / limitation</t>
        </is>
      </c>
    </row>
    <row r="2" ht="39.95" customHeight="1" s="78">
      <c r="A2" s="73" t="inlineStr">
        <is>
          <t>QA-001</t>
        </is>
      </c>
      <c r="B2" s="73" t="n">
        <v>25</v>
      </c>
      <c r="C2" s="73" t="inlineStr">
        <is>
          <t>Ordinary launch</t>
        </is>
      </c>
      <c r="D2" s="73" t="inlineStr">
        <is>
          <t>PASS</t>
        </is>
      </c>
      <c r="E2" s="73" t="inlineStr">
        <is>
          <t>`run-local.ps1` with no AI flag | Three services healthy; AI available but off | All services ready; AI available `True`, off until assignment switch</t>
        </is>
      </c>
    </row>
    <row r="3" ht="30" customHeight="1" s="78">
      <c r="A3" s="73" t="inlineStr">
        <is>
          <t>QA-001</t>
        </is>
      </c>
      <c r="B3" s="73" t="n">
        <v>26</v>
      </c>
      <c r="C3" s="73" t="inlineStr">
        <is>
          <t>AI off</t>
        </is>
      </c>
      <c r="D3" s="73" t="inlineStr">
        <is>
          <t>PASS</t>
        </is>
      </c>
      <c r="E3" s="73" t="inlineStr">
        <is>
          <t>Demo `POST /assignments/1/submit`, `use_ai_tutor=false` | No tutor feedback | No tutor feedback</t>
        </is>
      </c>
    </row>
    <row r="4" ht="30" customHeight="1" s="78">
      <c r="A4" s="73" t="inlineStr">
        <is>
          <t>QA-001</t>
        </is>
      </c>
      <c r="B4" s="73" t="n">
        <v>27</v>
      </c>
      <c r="C4" s="73" t="inlineStr">
        <is>
          <t>AI on</t>
        </is>
      </c>
      <c r="D4" s="73" t="inlineStr">
        <is>
          <t>PASS</t>
        </is>
      </c>
      <c r="E4" s="73" t="inlineStr">
        <is>
          <t>Same demo submission with `use_ai_tutor=true` | OpenAI feedback; grading still returns | Tutor source `openai`</t>
        </is>
      </c>
    </row>
    <row r="5" ht="30" customHeight="1" s="78">
      <c r="A5" s="73" t="inlineStr">
        <is>
          <t>QA-001</t>
        </is>
      </c>
      <c r="B5" s="73" t="n">
        <v>28</v>
      </c>
      <c r="C5" s="73" t="inlineStr">
        <is>
          <t>Follow-up question</t>
        </is>
      </c>
      <c r="D5" s="73" t="inlineStr">
        <is>
          <t>PASS</t>
        </is>
      </c>
      <c r="E5" s="73" t="inlineStr">
        <is>
          <t>Demo `POST /assignments/1/tutor` | Nonempty OpenAI answer | Source `openai`; answer nonempty</t>
        </is>
      </c>
    </row>
    <row r="6" ht="30" customHeight="1" s="78">
      <c r="A6" s="73" t="inlineStr">
        <is>
          <t>QA-001</t>
        </is>
      </c>
      <c r="B6" s="73" t="n">
        <v>29</v>
      </c>
      <c r="C6" s="73" t="inlineStr">
        <is>
          <t>Tutor regressions</t>
        </is>
      </c>
      <c r="D6" s="73" t="inlineStr">
        <is>
          <t>PASS</t>
        </is>
      </c>
      <c r="E6" s="73" t="inlineStr">
        <is>
          <t>`python -m pytest tests/test_tutor.py tests/test_tutor_evaluations.py -q` | Tests pass | 31 passed</t>
        </is>
      </c>
    </row>
    <row r="7" ht="30" customHeight="1" s="78">
      <c r="A7" s="73" t="inlineStr">
        <is>
          <t>QA-001</t>
        </is>
      </c>
      <c r="B7" s="73" t="n">
        <v>30</v>
      </c>
      <c r="C7" s="73" t="inlineStr">
        <is>
          <t>Windows launcher syntax</t>
        </is>
      </c>
      <c r="D7" s="73" t="inlineStr">
        <is>
          <t>PASS</t>
        </is>
      </c>
      <c r="E7" s="73" t="inlineStr">
        <is>
          <t>PowerShell parser | No parse errors | No parse errors</t>
        </is>
      </c>
    </row>
    <row r="8" ht="30" customHeight="1" s="78">
      <c r="A8" s="73" t="inlineStr">
        <is>
          <t>QA-001</t>
        </is>
      </c>
      <c r="B8" s="73" t="n">
        <v>31</v>
      </c>
      <c r="C8" s="73" t="inlineStr">
        <is>
          <t>Ubuntu launcher syntax</t>
        </is>
      </c>
      <c r="D8" s="73" t="inlineStr">
        <is>
          <t>PASS</t>
        </is>
      </c>
      <c r="E8" s="73" t="inlineStr">
        <is>
          <t>Git Bash `bash -n scripts/run-local.sh` | No parse errors | No parse errors</t>
        </is>
      </c>
    </row>
    <row r="9" ht="39.95" customHeight="1" s="78">
      <c r="A9" s="73" t="inlineStr">
        <is>
          <t>QA-001</t>
        </is>
      </c>
      <c r="B9" s="73" t="n">
        <v>32</v>
      </c>
      <c r="C9" s="73" t="inlineStr">
        <is>
          <t>Manual Flutter click-through</t>
        </is>
      </c>
      <c r="D9" s="73" t="inlineStr">
        <is>
          <t>NOT RUN</t>
        </is>
      </c>
      <c r="E9" s="73" t="inlineStr">
        <is>
          <t>Log in, toggle AI, run and ask in browser | OpenAI result visible | Not performed; API flow and UI wiring checked instead</t>
        </is>
      </c>
    </row>
    <row r="10" ht="30" customHeight="1" s="78">
      <c r="A10" s="73" t="inlineStr">
        <is>
          <t>QA-001</t>
        </is>
      </c>
      <c r="B10" s="73" t="n">
        <v>33</v>
      </c>
      <c r="C10" s="73" t="inlineStr">
        <is>
          <t>Physical Ubuntu run</t>
        </is>
      </c>
      <c r="D10" s="73" t="inlineStr">
        <is>
          <t>NOT RUN</t>
        </is>
      </c>
      <c r="E10" s="73" t="inlineStr">
        <is>
          <t>Launch and exercise on Ubuntu | Same behavior | No Ubuntu machine used</t>
        </is>
      </c>
    </row>
    <row r="11" ht="30" customHeight="1" s="78">
      <c r="A11" s="73" t="inlineStr">
        <is>
          <t>QA-002</t>
        </is>
      </c>
      <c r="B11" s="73" t="n">
        <v>24</v>
      </c>
      <c r="C11" s="73" t="inlineStr">
        <is>
          <t>PowerShell syntax</t>
        </is>
      </c>
      <c r="D11" s="73" t="inlineStr">
        <is>
          <t>PASS</t>
        </is>
      </c>
      <c r="E11" s="73" t="inlineStr">
        <is>
          <t>Database module, launcher, worker, and stop scripts parsed without errors | None</t>
        </is>
      </c>
    </row>
    <row r="12" ht="30" customHeight="1" s="78">
      <c r="A12" s="73" t="inlineStr">
        <is>
          <t>QA-002</t>
        </is>
      </c>
      <c r="B12" s="73" t="n">
        <v>25</v>
      </c>
      <c r="C12" s="73" t="inlineStr">
        <is>
          <t>Managed worker startup</t>
        </is>
      </c>
      <c r="D12" s="73" t="inlineStr">
        <is>
          <t>PASS</t>
        </is>
      </c>
      <c r="E12" s="73" t="inlineStr">
        <is>
          <t>Runtime state recorded `database-backup`; worker produced a verified dump | Requires Docker PostgreSQL mode</t>
        </is>
      </c>
    </row>
    <row r="13" ht="30" customHeight="1" s="78">
      <c r="A13" s="73" t="inlineStr">
        <is>
          <t>QA-002</t>
        </is>
      </c>
      <c r="B13" s="73" t="n">
        <v>26</v>
      </c>
      <c r="C13" s="73" t="inlineStr">
        <is>
          <t>Scheduled cycle</t>
        </is>
      </c>
      <c r="D13" s="73" t="inlineStr">
        <is>
          <t>PASS</t>
        </is>
      </c>
      <c r="E13" s="73" t="inlineStr">
        <is>
          <t>One-minute test interval produced a second worker log entry | Normal default is 10 minutes</t>
        </is>
      </c>
    </row>
    <row r="14" ht="30" customHeight="1" s="78">
      <c r="A14" s="73" t="inlineStr">
        <is>
          <t>QA-002</t>
        </is>
      </c>
      <c r="B14" s="73" t="n">
        <v>27</v>
      </c>
      <c r="C14" s="73" t="inlineStr">
        <is>
          <t>Unchanged database</t>
        </is>
      </c>
      <c r="D14" s="73" t="inlineStr">
        <is>
          <t>PASS</t>
        </is>
      </c>
      <c r="E14" s="73" t="inlineStr">
        <is>
          <t>Consecutive cycle reported `Database unchanged; automatic backup skipped` | PostgreSQL-only optimization</t>
        </is>
      </c>
    </row>
    <row r="15" ht="39.95" customHeight="1" s="78">
      <c r="A15" s="73" t="inlineStr">
        <is>
          <t>QA-002</t>
        </is>
      </c>
      <c r="B15" s="73" t="n">
        <v>28</v>
      </c>
      <c r="C15" s="73" t="inlineStr">
        <is>
          <t>Changed database</t>
        </is>
      </c>
      <c r="D15" s="73" t="inlineStr">
        <is>
          <t>PASS</t>
        </is>
      </c>
      <c r="E15" s="73" t="inlineStr">
        <is>
          <t>Controlled temporary-table change produced a new dump and SHA-256 manifest | Temporary probe was removed before final backup</t>
        </is>
      </c>
    </row>
    <row r="16" ht="30" customHeight="1" s="78">
      <c r="A16" s="73" t="inlineStr">
        <is>
          <t>QA-002</t>
        </is>
      </c>
      <c r="B16" s="73" t="n">
        <v>29</v>
      </c>
      <c r="C16" s="73" t="inlineStr">
        <is>
          <t>Backup validation</t>
        </is>
      </c>
      <c r="D16" s="73" t="inlineStr">
        <is>
          <t>PASS</t>
        </is>
      </c>
      <c r="E16" s="73" t="inlineStr">
        <is>
          <t>Dump creation ran `pg_restore --list`; manifest recorded checksum, schema, system ID, and WAL position | None</t>
        </is>
      </c>
    </row>
    <row r="17" ht="39.95" customHeight="1" s="78">
      <c r="A17" s="73" t="inlineStr">
        <is>
          <t>QA-002</t>
        </is>
      </c>
      <c r="B17" s="73" t="n">
        <v>30</v>
      </c>
      <c r="C17" s="73" t="inlineStr">
        <is>
          <t>Clean shutdown</t>
        </is>
      </c>
      <c r="D17" s="73" t="inlineStr">
        <is>
          <t>PASS</t>
        </is>
      </c>
      <c r="E17" s="73" t="inlineStr">
        <is>
          <t>Worker stopped first; final verified dump was saved; state and device-lock files were removed | User must run the stop command before device handoff</t>
        </is>
      </c>
    </row>
    <row r="18" ht="39.95" customHeight="1" s="78">
      <c r="A18" s="73" t="inlineStr">
        <is>
          <t>QA-002</t>
        </is>
      </c>
      <c r="B18" s="73" t="n">
        <v>31</v>
      </c>
      <c r="C18" s="73" t="inlineStr">
        <is>
          <t>Active services</t>
        </is>
      </c>
      <c r="D18" s="73" t="inlineStr">
        <is>
          <t>PASS</t>
        </is>
      </c>
      <c r="E18" s="73" t="inlineStr">
        <is>
          <t>Backend, sandbox, frontend, and PostgreSQL started successfully; backend health returned `ok` | Browser-close detection is intentionally not used</t>
        </is>
      </c>
    </row>
    <row r="19" ht="39.95" customHeight="1" s="78">
      <c r="A19" s="73" t="inlineStr">
        <is>
          <t>QA-002</t>
        </is>
      </c>
      <c r="B19" s="73" t="n">
        <v>32</v>
      </c>
      <c r="C19" s="73" t="inlineStr">
        <is>
          <t>Folder consolidation</t>
        </is>
      </c>
      <c r="D19" s="73" t="inlineStr">
        <is>
          <t>PASS</t>
        </is>
      </c>
      <c r="E19" s="73" t="inlineStr">
        <is>
          <t>Four older August 25 backups were preserved under `local_handoff_package/history/legacy-2026-08-25`; duplicate folder removed | History remains private and ignored by Git</t>
        </is>
      </c>
    </row>
    <row r="20" ht="39.95" customHeight="1" s="78">
      <c r="A20" s="73" t="inlineStr">
        <is>
          <t>QA-002</t>
        </is>
      </c>
      <c r="B20" s="73" t="n">
        <v>33</v>
      </c>
      <c r="C20" s="73" t="inlineStr">
        <is>
          <t>Isolated handoff regression</t>
        </is>
      </c>
      <c r="D20" s="73" t="inlineStr">
        <is>
          <t>PASS</t>
        </is>
      </c>
      <c r="E20" s="73" t="inlineStr">
        <is>
          <t>Automated backup, unchanged skip, checksum rejection, device lock, same-device recovery, and simulated clean-device restore preserved all table counts | Physical second-device operation was not repeated</t>
        </is>
      </c>
    </row>
    <row r="21" ht="39.95" customHeight="1" s="78">
      <c r="A21" s="73" t="inlineStr">
        <is>
          <t>QA-002</t>
        </is>
      </c>
      <c r="B21" s="73" t="n">
        <v>34</v>
      </c>
      <c r="C21" s="73" t="inlineStr">
        <is>
          <t>Complete local gate</t>
        </is>
      </c>
      <c r="D21" s="73" t="inlineStr">
        <is>
          <t>PASS</t>
        </is>
      </c>
      <c r="E21" s="73" t="inlineStr">
        <is>
          <t>179 backend tests, dependency check, migrations, database handoff, Flutter analysis, 50 Flutter tests, release web build, and source-safety check | Existing unrelated V5.2 working-tree changes remain uncommitted</t>
        </is>
      </c>
    </row>
    <row r="22" ht="30" customHeight="1" s="78">
      <c r="A22" s="73" t="inlineStr">
        <is>
          <t>QA-003</t>
        </is>
      </c>
      <c r="B22" s="73" t="n">
        <v>41</v>
      </c>
      <c r="C22" s="73" t="inlineStr">
        <is>
          <t>One active private-data folder</t>
        </is>
      </c>
      <c r="D22" s="73" t="inlineStr">
        <is>
          <t>PASS</t>
        </is>
      </c>
      <c r="E22" s="73" t="inlineStr">
        <is>
          <t>Resolved database and config paths | Both equal repository `local_handoff_package`</t>
        </is>
      </c>
    </row>
    <row r="23" ht="39.95" customHeight="1" s="78">
      <c r="A23" s="73" t="inlineStr">
        <is>
          <t>QA-003</t>
        </is>
      </c>
      <c r="B23" s="73" t="n">
        <v>42</v>
      </c>
      <c r="C23" s="73" t="inlineStr">
        <is>
          <t>No duplicate active paths</t>
        </is>
      </c>
      <c r="D23" s="73" t="inlineStr">
        <is>
          <t>PASS</t>
        </is>
      </c>
      <c r="E23" s="73" t="inlineStr">
        <is>
          <t>Filesystem inspection after migration | Old four locations absent; recovery copies are outside OneDrive in quarantine</t>
        </is>
      </c>
    </row>
    <row r="24" ht="30" customHeight="1" s="78">
      <c r="A24" s="73" t="inlineStr">
        <is>
          <t>QA-003</t>
        </is>
      </c>
      <c r="B24" s="73" t="n">
        <v>43</v>
      </c>
      <c r="C24" s="73" t="inlineStr">
        <is>
          <t>Database integrity</t>
        </is>
      </c>
      <c r="D24" s="73" t="inlineStr">
        <is>
          <t>PASS</t>
        </is>
      </c>
      <c r="E24" s="73" t="inlineStr">
        <is>
          <t>SHA-256 compared with `latest.json` | Hash matched before and after runtime stop</t>
        </is>
      </c>
    </row>
    <row r="25" ht="30" customHeight="1" s="78">
      <c r="A25" s="73" t="inlineStr">
        <is>
          <t>QA-003</t>
        </is>
      </c>
      <c r="B25" s="73" t="n">
        <v>44</v>
      </c>
      <c r="C25" s="73" t="inlineStr">
        <is>
          <t>Private config integrity</t>
        </is>
      </c>
      <c r="D25" s="73" t="inlineStr">
        <is>
          <t>PASS</t>
        </is>
      </c>
      <c r="E25" s="73" t="inlineStr">
        <is>
          <t>Root `.env` compared with former backend file before quarantine | SHA-256 matched; contents were not printed</t>
        </is>
      </c>
    </row>
    <row r="26" ht="30" customHeight="1" s="78">
      <c r="A26" s="73" t="inlineStr">
        <is>
          <t>QA-003</t>
        </is>
      </c>
      <c r="B26" s="73" t="n">
        <v>45</v>
      </c>
      <c r="C26" s="73" t="inlineStr">
        <is>
          <t>Direct config loading</t>
        </is>
      </c>
      <c r="D26" s="73" t="inlineStr">
        <is>
          <t>PASS</t>
        </is>
      </c>
      <c r="E26" s="73" t="inlineStr">
        <is>
          <t>Focused backend test | `ROBOTICS_ENV_FILE` selected the requested file</t>
        </is>
      </c>
    </row>
    <row r="27" ht="30" customHeight="1" s="78">
      <c r="A27" s="73" t="inlineStr">
        <is>
          <t>QA-003</t>
        </is>
      </c>
      <c r="B27" s="73" t="n">
        <v>46</v>
      </c>
      <c r="C27" s="73" t="inlineStr">
        <is>
          <t>Incomplete backup protection</t>
        </is>
      </c>
      <c r="D27" s="73" t="inlineStr">
        <is>
          <t>PASS</t>
        </is>
      </c>
      <c r="E27" s="73" t="inlineStr">
        <is>
          <t>Removed one member of a temporary pair | Resolver rejected the incomplete pair</t>
        </is>
      </c>
    </row>
    <row r="28" ht="39.95" customHeight="1" s="78">
      <c r="A28" s="73" t="inlineStr">
        <is>
          <t>QA-003</t>
        </is>
      </c>
      <c r="B28" s="73" t="n">
        <v>47</v>
      </c>
      <c r="C28" s="73" t="inlineStr">
        <is>
          <t>Fresh-clone handoff</t>
        </is>
      </c>
      <c r="D28" s="73" t="inlineStr">
        <is>
          <t>PASS</t>
        </is>
      </c>
      <c r="E28" s="73" t="inlineStr">
        <is>
          <t>Clone, apply candidate, copy package, setup, detect | Clone used package directly and did not create `backend/.env`</t>
        </is>
      </c>
    </row>
    <row r="29" ht="30" customHeight="1" s="78">
      <c r="A29" s="73" t="inlineStr">
        <is>
          <t>QA-003</t>
        </is>
      </c>
      <c r="B29" s="73" t="n">
        <v>48</v>
      </c>
      <c r="C29" s="73" t="inlineStr">
        <is>
          <t>First-time setup</t>
        </is>
      </c>
      <c r="D29" s="73" t="inlineStr">
        <is>
          <t>PASS</t>
        </is>
      </c>
      <c r="E29" s="73" t="inlineStr">
        <is>
          <t>Normal `setup-local.ps1` | Python 3.14.7, Docker Compose, and Flutter detected</t>
        </is>
      </c>
    </row>
    <row r="30" ht="30" customHeight="1" s="78">
      <c r="A30" s="73" t="inlineStr">
        <is>
          <t>QA-003</t>
        </is>
      </c>
      <c r="B30" s="73" t="n">
        <v>49</v>
      </c>
      <c r="C30" s="73" t="inlineStr">
        <is>
          <t>Backend regression</t>
        </is>
      </c>
      <c r="D30" s="73" t="inlineStr">
        <is>
          <t>PASS</t>
        </is>
      </c>
      <c r="E30" s="73" t="inlineStr">
        <is>
          <t>Full test suite | 175 tests passed</t>
        </is>
      </c>
    </row>
    <row r="31" ht="30" customHeight="1" s="78">
      <c r="A31" s="73" t="inlineStr">
        <is>
          <t>QA-003</t>
        </is>
      </c>
      <c r="B31" s="73" t="n">
        <v>50</v>
      </c>
      <c r="C31" s="73" t="inlineStr">
        <is>
          <t>Dependency integrity</t>
        </is>
      </c>
      <c r="D31" s="73" t="inlineStr">
        <is>
          <t>PASS</t>
        </is>
      </c>
      <c r="E31" s="73" t="inlineStr">
        <is>
          <t>`pip check` | No broken requirements</t>
        </is>
      </c>
    </row>
    <row r="32" ht="30" customHeight="1" s="78">
      <c r="A32" s="73" t="inlineStr">
        <is>
          <t>QA-003</t>
        </is>
      </c>
      <c r="B32" s="73" t="n">
        <v>51</v>
      </c>
      <c r="C32" s="73" t="inlineStr">
        <is>
          <t>Database migration and recovery</t>
        </is>
      </c>
      <c r="D32" s="73" t="inlineStr">
        <is>
          <t>PASS</t>
        </is>
      </c>
      <c r="E32" s="73" t="inlineStr">
        <is>
          <t>Isolated Docker handoff test | All 183 rows preserved across every application table</t>
        </is>
      </c>
    </row>
    <row r="33" ht="30" customHeight="1" s="78">
      <c r="A33" s="73" t="inlineStr">
        <is>
          <t>QA-003</t>
        </is>
      </c>
      <c r="B33" s="73" t="n">
        <v>52</v>
      </c>
      <c r="C33" s="73" t="inlineStr">
        <is>
          <t>Flutter analysis</t>
        </is>
      </c>
      <c r="D33" s="73" t="inlineStr">
        <is>
          <t>PASS</t>
        </is>
      </c>
      <c r="E33" s="73" t="inlineStr">
        <is>
          <t>Analyzer | No issues found</t>
        </is>
      </c>
    </row>
    <row r="34" ht="30" customHeight="1" s="78">
      <c r="A34" s="73" t="inlineStr">
        <is>
          <t>QA-003</t>
        </is>
      </c>
      <c r="B34" s="73" t="n">
        <v>53</v>
      </c>
      <c r="C34" s="73" t="inlineStr">
        <is>
          <t>Flutter regression</t>
        </is>
      </c>
      <c r="D34" s="73" t="inlineStr">
        <is>
          <t>PASS</t>
        </is>
      </c>
      <c r="E34" s="73" t="inlineStr">
        <is>
          <t>Widget and state tests | 49 tests passed</t>
        </is>
      </c>
    </row>
    <row r="35" ht="30" customHeight="1" s="78">
      <c r="A35" s="73" t="inlineStr">
        <is>
          <t>QA-003</t>
        </is>
      </c>
      <c r="B35" s="73" t="n">
        <v>54</v>
      </c>
      <c r="C35" s="73" t="inlineStr">
        <is>
          <t>Flutter release build</t>
        </is>
      </c>
      <c r="D35" s="73" t="inlineStr">
        <is>
          <t>PASS</t>
        </is>
      </c>
      <c r="E35" s="73" t="inlineStr">
        <is>
          <t>OneDrive-safe release build | Web build completed</t>
        </is>
      </c>
    </row>
    <row r="36" ht="30" customHeight="1" s="78">
      <c r="A36" s="73" t="inlineStr">
        <is>
          <t>QA-003</t>
        </is>
      </c>
      <c r="B36" s="73" t="n">
        <v>55</v>
      </c>
      <c r="C36" s="73" t="inlineStr">
        <is>
          <t>Local runtime startup</t>
        </is>
      </c>
      <c r="D36" s="73" t="inlineStr">
        <is>
          <t>PASS</t>
        </is>
      </c>
      <c r="E36" s="73" t="inlineStr">
        <is>
          <t>Supported launcher | Frontend, FastAPI, sandbox, and PostgreSQL became ready</t>
        </is>
      </c>
    </row>
    <row r="37" ht="30" customHeight="1" s="78">
      <c r="A37" s="73" t="inlineStr">
        <is>
          <t>QA-003</t>
        </is>
      </c>
      <c r="B37" s="73" t="n">
        <v>56</v>
      </c>
      <c r="C37" s="73" t="inlineStr">
        <is>
          <t>Runtime service health</t>
        </is>
      </c>
      <c r="D37" s="73" t="inlineStr">
        <is>
          <t>PASS</t>
        </is>
      </c>
      <c r="E37" s="73" t="inlineStr">
        <is>
          <t>HTTP checks | Frontend 200; backend and sandbox status `ok`</t>
        </is>
      </c>
    </row>
    <row r="38" ht="39.95" customHeight="1" s="78">
      <c r="A38" s="73" t="inlineStr">
        <is>
          <t>QA-003</t>
        </is>
      </c>
      <c r="B38" s="73" t="n">
        <v>57</v>
      </c>
      <c r="C38" s="73" t="inlineStr">
        <is>
          <t>Rendered login and student UI</t>
        </is>
      </c>
      <c r="D38" s="73" t="inlineStr">
        <is>
          <t>PASS</t>
        </is>
      </c>
      <c r="E38" s="73" t="inlineStr">
        <is>
          <t>In-app browser at local frontend | Login card rendered; student login showed six assignment cards and saved progress</t>
        </is>
      </c>
    </row>
    <row r="39" ht="39.95" customHeight="1" s="78">
      <c r="A39" s="73" t="inlineStr">
        <is>
          <t>QA-003</t>
        </is>
      </c>
      <c r="B39" s="73" t="n">
        <v>58</v>
      </c>
      <c r="C39" s="73" t="inlineStr">
        <is>
          <t>Rendered instructor UI</t>
        </is>
      </c>
      <c r="D39" s="73" t="inlineStr">
        <is>
          <t>PASS</t>
        </is>
      </c>
      <c r="E39" s="73" t="inlineStr">
        <is>
          <t>In-app browser at local frontend | Assignment studio showed six published assignments; research dashboard rendered</t>
        </is>
      </c>
    </row>
    <row r="40" ht="30" customHeight="1" s="78">
      <c r="A40" s="73" t="inlineStr">
        <is>
          <t>QA-003</t>
        </is>
      </c>
      <c r="B40" s="73" t="n">
        <v>59</v>
      </c>
      <c r="C40" s="73" t="inlineStr">
        <is>
          <t>Browser console</t>
        </is>
      </c>
      <c r="D40" s="73" t="inlineStr">
        <is>
          <t>PASS</t>
        </is>
      </c>
      <c r="E40" s="73" t="inlineStr">
        <is>
          <t>Warning/error inspection | No application error; one known Dart debug-runtime warning only</t>
        </is>
      </c>
    </row>
    <row r="41" ht="39.95" customHeight="1" s="78">
      <c r="A41" s="73" t="inlineStr">
        <is>
          <t>QA-003</t>
        </is>
      </c>
      <c r="B41" s="73" t="n">
        <v>60</v>
      </c>
      <c r="C41" s="73" t="inlineStr">
        <is>
          <t>Student and instructor access</t>
        </is>
      </c>
      <c r="D41" s="73" t="inlineStr">
        <is>
          <t>PASS</t>
        </is>
      </c>
      <c r="E41" s="73" t="inlineStr">
        <is>
          <t>Real local API login and role endpoints | Both demo roles authenticated; wrong password returned 401; student admin access returned 403</t>
        </is>
      </c>
    </row>
    <row r="42" ht="30" customHeight="1" s="78">
      <c r="A42" s="73" t="inlineStr">
        <is>
          <t>QA-003</t>
        </is>
      </c>
      <c r="B42" s="73" t="n">
        <v>61</v>
      </c>
      <c r="C42" s="73" t="inlineStr">
        <is>
          <t>Six assignment discovery</t>
        </is>
      </c>
      <c r="D42" s="73" t="inlineStr">
        <is>
          <t>PASS</t>
        </is>
      </c>
      <c r="E42" s="73" t="inlineStr">
        <is>
          <t>Authenticated assignments API | IDs 1 through 6 returned</t>
        </is>
      </c>
    </row>
    <row r="43" ht="30" customHeight="1" s="78">
      <c r="A43" s="73" t="inlineStr">
        <is>
          <t>QA-003</t>
        </is>
      </c>
      <c r="B43" s="73" t="n">
        <v>62</v>
      </c>
      <c r="C43" s="73" t="inlineStr">
        <is>
          <t>Clean shutdown</t>
        </is>
      </c>
      <c r="D43" s="73" t="inlineStr">
        <is>
          <t>PASS</t>
        </is>
      </c>
      <c r="E43" s="73" t="inlineStr">
        <is>
          <t>Supported stop script | Dump refreshed, checksum valid, device lock absent</t>
        </is>
      </c>
    </row>
    <row r="44" ht="30" customHeight="1" s="78">
      <c r="A44" s="73" t="inlineStr">
        <is>
          <t>QA-003</t>
        </is>
      </c>
      <c r="B44" s="73" t="n">
        <v>63</v>
      </c>
      <c r="C44" s="73" t="inlineStr">
        <is>
          <t>ROS 2 Assignment 5</t>
        </is>
      </c>
      <c r="D44" s="73" t="inlineStr">
        <is>
          <t>PASS</t>
        </is>
      </c>
      <c r="E44" s="73" t="inlineStr">
        <is>
          <t>Real Jazzy grader image | 7/7 checks; observed command topic behavior</t>
        </is>
      </c>
    </row>
    <row r="45" ht="30" customHeight="1" s="78">
      <c r="A45" s="73" t="inlineStr">
        <is>
          <t>QA-003</t>
        </is>
      </c>
      <c r="B45" s="73" t="n">
        <v>64</v>
      </c>
      <c r="C45" s="73" t="inlineStr">
        <is>
          <t>ROS 2 Assignment 6</t>
        </is>
      </c>
      <c r="D45" s="73" t="inlineStr">
        <is>
          <t>PASS</t>
        </is>
      </c>
      <c r="E45" s="73" t="inlineStr">
        <is>
          <t>Real Jazzy grader image | 9/9 checks; observed obstacle-stop behavior</t>
        </is>
      </c>
    </row>
    <row r="46" ht="30" customHeight="1" s="78">
      <c r="A46" s="73" t="inlineStr">
        <is>
          <t>QA-003</t>
        </is>
      </c>
      <c r="B46" s="73" t="n">
        <v>65</v>
      </c>
      <c r="C46" s="73" t="inlineStr">
        <is>
          <t>Docker Compose configuration</t>
        </is>
      </c>
      <c r="D46" s="73" t="inlineStr">
        <is>
          <t>PASS</t>
        </is>
      </c>
      <c r="E46" s="73" t="inlineStr">
        <is>
          <t>`docker compose config --quiet` | Configuration parsed successfully</t>
        </is>
      </c>
    </row>
    <row r="47" ht="39.95" customHeight="1" s="78">
      <c r="A47" s="73" t="inlineStr">
        <is>
          <t>QA-003</t>
        </is>
      </c>
      <c r="B47" s="73" t="n">
        <v>66</v>
      </c>
      <c r="C47" s="73" t="inlineStr">
        <is>
          <t>Physical second computer</t>
        </is>
      </c>
      <c r="D47" s="73" t="inlineStr">
        <is>
          <t>NOT RUN</t>
        </is>
      </c>
      <c r="E47" s="73" t="inlineStr">
        <is>
          <t>Run on an actual laptop or lab computer | Automated fresh-clone rehearsal passed; physical-device acceptance remains</t>
        </is>
      </c>
    </row>
    <row r="48" ht="30" customHeight="1" s="78">
      <c r="A48" s="73" t="inlineStr">
        <is>
          <t>QA-003</t>
        </is>
      </c>
      <c r="B48" s="73" t="n">
        <v>67</v>
      </c>
      <c r="C48" s="73" t="inlineStr">
        <is>
          <t>Excel SQA workbook refresh</t>
        </is>
      </c>
      <c r="D48" s="73" t="inlineStr">
        <is>
          <t>BLOCKED</t>
        </is>
      </c>
      <c r="E48" s="73" t="inlineStr">
        <is>
          <t>Required spreadsheet artifact runtime | Runtime was unavailable in this session; Markdown report is current</t>
        </is>
      </c>
    </row>
    <row r="49" ht="30" customHeight="1" s="78">
      <c r="A49" s="73" t="inlineStr">
        <is>
          <t>QA-004</t>
        </is>
      </c>
      <c r="B49" s="73" t="n">
        <v>23</v>
      </c>
      <c r="C49" s="73" t="inlineStr">
        <is>
          <t>Authenticated access; six topics; all sections</t>
        </is>
      </c>
      <c r="D49" s="73" t="inlineStr">
        <is>
          <t>Pass</t>
        </is>
      </c>
      <c r="E49" s="73" t="inlineStr">
        <is>
          <t>`backend/tests/test_course_content.py`</t>
        </is>
      </c>
    </row>
    <row r="50" ht="39.95" customHeight="1" s="78">
      <c r="A50" s="73" t="inlineStr">
        <is>
          <t>QA-004</t>
        </is>
      </c>
      <c r="B50" s="73" t="n">
        <v>24</v>
      </c>
      <c r="C50" s="73" t="inlineStr">
        <is>
          <t>Quiz submit, 100% and 0% scores, rejected incomplete and invalid answers</t>
        </is>
      </c>
      <c r="D50" s="73" t="inlineStr">
        <is>
          <t>Pass</t>
        </is>
      </c>
      <c r="E50" s="73" t="inlineStr">
        <is>
          <t>`backend/tests/test_course_content.py`</t>
        </is>
      </c>
    </row>
    <row r="51" ht="39.95" customHeight="1" s="78">
      <c r="A51" s="73" t="inlineStr">
        <is>
          <t>QA-004</t>
        </is>
      </c>
      <c r="B51" s="73" t="n">
        <v>25</v>
      </c>
      <c r="C51" s="73" t="inlineStr">
        <is>
          <t>Student-private history, restart persistence, demo non-persistence</t>
        </is>
      </c>
      <c r="D51" s="73" t="inlineStr">
        <is>
          <t>Pass</t>
        </is>
      </c>
      <c r="E51" s="73" t="inlineStr">
        <is>
          <t>`backend/tests/test_course_content.py` with disposable database</t>
        </is>
      </c>
    </row>
    <row r="52" ht="30" customHeight="1" s="78">
      <c r="A52" s="73" t="inlineStr">
        <is>
          <t>QA-004</t>
        </is>
      </c>
      <c r="B52" s="73" t="n">
        <v>26</v>
      </c>
      <c r="C52" s="73" t="inlineStr">
        <is>
          <t>Exercise and math pages omit answer headings</t>
        </is>
      </c>
      <c r="D52" s="73" t="inlineStr">
        <is>
          <t>Pass</t>
        </is>
      </c>
      <c r="E52" s="73" t="inlineStr">
        <is>
          <t>Generated-page scan and backend test</t>
        </is>
      </c>
    </row>
    <row r="53" ht="30" customHeight="1" s="78">
      <c r="A53" s="73" t="inlineStr">
        <is>
          <t>QA-004</t>
        </is>
      </c>
      <c r="B53" s="73" t="n">
        <v>27</v>
      </c>
      <c r="C53" s="73" t="inlineStr">
        <is>
          <t>Lesson images load</t>
        </is>
      </c>
      <c r="D53" s="73" t="inlineStr">
        <is>
          <t>Pass</t>
        </is>
      </c>
      <c r="E53" s="73" t="inlineStr">
        <is>
          <t>Backend asset test and local browser diagram view</t>
        </is>
      </c>
    </row>
    <row r="54" ht="30" customHeight="1" s="78">
      <c r="A54" s="73" t="inlineStr">
        <is>
          <t>QA-004</t>
        </is>
      </c>
      <c r="B54" s="73" t="n">
        <v>28</v>
      </c>
      <c r="C54" s="73" t="inlineStr">
        <is>
          <t>Student navigation and course page</t>
        </is>
      </c>
      <c r="D54" s="73" t="inlineStr">
        <is>
          <t>Pass</t>
        </is>
      </c>
      <c r="E54" s="73" t="inlineStr">
        <is>
          <t>Isolated local browser with temporary in-memory database</t>
        </is>
      </c>
    </row>
    <row r="55" ht="30" customHeight="1" s="78">
      <c r="A55" s="73" t="inlineStr">
        <is>
          <t>QA-004</t>
        </is>
      </c>
      <c r="B55" s="73" t="n">
        <v>29</v>
      </c>
      <c r="C55" s="73" t="inlineStr">
        <is>
          <t>UTF-8 symbols and punctuation</t>
        </is>
      </c>
      <c r="D55" s="73" t="inlineStr">
        <is>
          <t>Pass</t>
        </is>
      </c>
      <c r="E55" s="73" t="inlineStr">
        <is>
          <t>Local browser recheck after client fix</t>
        </is>
      </c>
    </row>
    <row r="56" ht="39.95" customHeight="1" s="78">
      <c r="A56" s="73" t="inlineStr">
        <is>
          <t>QA-004</t>
        </is>
      </c>
      <c r="B56" s="73" t="n">
        <v>30</v>
      </c>
      <c r="C56" s="73" t="inlineStr">
        <is>
          <t>Mobile-width topic navigation and score-after-submit behavior</t>
        </is>
      </c>
      <c r="D56" s="73" t="inlineStr">
        <is>
          <t>Pass</t>
        </is>
      </c>
      <c r="E56" s="73" t="inlineStr">
        <is>
          <t>Flutter widget test at 390-pixel width</t>
        </is>
      </c>
    </row>
    <row r="57" ht="30" customHeight="1" s="78">
      <c r="A57" s="73" t="inlineStr">
        <is>
          <t>QA-004</t>
        </is>
      </c>
      <c r="B57" s="73" t="n">
        <v>31</v>
      </c>
      <c r="C57" s="73" t="inlineStr">
        <is>
          <t>Fresh/upgrade/rollback migration</t>
        </is>
      </c>
      <c r="D57" s="73" t="inlineStr">
        <is>
          <t>Pass</t>
        </is>
      </c>
      <c r="E57" s="73" t="inlineStr">
        <is>
          <t>`backend/tests/test_migrations.py`</t>
        </is>
      </c>
    </row>
    <row r="58" ht="54" customHeight="1" s="78">
      <c r="A58" s="73" t="inlineStr">
        <is>
          <t>QA-004</t>
        </is>
      </c>
      <c r="B58" s="73" t="n">
        <v>32</v>
      </c>
      <c r="C58" s="73" t="inlineStr">
        <is>
          <t>Full backend regression, dependency/compile validation, Flutter analysis/tests/release build, source completeness, and service health</t>
        </is>
      </c>
      <c r="D58" s="73" t="inlineStr">
        <is>
          <t>Pass</t>
        </is>
      </c>
      <c r="E58" s="73" t="inlineStr">
        <is>
          <t>`./scripts/verify-local.ps1 -ApiBaseUrl http://127.0.0.1:5100` on the Windows staging checkout</t>
        </is>
      </c>
    </row>
    <row r="59" ht="30" customHeight="1" s="78">
      <c r="A59" s="73" t="inlineStr">
        <is>
          <t>QA-004</t>
        </is>
      </c>
      <c r="B59" s="73" t="n">
        <v>33</v>
      </c>
      <c r="C59" s="73" t="inlineStr">
        <is>
          <t>Hosted deployment</t>
        </is>
      </c>
      <c r="D59" s="73" t="inlineStr">
        <is>
          <t>Not run</t>
        </is>
      </c>
      <c r="E59" s="73" t="inlineStr">
        <is>
          <t>No hosted deployment was performed</t>
        </is>
      </c>
    </row>
    <row r="60" ht="30" customHeight="1" s="78">
      <c r="A60" s="73" t="inlineStr">
        <is>
          <t>QA-004</t>
        </is>
      </c>
      <c r="B60" s="73" t="n">
        <v>65</v>
      </c>
      <c r="C60" s="73" t="inlineStr">
        <is>
          <t>All six quizzes at 0%, 50%, and 100%</t>
        </is>
      </c>
      <c r="D60" s="73" t="inlineStr">
        <is>
          <t>Pass</t>
        </is>
      </c>
      <c r="E60" s="73" t="inlineStr">
        <is>
          <t>API assertions in disposable PostgreSQL and course-content regression tests</t>
        </is>
      </c>
    </row>
    <row r="61" ht="39.95" customHeight="1" s="78">
      <c r="A61" s="73" t="inlineStr">
        <is>
          <t>QA-004</t>
        </is>
      </c>
      <c r="B61" s="73" t="n">
        <v>66</v>
      </c>
      <c r="C61" s="73" t="inlineStr">
        <is>
          <t>Populated migration, restart persistence, student isolation, rollback/re-upgrade</t>
        </is>
      </c>
      <c r="D61" s="73" t="inlineStr">
        <is>
          <t>Pass</t>
        </is>
      </c>
      <c r="E61" s="73" t="inlineStr">
        <is>
          <t>Disposable PostgreSQL verification; migration regression tests</t>
        </is>
      </c>
    </row>
    <row r="62" ht="39.95" customHeight="1" s="78">
      <c r="A62" s="73" t="inlineStr">
        <is>
          <t>QA-004</t>
        </is>
      </c>
      <c r="B62" s="73" t="n">
        <v>67</v>
      </c>
      <c r="C62" s="73" t="inlineStr">
        <is>
          <t>Browser submission and saved history</t>
        </is>
      </c>
      <c r="D62" s="73" t="inlineStr">
        <is>
          <t>Pass</t>
        </is>
      </c>
      <c r="E62" s="73" t="inlineStr">
        <is>
          <t>Path Planning: 100% in initial isolated test; 50% with five right/five wrong using PostgreSQL; saved score remains after reopening</t>
        </is>
      </c>
    </row>
    <row r="63" ht="30" customHeight="1" s="78">
      <c r="A63" s="73" t="inlineStr">
        <is>
          <t>QA-004</t>
        </is>
      </c>
      <c r="B63" s="73" t="n">
        <v>68</v>
      </c>
      <c r="C63" s="73" t="inlineStr">
        <is>
          <t>Keyboard answer selection and submission</t>
        </is>
      </c>
      <c r="D63" s="73" t="inlineStr">
        <is>
          <t>Pass</t>
        </is>
      </c>
      <c r="E63" s="73" t="inlineStr">
        <is>
          <t>Browser radio controls selected with Space; submit with Enter</t>
        </is>
      </c>
    </row>
    <row r="64" ht="30" customHeight="1" s="78">
      <c r="A64" s="73" t="inlineStr">
        <is>
          <t>QA-004</t>
        </is>
      </c>
      <c r="B64" s="73" t="n">
        <v>69</v>
      </c>
      <c r="C64" s="73" t="inlineStr">
        <is>
          <t>Demo and instructor preview do not save student attempts</t>
        </is>
      </c>
      <c r="D64" s="73" t="inlineStr">
        <is>
          <t>Pass</t>
        </is>
      </c>
      <c r="E64" s="73" t="inlineStr">
        <is>
          <t>Course-content regression tests</t>
        </is>
      </c>
    </row>
    <row r="65" ht="39.95" customHeight="1" s="78">
      <c r="A65" s="73" t="inlineStr">
        <is>
          <t>QA-004</t>
        </is>
      </c>
      <c r="B65" s="73" t="n">
        <v>70</v>
      </c>
      <c r="C65" s="73" t="inlineStr">
        <is>
          <t>Flutter regression, analysis, release build, dependency integrity</t>
        </is>
      </c>
      <c r="D65" s="73" t="inlineStr">
        <is>
          <t>Pass</t>
        </is>
      </c>
      <c r="E65" s="73" t="inlineStr">
        <is>
          <t>77 widget/unit tests; no analyzer issues; release web build; `pip check`</t>
        </is>
      </c>
    </row>
    <row r="66" ht="39.95" customHeight="1" s="78">
      <c r="A66" s="73" t="inlineStr">
        <is>
          <t>QA-004</t>
        </is>
      </c>
      <c r="B66" s="73" t="n">
        <v>71</v>
      </c>
      <c r="C66" s="73" t="inlineStr">
        <is>
          <t>Final full backend rerun</t>
        </is>
      </c>
      <c r="D66" s="73" t="inlineStr">
        <is>
          <t>Fail</t>
        </is>
      </c>
      <c r="E66" s="73" t="inlineStr">
        <is>
          <t>206 passed, 7 failed because maintained answers were moved from `manual_sqa_answers/` to untracked `assignments_answers/` during verification; tests still reference the old path</t>
        </is>
      </c>
    </row>
    <row r="67" ht="30" customHeight="1" s="78">
      <c r="A67" s="73" t="inlineStr">
        <is>
          <t>QA-004</t>
        </is>
      </c>
      <c r="B67" s="73" t="n">
        <v>72</v>
      </c>
      <c r="C67" s="73" t="inlineStr">
        <is>
          <t>Shared Neon migration and hosted validation</t>
        </is>
      </c>
      <c r="D67" s="73" t="inlineStr">
        <is>
          <t>Not run</t>
        </is>
      </c>
      <c r="E67" s="73" t="inlineStr">
        <is>
          <t>No shared/live database mutation or deployment in this follow-up</t>
        </is>
      </c>
    </row>
    <row r="68" ht="30" customHeight="1" s="78">
      <c r="A68" s="73" t="inlineStr">
        <is>
          <t>QA-004</t>
        </is>
      </c>
      <c r="B68" s="73" t="n">
        <v>91</v>
      </c>
      <c r="C68" s="73" t="inlineStr">
        <is>
          <t>Course API regression</t>
        </is>
      </c>
      <c r="D68" s="73" t="inlineStr">
        <is>
          <t>PASS</t>
        </is>
      </c>
      <c r="E68" s="73" t="inlineStr">
        <is>
          <t>9 tests; current-version latest/best/count, student isolation, and demo isolation/non-persistence</t>
        </is>
      </c>
    </row>
    <row r="69" ht="30" customHeight="1" s="78">
      <c r="A69" s="73" t="inlineStr">
        <is>
          <t>QA-004</t>
        </is>
      </c>
      <c r="B69" s="73" t="n">
        <v>92</v>
      </c>
      <c r="C69" s="73" t="inlineStr">
        <is>
          <t>Flutter analysis and tests</t>
        </is>
      </c>
      <c r="D69" s="73" t="inlineStr">
        <is>
          <t>PASS</t>
        </is>
      </c>
      <c r="E69" s="73" t="inlineStr">
        <is>
          <t>No analyzer issues; 78 tests, including mobile catalog and zero-score presentation</t>
        </is>
      </c>
    </row>
    <row r="70" ht="30" customHeight="1" s="78">
      <c r="A70" s="73" t="inlineStr">
        <is>
          <t>QA-004</t>
        </is>
      </c>
      <c r="B70" s="73" t="n">
        <v>93</v>
      </c>
      <c r="C70" s="73" t="inlineStr">
        <is>
          <t>Release web build</t>
        </is>
      </c>
      <c r="D70" s="73" t="inlineStr">
        <is>
          <t>PASS</t>
        </is>
      </c>
      <c r="E70" s="73" t="inlineStr">
        <is>
          <t>OneDrive-safe build using the normal backend address, http://127.0.0.1:5100</t>
        </is>
      </c>
    </row>
    <row r="71" ht="39.95" customHeight="1" s="78">
      <c r="A71" s="73" t="inlineStr">
        <is>
          <t>QA-004</t>
        </is>
      </c>
      <c r="B71" s="73" t="n">
        <v>94</v>
      </c>
      <c r="C71" s="73" t="inlineStr">
        <is>
          <t>Manual browser and shared Neon verification</t>
        </is>
      </c>
      <c r="D71" s="73" t="inlineStr">
        <is>
          <t>NOT RUN</t>
        </is>
      </c>
      <c r="E71" s="73" t="inlineStr">
        <is>
          <t>This follow-up used automated API/widget tests; the normal running stack was not restarted or its database modified</t>
        </is>
      </c>
    </row>
    <row r="72" ht="30" customHeight="1" s="78">
      <c r="A72" s="73" t="inlineStr">
        <is>
          <t>QA-005</t>
        </is>
      </c>
      <c r="B72" s="73" t="n">
        <v>10</v>
      </c>
      <c r="C72" s="73" t="inlineStr">
        <is>
          <t>Multi-line Tab indentation</t>
        </is>
      </c>
      <c r="D72" s="73" t="inlineStr">
        <is>
          <t>Pass</t>
        </is>
      </c>
      <c r="E72" s="73" t="inlineStr">
        <is>
          <t>Selected lines are indented without replacing the selection</t>
        </is>
      </c>
    </row>
    <row r="73" ht="30" customHeight="1" s="78">
      <c r="A73" s="73" t="inlineStr">
        <is>
          <t>QA-005</t>
        </is>
      </c>
      <c r="B73" s="73" t="n">
        <v>11</v>
      </c>
      <c r="C73" s="73" t="inlineStr">
        <is>
          <t>Multi-line Shift+Tab outdent</t>
        </is>
      </c>
      <c r="D73" s="73" t="inlineStr">
        <is>
          <t>Pass</t>
        </is>
      </c>
      <c r="E73" s="73" t="inlineStr">
        <is>
          <t>Selected lines are outdented as a block</t>
        </is>
      </c>
    </row>
    <row r="74" ht="30" customHeight="1" s="78">
      <c r="A74" s="73" t="inlineStr">
        <is>
          <t>QA-005</t>
        </is>
      </c>
      <c r="B74" s="73" t="n">
        <v>12</v>
      </c>
      <c r="C74" s="73" t="inlineStr">
        <is>
          <t>Ctrl+Y redo</t>
        </is>
      </c>
      <c r="D74" s="73" t="inlineStr">
        <is>
          <t>Pass</t>
        </is>
      </c>
      <c r="E74" s="73" t="inlineStr">
        <is>
          <t>Editor history redo is explicitly supported; Ctrl+Shift+Z remains available</t>
        </is>
      </c>
    </row>
    <row r="75" ht="30" customHeight="1" s="78">
      <c r="A75" s="73" t="inlineStr">
        <is>
          <t>QA-005</t>
        </is>
      </c>
      <c r="B75" s="73" t="n">
        <v>13</v>
      </c>
      <c r="C75" s="73" t="inlineStr">
        <is>
          <t>Draft durability</t>
        </is>
      </c>
      <c r="D75" s="73" t="inlineStr">
        <is>
          <t>Pass</t>
        </is>
      </c>
      <c r="E75" s="73" t="inlineStr">
        <is>
          <t>Persistent accounts save by user, assignment ID, and exact version in PostgreSQL, with a local fallback</t>
        </is>
      </c>
    </row>
    <row r="76" ht="30" customHeight="1" s="78">
      <c r="A76" s="73" t="inlineStr">
        <is>
          <t>QA-005</t>
        </is>
      </c>
      <c r="B76" s="73" t="n">
        <v>14</v>
      </c>
      <c r="C76" s="73" t="inlineStr">
        <is>
          <t>Demo isolation</t>
        </is>
      </c>
      <c r="D76" s="73" t="inlineStr">
        <is>
          <t>Pass</t>
        </is>
      </c>
      <c r="E76" s="73" t="inlineStr">
        <is>
          <t>Demo draft writes never enter PostgreSQL</t>
        </is>
      </c>
    </row>
    <row r="77" ht="30" customHeight="1" s="78">
      <c r="A77" s="73" t="inlineStr">
        <is>
          <t>QA-005</t>
        </is>
      </c>
      <c r="B77" s="73" t="n">
        <v>15</v>
      </c>
      <c r="C77" s="73" t="inlineStr">
        <is>
          <t>Save status</t>
        </is>
      </c>
      <c r="D77" s="73" t="inlineStr">
        <is>
          <t>Pass</t>
        </is>
      </c>
      <c r="E77" s="73" t="inlineStr">
        <is>
          <t>Saving, saved, and cloud-save-failed states are visible without blocking local editing</t>
        </is>
      </c>
    </row>
    <row r="78" ht="30" customHeight="1" s="78">
      <c r="A78" s="73" t="inlineStr">
        <is>
          <t>QA-005</t>
        </is>
      </c>
      <c r="B78" s="73" t="n">
        <v>16</v>
      </c>
      <c r="C78" s="73" t="inlineStr">
        <is>
          <t>Ctrl+S save</t>
        </is>
      </c>
      <c r="D78" s="73" t="inlineStr">
        <is>
          <t>Pass</t>
        </is>
      </c>
      <c r="E78" s="73" t="inlineStr">
        <is>
          <t>Focused editor saves immediately; the browser test showed a session-save confirmation in demo mode</t>
        </is>
      </c>
    </row>
    <row r="79" ht="30" customHeight="1" s="78">
      <c r="A79" s="73" t="inlineStr">
        <is>
          <t>QA-005</t>
        </is>
      </c>
      <c r="B79" s="73" t="n">
        <v>17</v>
      </c>
      <c r="C79" s="73" t="inlineStr">
        <is>
          <t>Editor color theme</t>
        </is>
      </c>
      <c r="D79" s="73" t="inlineStr">
        <is>
          <t>Pass</t>
        </is>
      </c>
      <c r="E79" s="73" t="inlineStr">
        <is>
          <t>Editor tools switches between dark and light syntax themes without changing the code or selection</t>
        </is>
      </c>
    </row>
    <row r="80" ht="30" customHeight="1" s="78">
      <c r="A80" s="73" t="inlineStr">
        <is>
          <t>QA-005</t>
        </is>
      </c>
      <c r="B80" s="73" t="n">
        <v>18</v>
      </c>
      <c r="C80" s="73" t="inlineStr">
        <is>
          <t>Restore starter code</t>
        </is>
      </c>
      <c r="D80" s="73" t="inlineStr">
        <is>
          <t>Pass</t>
        </is>
      </c>
      <c r="E80" s="73" t="inlineStr">
        <is>
          <t>Confirmation is required; both server and local draft copies are cleared</t>
        </is>
      </c>
    </row>
    <row r="81" ht="30" customHeight="1" s="78">
      <c r="A81" s="73" t="inlineStr">
        <is>
          <t>QA-005</t>
        </is>
      </c>
      <c r="B81" s="73" t="n">
        <v>19</v>
      </c>
      <c r="C81" s="73" t="inlineStr">
        <is>
          <t>Error line assistance</t>
        </is>
      </c>
      <c r="D81" s="73" t="inlineStr">
        <is>
          <t>Pass</t>
        </is>
      </c>
      <c r="E81" s="73" t="inlineStr">
        <is>
          <t>Valid Python traceback lines are highlighted and shown in the file status bar</t>
        </is>
      </c>
    </row>
    <row r="82" ht="30" customHeight="1" s="78">
      <c r="A82" s="73" t="inlineStr">
        <is>
          <t>QA-005</t>
        </is>
      </c>
      <c r="B82" s="73" t="n">
        <v>20</v>
      </c>
      <c r="C82" s="73" t="inlineStr">
        <is>
          <t>Find and replace</t>
        </is>
      </c>
      <c r="D82" s="73" t="inlineStr">
        <is>
          <t>Pass</t>
        </is>
      </c>
      <c r="E82" s="73" t="inlineStr">
        <is>
          <t>Manual Find and Replace all actions are available in Editor tools</t>
        </is>
      </c>
    </row>
    <row r="83" ht="30" customHeight="1" s="78">
      <c r="A83" s="73" t="inlineStr">
        <is>
          <t>QA-005</t>
        </is>
      </c>
      <c r="B83" s="73" t="n">
        <v>21</v>
      </c>
      <c r="C83" s="73" t="inlineStr">
        <is>
          <t>Font controls</t>
        </is>
      </c>
      <c r="D83" s="73" t="inlineStr">
        <is>
          <t>Pass</t>
        </is>
      </c>
      <c r="E83" s="73" t="inlineStr">
        <is>
          <t>Manual increase/decrease controls are bounded from 12 to 22 points</t>
        </is>
      </c>
    </row>
    <row r="84" ht="30" customHeight="1" s="78">
      <c r="A84" s="73" t="inlineStr">
        <is>
          <t>QA-005</t>
        </is>
      </c>
      <c r="B84" s="73" t="n">
        <v>22</v>
      </c>
      <c r="C84" s="73" t="inlineStr">
        <is>
          <t>Shortcut help</t>
        </is>
      </c>
      <c r="D84" s="73" t="inlineStr">
        <is>
          <t>Pass</t>
        </is>
      </c>
      <c r="E84" s="73" t="inlineStr">
        <is>
          <t>The editor lists its supported keyboard shortcuts</t>
        </is>
      </c>
    </row>
    <row r="85" ht="30" customHeight="1" s="78">
      <c r="A85" s="73" t="inlineStr">
        <is>
          <t>QA-005</t>
        </is>
      </c>
      <c r="B85" s="73" t="n">
        <v>23</v>
      </c>
      <c r="C85" s="73" t="inlineStr">
        <is>
          <t>Python/API help</t>
        </is>
      </c>
      <c r="D85" s="73" t="inlineStr">
        <is>
          <t>Pass</t>
        </is>
      </c>
      <c r="E85" s="73" t="inlineStr">
        <is>
          <t>Completion uses Python names plus functions, parameters, imports, and visible assignment project APIs</t>
        </is>
      </c>
    </row>
    <row r="86" ht="30" customHeight="1" s="78">
      <c r="A86" s="73" t="inlineStr">
        <is>
          <t>QA-005</t>
        </is>
      </c>
      <c r="B86" s="73" t="n">
        <v>24</v>
      </c>
      <c r="C86" s="73" t="inlineStr">
        <is>
          <t>Manual Python formatting</t>
        </is>
      </c>
      <c r="D86" s="73" t="inlineStr">
        <is>
          <t>Pass</t>
        </is>
      </c>
      <c r="E86" s="73" t="inlineStr">
        <is>
          <t>Black formatting runs only when selected and never executes student code; syntax errors return safe feedback</t>
        </is>
      </c>
    </row>
    <row r="87" ht="30" customHeight="1" s="78">
      <c r="A87" s="73" t="inlineStr">
        <is>
          <t>QA-005</t>
        </is>
      </c>
      <c r="B87" s="73" t="n">
        <v>25</v>
      </c>
      <c r="C87" s="73" t="inlineStr">
        <is>
          <t>ROS Python formatting</t>
        </is>
      </c>
      <c r="D87" s="73" t="inlineStr">
        <is>
          <t>Pass</t>
        </is>
      </c>
      <c r="E87" s="73" t="inlineStr">
        <is>
          <t>The formatter supports both `python` and `python-ros2` assignments</t>
        </is>
      </c>
    </row>
    <row r="88" ht="30" customHeight="1" s="78">
      <c r="A88" s="73" t="inlineStr">
        <is>
          <t>QA-005</t>
        </is>
      </c>
      <c r="B88" s="73" t="n">
        <v>26</v>
      </c>
      <c r="C88" s="73" t="inlineStr">
        <is>
          <t>Responsive editor toolbar</t>
        </is>
      </c>
      <c r="D88" s="73" t="inlineStr">
        <is>
          <t>Pass</t>
        </is>
      </c>
      <c r="E88" s="73" t="inlineStr">
        <is>
          <t>Desktop split view and narrow/mobile layouts render without overflow in widget tests</t>
        </is>
      </c>
    </row>
    <row r="89" ht="30" customHeight="1" s="78">
      <c r="A89" s="73" t="inlineStr">
        <is>
          <t>QA-005</t>
        </is>
      </c>
      <c r="B89" s="73" t="n">
        <v>32</v>
      </c>
      <c r="C89" s="73" t="inlineStr">
        <is>
          <t>Backend dependency check</t>
        </is>
      </c>
      <c r="D89" s="73" t="inlineStr">
        <is>
          <t>Pass — no broken requirements</t>
        </is>
      </c>
      <c r="E89" s="73" t="n"/>
    </row>
    <row r="90" ht="30" customHeight="1" s="78">
      <c r="A90" s="73" t="inlineStr">
        <is>
          <t>QA-005</t>
        </is>
      </c>
      <c r="B90" s="73" t="n">
        <v>33</v>
      </c>
      <c r="C90" s="73" t="inlineStr">
        <is>
          <t>Backend tests</t>
        </is>
      </c>
      <c r="D90" s="73" t="inlineStr">
        <is>
          <t>Pass — 205 tests</t>
        </is>
      </c>
      <c r="E90" s="73" t="n"/>
    </row>
    <row r="91" ht="30" customHeight="1" s="78">
      <c r="A91" s="73" t="inlineStr">
        <is>
          <t>QA-005</t>
        </is>
      </c>
      <c r="B91" s="73" t="n">
        <v>34</v>
      </c>
      <c r="C91" s="73" t="inlineStr">
        <is>
          <t>Focused editor and API tests</t>
        </is>
      </c>
      <c r="D91" s="73" t="inlineStr">
        <is>
          <t>Pass</t>
        </is>
      </c>
      <c r="E91" s="73" t="n"/>
    </row>
    <row r="92" ht="30" customHeight="1" s="78">
      <c r="A92" s="73" t="inlineStr">
        <is>
          <t>QA-005</t>
        </is>
      </c>
      <c r="B92" s="73" t="n">
        <v>35</v>
      </c>
      <c r="C92" s="73" t="inlineStr">
        <is>
          <t>Flutter analysis</t>
        </is>
      </c>
      <c r="D92" s="73" t="inlineStr">
        <is>
          <t>Pass — no issues</t>
        </is>
      </c>
      <c r="E92" s="73" t="n"/>
    </row>
    <row r="93" ht="30" customHeight="1" s="78">
      <c r="A93" s="73" t="inlineStr">
        <is>
          <t>QA-005</t>
        </is>
      </c>
      <c r="B93" s="73" t="n">
        <v>36</v>
      </c>
      <c r="C93" s="73" t="inlineStr">
        <is>
          <t>Flutter tests</t>
        </is>
      </c>
      <c r="D93" s="73" t="inlineStr">
        <is>
          <t>Pass — 61 tests</t>
        </is>
      </c>
      <c r="E93" s="73" t="n"/>
    </row>
    <row r="94" ht="30" customHeight="1" s="78">
      <c r="A94" s="73" t="inlineStr">
        <is>
          <t>QA-005</t>
        </is>
      </c>
      <c r="B94" s="73" t="n">
        <v>37</v>
      </c>
      <c r="C94" s="73" t="inlineStr">
        <is>
          <t>Flutter release web build</t>
        </is>
      </c>
      <c r="D94" s="73" t="inlineStr">
        <is>
          <t>Pass</t>
        </is>
      </c>
      <c r="E94" s="73" t="n"/>
    </row>
    <row r="95" ht="30" customHeight="1" s="78">
      <c r="A95" s="73" t="inlineStr">
        <is>
          <t>QA-005</t>
        </is>
      </c>
      <c r="B95" s="73" t="n">
        <v>38</v>
      </c>
      <c r="C95" s="73" t="inlineStr">
        <is>
          <t>PostgreSQL migration</t>
        </is>
      </c>
      <c r="D95" s="73" t="inlineStr">
        <is>
          <t>Pass — staging Neon upgraded from `0004` to `0005_code_drafts`</t>
        </is>
      </c>
      <c r="E95" s="73" t="n"/>
    </row>
    <row r="96" ht="30" customHeight="1" s="78">
      <c r="A96" s="73" t="inlineStr">
        <is>
          <t>QA-005</t>
        </is>
      </c>
      <c r="B96" s="73" t="n">
        <v>44</v>
      </c>
      <c r="C96" s="73" t="inlineStr">
        <is>
          <t>Student login</t>
        </is>
      </c>
      <c r="D96" s="73" t="inlineStr">
        <is>
          <t>Pass</t>
        </is>
      </c>
      <c r="E96" s="73" t="n"/>
    </row>
    <row r="97" ht="30" customHeight="1" s="78">
      <c r="A97" s="73" t="inlineStr">
        <is>
          <t>QA-005</t>
        </is>
      </c>
      <c r="B97" s="73" t="n">
        <v>45</v>
      </c>
      <c r="C97" s="73" t="inlineStr">
        <is>
          <t>Assignment 1 editor opens</t>
        </is>
      </c>
      <c r="D97" s="73" t="inlineStr">
        <is>
          <t>Pass</t>
        </is>
      </c>
      <c r="E97" s="73" t="n"/>
    </row>
    <row r="98" ht="30" customHeight="1" s="78">
      <c r="A98" s="73" t="inlineStr">
        <is>
          <t>QA-005</t>
        </is>
      </c>
      <c r="B98" s="73" t="n">
        <v>46</v>
      </c>
      <c r="C98" s="73" t="inlineStr">
        <is>
          <t>Editor tools are visible</t>
        </is>
      </c>
      <c r="D98" s="73" t="inlineStr">
        <is>
          <t>Pass</t>
        </is>
      </c>
      <c r="E98" s="73" t="n"/>
    </row>
    <row r="99" ht="30" customHeight="1" s="78">
      <c r="A99" s="73" t="inlineStr">
        <is>
          <t>QA-005</t>
        </is>
      </c>
      <c r="B99" s="73" t="n">
        <v>47</v>
      </c>
      <c r="C99" s="73" t="inlineStr">
        <is>
          <t>Manual formatter responds</t>
        </is>
      </c>
      <c r="D99" s="73" t="inlineStr">
        <is>
          <t>Pass</t>
        </is>
      </c>
      <c r="E99" s="73" t="n"/>
    </row>
    <row r="100" ht="30" customHeight="1" s="78">
      <c r="A100" s="73" t="inlineStr">
        <is>
          <t>QA-005</t>
        </is>
      </c>
      <c r="B100" s="73" t="n">
        <v>48</v>
      </c>
      <c r="C100" s="73" t="inlineStr">
        <is>
          <t>Restore-starter confirmation and cleanup</t>
        </is>
      </c>
      <c r="D100" s="73" t="inlineStr">
        <is>
          <t>Pass</t>
        </is>
      </c>
      <c r="E100" s="73" t="n"/>
    </row>
    <row r="101" ht="30" customHeight="1" s="78">
      <c r="A101" s="73" t="inlineStr">
        <is>
          <t>QA-005</t>
        </is>
      </c>
      <c r="B101" s="73" t="n">
        <v>49</v>
      </c>
      <c r="C101" s="73" t="inlineStr">
        <is>
          <t>Light theme</t>
        </is>
      </c>
      <c r="D101" s="73" t="inlineStr">
        <is>
          <t>Pass — selected in the local browser and syntax colors changed while code stayed intact</t>
        </is>
      </c>
      <c r="E101" s="73" t="n"/>
    </row>
    <row r="102" ht="30" customHeight="1" s="78">
      <c r="A102" s="73" t="inlineStr">
        <is>
          <t>QA-005</t>
        </is>
      </c>
      <c r="B102" s="73" t="n">
        <v>50</v>
      </c>
      <c r="C102" s="73" t="inlineStr">
        <is>
          <t>Ctrl+S in focused editor</t>
        </is>
      </c>
      <c r="D102" s="73" t="inlineStr">
        <is>
          <t>Pass — showed the demo-session save confirmation; no browser Save dialog appeared</t>
        </is>
      </c>
      <c r="E102" s="73" t="n"/>
    </row>
    <row r="103" ht="30" customHeight="1" s="78">
      <c r="A103" s="73" t="inlineStr">
        <is>
          <t>QA-005</t>
        </is>
      </c>
      <c r="B103" s="73" t="n">
        <v>51</v>
      </c>
      <c r="C103" s="73" t="inlineStr">
        <is>
          <t>Local API, sandbox, frontend, and database startup</t>
        </is>
      </c>
      <c r="D103" s="73" t="inlineStr">
        <is>
          <t>Pass</t>
        </is>
      </c>
      <c r="E103" s="73" t="n"/>
    </row>
    <row r="104" ht="39.95" customHeight="1" s="78">
      <c r="A104" s="73" t="inlineStr">
        <is>
          <t>QA-006</t>
        </is>
      </c>
      <c r="B104" s="73" t="n">
        <v>17</v>
      </c>
      <c r="C104" s="73" t="inlineStr">
        <is>
          <t>GI-001</t>
        </is>
      </c>
      <c r="D104" s="73" t="inlineStr">
        <is>
          <t>Pass</t>
        </is>
      </c>
      <c r="E104" s="73" t="inlineStr">
        <is>
          <t>The Run endpoint awarded 100% to any executable Python submission | Run and Submit now use the same assignment-specific grader | API contract tests</t>
        </is>
      </c>
    </row>
    <row r="105" ht="39.95" customHeight="1" s="78">
      <c r="A105" s="73" t="inlineStr">
        <is>
          <t>QA-006</t>
        </is>
      </c>
      <c r="B105" s="73" t="n">
        <v>18</v>
      </c>
      <c r="C105" s="73" t="inlineStr">
        <is>
          <t>GI-002</t>
        </is>
      </c>
      <c r="D105" s="73" t="inlineStr">
        <is>
          <t>Pass</t>
        </is>
      </c>
      <c r="E105" s="73" t="inlineStr">
        <is>
          <t>Assignments 1–4 could pass with hardcoded displayed values | Added the modular PythonFunctionGrader and multiple hidden parameter scenarios | Official, partial, hardcoded, syntax, and runtime tests</t>
        </is>
      </c>
    </row>
    <row r="106" ht="39.95" customHeight="1" s="78">
      <c r="A106" s="73" t="inlineStr">
        <is>
          <t>QA-006</t>
        </is>
      </c>
      <c r="B106" s="73" t="n">
        <v>19</v>
      </c>
      <c r="C106" s="73" t="inlineStr">
        <is>
          <t>GI-003</t>
        </is>
      </c>
      <c r="D106" s="73" t="inlineStr">
        <is>
          <t>Pass</t>
        </is>
      </c>
      <c r="E106" s="73" t="inlineStr">
        <is>
          <t>Python-assignment feedback was too generic | Added criterion-specific failure guidance without exposing hidden inputs or answers | Grader feedback tests</t>
        </is>
      </c>
    </row>
    <row r="107" ht="39.95" customHeight="1" s="78">
      <c r="A107" s="73" t="inlineStr">
        <is>
          <t>QA-006</t>
        </is>
      </c>
      <c r="B107" s="73" t="n">
        <v>20</v>
      </c>
      <c r="C107" s="73" t="inlineStr">
        <is>
          <t>GI-004</t>
        </is>
      </c>
      <c r="D107" s="73" t="inlineStr">
        <is>
          <t>Pass</t>
        </is>
      </c>
      <c r="E107" s="73" t="inlineStr">
        <is>
          <t>Assignment 4 allowed only 0%, 50%, or 100% | Expanded the rubric to five independently checked 20% criteria | Mixed answer scored 60%</t>
        </is>
      </c>
    </row>
    <row r="108" ht="39.95" customHeight="1" s="78">
      <c r="A108" s="73" t="inlineStr">
        <is>
          <t>QA-006</t>
        </is>
      </c>
      <c r="B108" s="73" t="n">
        <v>21</v>
      </c>
      <c r="C108" s="73" t="inlineStr">
        <is>
          <t>GI-005</t>
        </is>
      </c>
      <c r="D108" s="73" t="inlineStr">
        <is>
          <t>Pass</t>
        </is>
      </c>
      <c r="E108" s="73" t="inlineStr">
        <is>
          <t>Assignment 3 used 12.5% criteria but displayed integer scores without explanation | Instructions now state that the final total is rounded to the nearest whole percent | Instruction and score tests</t>
        </is>
      </c>
    </row>
    <row r="109" ht="39.95" customHeight="1" s="78">
      <c r="A109" s="73" t="inlineStr">
        <is>
          <t>QA-006</t>
        </is>
      </c>
      <c r="B109" s="73" t="n">
        <v>22</v>
      </c>
      <c r="C109" s="73" t="inlineStr">
        <is>
          <t>GI-006</t>
        </is>
      </c>
      <c r="D109" s="73" t="inlineStr">
        <is>
          <t>Pass</t>
        </is>
      </c>
      <c r="E109" s="73" t="inlineStr">
        <is>
          <t>ROS rubrics did not match the behavior-harness weights | Aligned Assignment 5 to 20/20/30/30 and Assignment 6 to 15/20/20/35/10 | Derived rubric-to-harness regression test</t>
        </is>
      </c>
    </row>
    <row r="110" ht="39.95" customHeight="1" s="78">
      <c r="A110" s="73" t="inlineStr">
        <is>
          <t>QA-006</t>
        </is>
      </c>
      <c r="B110" s="73" t="n">
        <v>23</v>
      </c>
      <c r="C110" s="73" t="inlineStr">
        <is>
          <t>GI-007</t>
        </is>
      </c>
      <c r="D110" s="73" t="inlineStr">
        <is>
          <t>Pass</t>
        </is>
      </c>
      <c r="E110" s="73" t="inlineStr">
        <is>
          <t>Instructor validation rejected the new function grader | Added configuration validation for function name, criteria, cases, arguments, and expected outputs | Assignment Studio validate/edit/publish tests</t>
        </is>
      </c>
    </row>
    <row r="111" ht="54" customHeight="1" s="78">
      <c r="A111" s="73" t="inlineStr">
        <is>
          <t>QA-006</t>
        </is>
      </c>
      <c r="B111" s="73" t="n">
        <v>24</v>
      </c>
      <c r="C111" s="73" t="inlineStr">
        <is>
          <t>GI-008</t>
        </is>
      </c>
      <c r="D111" s="73" t="inlineStr">
        <is>
          <t>Pass</t>
        </is>
      </c>
      <c r="E111" s="73" t="inlineStr">
        <is>
          <t>Editing code after a successful run left the old 100% result visible | Hide the Results panel after an edit and label the saved value as `Previous score` until the student runs again | Manual Chrome QA and Flutter widget tests</t>
        </is>
      </c>
    </row>
    <row r="112" ht="39.95" customHeight="1" s="78">
      <c r="A112" s="73" t="inlineStr">
        <is>
          <t>QA-006</t>
        </is>
      </c>
      <c r="B112" s="73" t="n">
        <v>25</v>
      </c>
      <c r="C112" s="73" t="inlineStr">
        <is>
          <t>GI-009</t>
        </is>
      </c>
      <c r="D112" s="73" t="inlineStr">
        <is>
          <t>Pass</t>
        </is>
      </c>
      <c r="E112" s="73" t="inlineStr">
        <is>
          <t>The Flutter client recalculated scores as passed checks divided by total checks | Use the backend's authoritative weighted score and show the unweighted check pass rate separately | Weighted-score widget regression test</t>
        </is>
      </c>
    </row>
    <row r="113" ht="30" customHeight="1" s="78">
      <c r="A113" s="73" t="inlineStr">
        <is>
          <t>QA-006</t>
        </is>
      </c>
      <c r="B113" s="73" t="n">
        <v>31</v>
      </c>
      <c r="C113" s="73" t="inlineStr">
        <is>
          <t>Assignment</t>
        </is>
      </c>
      <c r="D113" s="73" t="inlineStr">
        <is>
          <t>Passed</t>
        </is>
      </c>
      <c r="E113" s="73" t="inlineStr">
        <is>
          <t>Mutation | Score | Execution completed | Passed checks | Result</t>
        </is>
      </c>
    </row>
    <row r="114" ht="30" customHeight="1" s="78">
      <c r="A114" s="73" t="inlineStr">
        <is>
          <t>QA-006</t>
        </is>
      </c>
      <c r="B114" s="73" t="n">
        <v>33</v>
      </c>
      <c r="C114" s="73" t="inlineStr">
        <is>
          <t>1</t>
        </is>
      </c>
      <c r="D114" s="73" t="inlineStr">
        <is>
          <t>Pass</t>
        </is>
      </c>
      <c r="E114" s="73" t="inlineStr">
        <is>
          <t>Commented out the distance helper | 0% | No | No (`NameError`) | 0/4</t>
        </is>
      </c>
    </row>
    <row r="115" ht="30" customHeight="1" s="78">
      <c r="A115" s="73" t="inlineStr">
        <is>
          <t>QA-006</t>
        </is>
      </c>
      <c r="B115" s="73" t="n">
        <v>34</v>
      </c>
      <c r="C115" s="73" t="inlineStr">
        <is>
          <t>2</t>
        </is>
      </c>
      <c r="D115" s="73" t="inlineStr">
        <is>
          <t>Pass</t>
        </is>
      </c>
      <c r="E115" s="73" t="inlineStr">
        <is>
          <t>Commented out the distance helper | 0% | No | No | 0/4</t>
        </is>
      </c>
    </row>
    <row r="116" ht="30" customHeight="1" s="78">
      <c r="A116" s="73" t="inlineStr">
        <is>
          <t>QA-006</t>
        </is>
      </c>
      <c r="B116" s="73" t="n">
        <v>35</v>
      </c>
      <c r="C116" s="73" t="inlineStr">
        <is>
          <t>3</t>
        </is>
      </c>
      <c r="D116" s="73" t="inlineStr">
        <is>
          <t>Pass</t>
        </is>
      </c>
      <c r="E116" s="73" t="inlineStr">
        <is>
          <t>Commented out the route helper | 0% | No | No | 0/8</t>
        </is>
      </c>
    </row>
    <row r="117" ht="30" customHeight="1" s="78">
      <c r="A117" s="73" t="inlineStr">
        <is>
          <t>QA-006</t>
        </is>
      </c>
      <c r="B117" s="73" t="n">
        <v>36</v>
      </c>
      <c r="C117" s="73" t="inlineStr">
        <is>
          <t>4</t>
        </is>
      </c>
      <c r="D117" s="73" t="inlineStr">
        <is>
          <t>Pass</t>
        </is>
      </c>
      <c r="E117" s="73" t="inlineStr">
        <is>
          <t>Renamed the required function | 0% | No | No | 0/5</t>
        </is>
      </c>
    </row>
    <row r="118" ht="30" customHeight="1" s="78">
      <c r="A118" s="73" t="inlineStr">
        <is>
          <t>QA-006</t>
        </is>
      </c>
      <c r="B118" s="73" t="n">
        <v>37</v>
      </c>
      <c r="C118" s="73" t="inlineStr">
        <is>
          <t>5</t>
        </is>
      </c>
      <c r="D118" s="73" t="inlineStr">
        <is>
          <t>Pass</t>
        </is>
      </c>
      <c r="E118" s="73" t="inlineStr">
        <is>
          <t>Commented out the ROS publisher | 20% | No | Yes | 2/7</t>
        </is>
      </c>
    </row>
    <row r="119" ht="30" customHeight="1" s="78">
      <c r="A119" s="73" t="inlineStr">
        <is>
          <t>QA-006</t>
        </is>
      </c>
      <c r="B119" s="73" t="n">
        <v>38</v>
      </c>
      <c r="C119" s="73" t="inlineStr">
        <is>
          <t>6</t>
        </is>
      </c>
      <c r="D119" s="73" t="inlineStr">
        <is>
          <t>Pass</t>
        </is>
      </c>
      <c r="E119" s="73" t="inlineStr">
        <is>
          <t>Commented out the ROS publisher | 10% | No | Yes | 1/9</t>
        </is>
      </c>
    </row>
    <row r="120" ht="30" customHeight="1" s="78">
      <c r="A120" s="73" t="inlineStr">
        <is>
          <t>QA-006</t>
        </is>
      </c>
      <c r="B120" s="73" t="n">
        <v>57</v>
      </c>
      <c r="C120" s="73" t="inlineStr">
        <is>
          <t>Backend regression</t>
        </is>
      </c>
      <c r="D120" s="73" t="inlineStr">
        <is>
          <t>Pass</t>
        </is>
      </c>
      <c r="E120" s="73" t="inlineStr">
        <is>
          <t>200 pytest tests passed</t>
        </is>
      </c>
    </row>
    <row r="121" ht="30" customHeight="1" s="78">
      <c r="A121" s="73" t="inlineStr">
        <is>
          <t>QA-006</t>
        </is>
      </c>
      <c r="B121" s="73" t="n">
        <v>58</v>
      </c>
      <c r="C121" s="73" t="inlineStr">
        <is>
          <t>Dependency integrity</t>
        </is>
      </c>
      <c r="D121" s="73" t="inlineStr">
        <is>
          <t>Pass</t>
        </is>
      </c>
      <c r="E121" s="73" t="inlineStr">
        <is>
          <t>pip check reported no broken requirements</t>
        </is>
      </c>
    </row>
    <row r="122" ht="30" customHeight="1" s="78">
      <c r="A122" s="73" t="inlineStr">
        <is>
          <t>QA-006</t>
        </is>
      </c>
      <c r="B122" s="73" t="n">
        <v>59</v>
      </c>
      <c r="C122" s="73" t="inlineStr">
        <is>
          <t>Flutter static analysis</t>
        </is>
      </c>
      <c r="D122" s="73" t="inlineStr">
        <is>
          <t>Pass</t>
        </is>
      </c>
      <c r="E122" s="73" t="inlineStr">
        <is>
          <t>No issues found</t>
        </is>
      </c>
    </row>
    <row r="123" ht="30" customHeight="1" s="78">
      <c r="A123" s="73" t="inlineStr">
        <is>
          <t>QA-006</t>
        </is>
      </c>
      <c r="B123" s="73" t="n">
        <v>60</v>
      </c>
      <c r="C123" s="73" t="inlineStr">
        <is>
          <t>Flutter automated tests</t>
        </is>
      </c>
      <c r="D123" s="73" t="inlineStr">
        <is>
          <t>Pass</t>
        </is>
      </c>
      <c r="E123" s="73" t="inlineStr">
        <is>
          <t>52 tests passed</t>
        </is>
      </c>
    </row>
    <row r="124" ht="30" customHeight="1" s="78">
      <c r="A124" s="73" t="inlineStr">
        <is>
          <t>QA-006</t>
        </is>
      </c>
      <c r="B124" s="73" t="n">
        <v>61</v>
      </c>
      <c r="C124" s="73" t="inlineStr">
        <is>
          <t>Flutter release web build</t>
        </is>
      </c>
      <c r="D124" s="73" t="inlineStr">
        <is>
          <t>Pass</t>
        </is>
      </c>
      <c r="E124" s="73" t="inlineStr">
        <is>
          <t>Release build completed in the OneDrive-safe build directory</t>
        </is>
      </c>
    </row>
    <row r="125" ht="39.95" customHeight="1" s="78">
      <c r="A125" s="73" t="inlineStr">
        <is>
          <t>QA-006</t>
        </is>
      </c>
      <c r="B125" s="73" t="n">
        <v>62</v>
      </c>
      <c r="C125" s="73" t="inlineStr">
        <is>
          <t>Manual stale-result scenario</t>
        </is>
      </c>
      <c r="D125" s="73" t="inlineStr">
        <is>
          <t>Pass</t>
        </is>
      </c>
      <c r="E125" s="73" t="inlineStr">
        <is>
          <t>Correct answer produced 100%; editing the code hid the result and labeled 100% as the previous score; rerunning broken code produced 0%</t>
        </is>
      </c>
    </row>
    <row r="126" ht="30" customHeight="1" s="78">
      <c r="A126" s="73" t="inlineStr">
        <is>
          <t>QA-006</t>
        </is>
      </c>
      <c r="B126" s="73" t="n">
        <v>63</v>
      </c>
      <c r="C126" s="73" t="inlineStr">
        <is>
          <t>Weighted-score UI regression</t>
        </is>
      </c>
      <c r="D126" s="73" t="inlineStr">
        <is>
          <t>Pass</t>
        </is>
      </c>
      <c r="E126" s="73" t="inlineStr">
        <is>
          <t>A response with one of two checks passing and a backend score of 35% displayed score 35% and pass rate 50%</t>
        </is>
      </c>
    </row>
    <row r="127" ht="30" customHeight="1" s="78">
      <c r="A127" s="73" t="inlineStr">
        <is>
          <t>QA-006</t>
        </is>
      </c>
      <c r="B127" s="73" t="n">
        <v>64</v>
      </c>
      <c r="C127" s="73" t="inlineStr">
        <is>
          <t>ROS 2 Assignment 5</t>
        </is>
      </c>
      <c r="D127" s="73" t="inlineStr">
        <is>
          <t>Pass</t>
        </is>
      </c>
      <c r="E127" s="73" t="inlineStr">
        <is>
          <t>Real Docker grader passed 7/7 checks; 78 Twist messages at about 10.0 Hz</t>
        </is>
      </c>
    </row>
    <row r="128" ht="30" customHeight="1" s="78">
      <c r="A128" s="73" t="inlineStr">
        <is>
          <t>QA-006</t>
        </is>
      </c>
      <c r="B128" s="73" t="n">
        <v>65</v>
      </c>
      <c r="C128" s="73" t="inlineStr">
        <is>
          <t>ROS 2 Assignment 6</t>
        </is>
      </c>
      <c r="D128" s="73" t="inlineStr">
        <is>
          <t>Pass</t>
        </is>
      </c>
      <c r="E128" s="73" t="inlineStr">
        <is>
          <t>Real Docker grader passed 9/9 checks; 44 settled Twist messages at about 9.2 Hz</t>
        </is>
      </c>
    </row>
    <row r="129" ht="39.95" customHeight="1" s="78">
      <c r="A129" s="73" t="inlineStr">
        <is>
          <t>QA-006</t>
        </is>
      </c>
      <c r="B129" s="73" t="n">
        <v>87</v>
      </c>
      <c r="C129" s="73" t="inlineStr">
        <is>
          <t>Untouched starter</t>
        </is>
      </c>
      <c r="D129" s="73" t="inlineStr">
        <is>
          <t>PASS</t>
        </is>
      </c>
      <c r="E129" s="73" t="inlineStr">
        <is>
          <t>Runs successfully and earns 0% because no student task is completed | Assignment version 7 returned 0%, execution succeeded, and all five criteria failed</t>
        </is>
      </c>
    </row>
    <row r="130" ht="39.95" customHeight="1" s="78">
      <c r="A130" s="73" t="inlineStr">
        <is>
          <t>QA-006</t>
        </is>
      </c>
      <c r="B130" s="73" t="n">
        <v>88</v>
      </c>
      <c r="C130" s="73" t="inlineStr">
        <is>
          <t>Student browser flow</t>
        </is>
      </c>
      <c r="D130" s="73" t="inlineStr">
        <is>
          <t>PASS</t>
        </is>
      </c>
      <c r="E130" s="73" t="inlineStr">
        <is>
          <t>Untouched starter shows 0% after Run tests | Clean Chrome student-demo session showed 0%, Passed 0, Failed 5, and output `5 0 0.0 0 0.0`</t>
        </is>
      </c>
    </row>
    <row r="131" ht="30" customHeight="1" s="78">
      <c r="A131" s="73" t="inlineStr">
        <is>
          <t>QA-006</t>
        </is>
      </c>
      <c r="B131" s="73" t="n">
        <v>89</v>
      </c>
      <c r="C131" s="73" t="inlineStr">
        <is>
          <t>Official answer</t>
        </is>
      </c>
      <c r="D131" s="73" t="inlineStr">
        <is>
          <t>PASS</t>
        </is>
      </c>
      <c r="E131" s="73" t="inlineStr">
        <is>
          <t>Still earns 100% | Focused classroom test passed</t>
        </is>
      </c>
    </row>
    <row r="132" ht="30" customHeight="1" s="78">
      <c r="A132" s="73" t="inlineStr">
        <is>
          <t>QA-006</t>
        </is>
      </c>
      <c r="B132" s="73" t="n">
        <v>90</v>
      </c>
      <c r="C132" s="73" t="inlineStr">
        <is>
          <t>Partial answer</t>
        </is>
      </c>
      <c r="D132" s="73" t="inlineStr">
        <is>
          <t>Partial answer</t>
        </is>
      </c>
      <c r="E132" s="73" t="inlineStr">
        <is>
          <t>Retains rubric-based partial credit | Focused classroom test returned the expected 60% | PASS</t>
        </is>
      </c>
    </row>
    <row r="133" ht="39.95" customHeight="1" s="78">
      <c r="A133" s="73" t="inlineStr">
        <is>
          <t>QA-006</t>
        </is>
      </c>
      <c r="B133" s="73" t="n">
        <v>91</v>
      </c>
      <c r="C133" s="73" t="inlineStr">
        <is>
          <t>Existing assignment upgrade</t>
        </is>
      </c>
      <c r="D133" s="73" t="inlineStr">
        <is>
          <t>PASS</t>
        </is>
      </c>
      <c r="E133" s="73" t="inlineStr">
        <is>
          <t>New seed version loads without changing older attempt versions | Local app served version 7 after restart; assignment repository upgrade test passed</t>
        </is>
      </c>
    </row>
    <row r="134" ht="30" customHeight="1" s="78">
      <c r="A134" s="73" t="inlineStr">
        <is>
          <t>QA-006</t>
        </is>
      </c>
      <c r="B134" s="73" t="n">
        <v>92</v>
      </c>
      <c r="C134" s="73" t="inlineStr">
        <is>
          <t>Backend regression</t>
        </is>
      </c>
      <c r="D134" s="73" t="inlineStr">
        <is>
          <t>PASS</t>
        </is>
      </c>
      <c r="E134" s="73" t="inlineStr">
        <is>
          <t>No backend failures | 201 backend tests passed</t>
        </is>
      </c>
    </row>
    <row r="135" ht="30" customHeight="1" s="78">
      <c r="A135" s="73" t="inlineStr">
        <is>
          <t>QA-007</t>
        </is>
      </c>
      <c r="B135" s="73" t="n">
        <v>28</v>
      </c>
      <c r="C135" s="73" t="inlineStr">
        <is>
          <t>PostgreSQL default</t>
        </is>
      </c>
      <c r="D135" s="73" t="inlineStr">
        <is>
          <t>PASS</t>
        </is>
      </c>
      <c r="E135" s="73" t="inlineStr">
        <is>
          <t>`run-local.ps1` started PostgreSQL 17 and `/health` reported `database=postgresql`</t>
        </is>
      </c>
    </row>
    <row r="136" ht="30" customHeight="1" s="78">
      <c r="A136" s="73" t="inlineStr">
        <is>
          <t>QA-007</t>
        </is>
      </c>
      <c r="B136" s="73" t="n">
        <v>29</v>
      </c>
      <c r="C136" s="73" t="inlineStr">
        <is>
          <t>Active files stay out of OneDrive</t>
        </is>
      </c>
      <c r="D136" s="73" t="inlineStr">
        <is>
          <t>PASS</t>
        </is>
      </c>
      <c r="E136" s="73" t="inlineStr">
        <is>
          <t>PostgreSQL used Docker volume `robotics-lab-local_robotics_postgres_data`</t>
        </is>
      </c>
    </row>
    <row r="137" ht="30" customHeight="1" s="78">
      <c r="A137" s="73" t="inlineStr">
        <is>
          <t>QA-007</t>
        </is>
      </c>
      <c r="B137" s="73" t="n">
        <v>30</v>
      </c>
      <c r="C137" s="73" t="inlineStr">
        <is>
          <t>First-run migration</t>
        </is>
      </c>
      <c r="D137" s="73" t="inlineStr">
        <is>
          <t>PASS</t>
        </is>
      </c>
      <c r="E137" s="73" t="inlineStr">
        <is>
          <t>Alembic upgraded a fresh PostgreSQL database through `0003_standardize_existing_data`</t>
        </is>
      </c>
    </row>
    <row r="138" ht="30" customHeight="1" s="78">
      <c r="A138" s="73" t="inlineStr">
        <is>
          <t>QA-007</t>
        </is>
      </c>
      <c r="B138" s="73" t="n">
        <v>31</v>
      </c>
      <c r="C138" s="73" t="inlineStr">
        <is>
          <t>Existing data preserved</t>
        </is>
      </c>
      <c r="D138" s="73" t="inlineStr">
        <is>
          <t>PASS</t>
        </is>
      </c>
      <c r="E138" s="73" t="inlineStr">
        <is>
          <t>Read-only transfer copied all 183 current application rows from `robotics_lab_staging.db`</t>
        </is>
      </c>
    </row>
    <row r="139" ht="30" customHeight="1" s="78">
      <c r="A139" s="73" t="inlineStr">
        <is>
          <t>QA-007</t>
        </is>
      </c>
      <c r="B139" s="73" t="n">
        <v>32</v>
      </c>
      <c r="C139" s="73" t="inlineStr">
        <is>
          <t>No unsafe merge</t>
        </is>
      </c>
      <c r="D139" s="73" t="inlineStr">
        <is>
          <t>PASS</t>
        </is>
      </c>
      <c r="E139" s="73" t="inlineStr">
        <is>
          <t>Transfer code rejects a non-empty target; idempotent first-start mode skips it</t>
        </is>
      </c>
    </row>
    <row r="140" ht="30" customHeight="1" s="78">
      <c r="A140" s="73" t="inlineStr">
        <is>
          <t>QA-007</t>
        </is>
      </c>
      <c r="B140" s="73" t="n">
        <v>33</v>
      </c>
      <c r="C140" s="73" t="inlineStr">
        <is>
          <t>Complete backup</t>
        </is>
      </c>
      <c r="D140" s="73" t="inlineStr">
        <is>
          <t>PASS</t>
        </is>
      </c>
      <c r="E140" s="73" t="inlineStr">
        <is>
          <t>`pg_dump --format=custom` produced `latest.dump`; `pg_restore --list` validated it</t>
        </is>
      </c>
    </row>
    <row r="141" ht="30" customHeight="1" s="78">
      <c r="A141" s="73" t="inlineStr">
        <is>
          <t>QA-007</t>
        </is>
      </c>
      <c r="B141" s="73" t="n">
        <v>34</v>
      </c>
      <c r="C141" s="73" t="inlineStr">
        <is>
          <t>Copy integrity</t>
        </is>
      </c>
      <c r="D141" s="73" t="inlineStr">
        <is>
          <t>PASS</t>
        </is>
      </c>
      <c r="E141" s="73" t="inlineStr">
        <is>
          <t>SHA-256 of the copied dump matched `latest.json`</t>
        </is>
      </c>
    </row>
    <row r="142" ht="30" customHeight="1" s="78">
      <c r="A142" s="73" t="inlineStr">
        <is>
          <t>QA-007</t>
        </is>
      </c>
      <c r="B142" s="73" t="n">
        <v>35</v>
      </c>
      <c r="C142" s="73" t="inlineStr">
        <is>
          <t>Damaged-copy rejection</t>
        </is>
      </c>
      <c r="D142" s="73" t="inlineStr">
        <is>
          <t>PASS</t>
        </is>
      </c>
      <c r="E142" s="73" t="inlineStr">
        <is>
          <t>A deliberately modified test dump was rejected before restore</t>
        </is>
      </c>
    </row>
    <row r="143" ht="30" customHeight="1" s="78">
      <c r="A143" s="73" t="inlineStr">
        <is>
          <t>QA-007</t>
        </is>
      </c>
      <c r="B143" s="73" t="n">
        <v>36</v>
      </c>
      <c r="C143" s="73" t="inlineStr">
        <is>
          <t>Recovery point</t>
        </is>
      </c>
      <c r="D143" s="73" t="inlineStr">
        <is>
          <t>PASS</t>
        </is>
      </c>
      <c r="E143" s="73" t="inlineStr">
        <is>
          <t>The preceding successful dump and manifest are retained as `previous.*`</t>
        </is>
      </c>
    </row>
    <row r="144" ht="30" customHeight="1" s="78">
      <c r="A144" s="73" t="inlineStr">
        <is>
          <t>QA-007</t>
        </is>
      </c>
      <c r="B144" s="73" t="n">
        <v>37</v>
      </c>
      <c r="C144" s="73" t="inlineStr">
        <is>
          <t>Device exclusion</t>
        </is>
      </c>
      <c r="D144" s="73" t="inlineStr">
        <is>
          <t>PASS</t>
        </is>
      </c>
      <c r="E144" s="73" t="inlineStr">
        <is>
          <t>A simulated second computer was rejected while the first device lock existed</t>
        </is>
      </c>
    </row>
    <row r="145" ht="30" customHeight="1" s="78">
      <c r="A145" s="73" t="inlineStr">
        <is>
          <t>QA-007</t>
        </is>
      </c>
      <c r="B145" s="73" t="n">
        <v>38</v>
      </c>
      <c r="C145" s="73" t="inlineStr">
        <is>
          <t>Clean-device restore</t>
        </is>
      </c>
      <c r="D145" s="73" t="inlineStr">
        <is>
          <t>PASS</t>
        </is>
      </c>
      <c r="E145" s="73" t="inlineStr">
        <is>
          <t>An isolated Docker volume was destroyed and recreated; the synchronized dump restored</t>
        </is>
      </c>
    </row>
    <row r="146" ht="39.95" customHeight="1" s="78">
      <c r="A146" s="73" t="inlineStr">
        <is>
          <t>QA-007</t>
        </is>
      </c>
      <c r="B146" s="73" t="n">
        <v>39</v>
      </c>
      <c r="C146" s="73" t="inlineStr">
        <is>
          <t>Same-device volume-loss restore</t>
        </is>
      </c>
      <c r="D146" s="73" t="inlineStr">
        <is>
          <t>PASS</t>
        </is>
      </c>
      <c r="E146" s="73" t="inlineStr">
        <is>
          <t>The isolated volume was destroyed while retaining the original device sync marker; missing schema forced a verified restore</t>
        </is>
      </c>
    </row>
    <row r="147" ht="30" customHeight="1" s="78">
      <c r="A147" s="73" t="inlineStr">
        <is>
          <t>QA-007</t>
        </is>
      </c>
      <c r="B147" s="73" t="n">
        <v>40</v>
      </c>
      <c r="C147" s="73" t="inlineStr">
        <is>
          <t>Row-count reconciliation</t>
        </is>
      </c>
      <c r="D147" s="73" t="inlineStr">
        <is>
          <t>PASS</t>
        </is>
      </c>
      <c r="E147" s="73" t="inlineStr">
        <is>
          <t>All nine application-table counts matched after restore</t>
        </is>
      </c>
    </row>
    <row r="148" ht="30" customHeight="1" s="78">
      <c r="A148" s="73" t="inlineStr">
        <is>
          <t>QA-007</t>
        </is>
      </c>
      <c r="B148" s="73" t="n">
        <v>41</v>
      </c>
      <c r="C148" s="73" t="inlineStr">
        <is>
          <t>Restart persistence</t>
        </is>
      </c>
      <c r="D148" s="73" t="inlineStr">
        <is>
          <t>PASS</t>
        </is>
      </c>
      <c r="E148" s="73" t="inlineStr">
        <is>
          <t>The real local stack restarted with PostgreSQL and retained all 62 submissions</t>
        </is>
      </c>
    </row>
    <row r="149" ht="30" customHeight="1" s="78">
      <c r="A149" s="73" t="inlineStr">
        <is>
          <t>QA-007</t>
        </is>
      </c>
      <c r="B149" s="73" t="n">
        <v>42</v>
      </c>
      <c r="C149" s="73" t="inlineStr">
        <is>
          <t>SQLite fallback</t>
        </is>
      </c>
      <c r="D149" s="73" t="inlineStr">
        <is>
          <t>PASS</t>
        </is>
      </c>
      <c r="E149" s="73" t="inlineStr">
        <is>
          <t>Explicit `-UseSqlite` behavior is retained for disposable troubleshooting</t>
        </is>
      </c>
    </row>
    <row r="150" ht="30" customHeight="1" s="78">
      <c r="A150" s="73" t="inlineStr">
        <is>
          <t>QA-007</t>
        </is>
      </c>
      <c r="B150" s="73" t="n">
        <v>43</v>
      </c>
      <c r="C150" s="73" t="inlineStr">
        <is>
          <t>Secrets and generated data</t>
        </is>
      </c>
      <c r="D150" s="73" t="inlineStr">
        <is>
          <t>PASS</t>
        </is>
      </c>
      <c r="E150" s="73" t="inlineStr">
        <is>
          <t>Dumps, manifests, locks, local databases, and `.env` remain ignored by Git</t>
        </is>
      </c>
    </row>
    <row r="151" ht="30" customHeight="1" s="78">
      <c r="A151" s="73" t="inlineStr">
        <is>
          <t>QA-007</t>
        </is>
      </c>
      <c r="B151" s="73" t="n">
        <v>64</v>
      </c>
      <c r="C151" s="73" t="inlineStr">
        <is>
          <t>Health</t>
        </is>
      </c>
      <c r="D151" s="73" t="inlineStr">
        <is>
          <t>PASS</t>
        </is>
      </c>
      <c r="E151" s="73" t="inlineStr">
        <is>
          <t>Backend and sandbox returned healthy; backend named PostgreSQL</t>
        </is>
      </c>
    </row>
    <row r="152" ht="30" customHeight="1" s="78">
      <c r="A152" s="73" t="inlineStr">
        <is>
          <t>QA-007</t>
        </is>
      </c>
      <c r="B152" s="73" t="n">
        <v>65</v>
      </c>
      <c r="C152" s="73" t="inlineStr">
        <is>
          <t>Demo catalog</t>
        </is>
      </c>
      <c r="D152" s="73" t="inlineStr">
        <is>
          <t>PASS</t>
        </is>
      </c>
      <c r="E152" s="73" t="inlineStr">
        <is>
          <t>Temporary demo opened and displayed all six assignments</t>
        </is>
      </c>
    </row>
    <row r="153" ht="30" customHeight="1" s="78">
      <c r="A153" s="73" t="inlineStr">
        <is>
          <t>QA-007</t>
        </is>
      </c>
      <c r="B153" s="73" t="n">
        <v>66</v>
      </c>
      <c r="C153" s="73" t="inlineStr">
        <is>
          <t>Demo grading</t>
        </is>
      </c>
      <c r="D153" s="73" t="inlineStr">
        <is>
          <t>PASS</t>
        </is>
      </c>
      <c r="E153" s="73" t="inlineStr">
        <is>
          <t>Assignment 1 starter ran to a controlled 0%, 0/4 result</t>
        </is>
      </c>
    </row>
    <row r="154" ht="30" customHeight="1" s="78">
      <c r="A154" s="73" t="inlineStr">
        <is>
          <t>QA-007</t>
        </is>
      </c>
      <c r="B154" s="73" t="n">
        <v>67</v>
      </c>
      <c r="C154" s="73" t="inlineStr">
        <is>
          <t>Demo reset</t>
        </is>
      </c>
      <c r="D154" s="73" t="inlineStr">
        <is>
          <t>PASS</t>
        </is>
      </c>
      <c r="E154" s="73" t="inlineStr">
        <is>
          <t>Browser refresh returned to login and cleared demo work</t>
        </is>
      </c>
    </row>
    <row r="155" ht="30" customHeight="1" s="78">
      <c r="A155" s="73" t="inlineStr">
        <is>
          <t>QA-007</t>
        </is>
      </c>
      <c r="B155" s="73" t="n">
        <v>68</v>
      </c>
      <c r="C155" s="73" t="inlineStr">
        <is>
          <t>Student authentication</t>
        </is>
      </c>
      <c r="D155" s="73" t="inlineStr">
        <is>
          <t>PASS</t>
        </is>
      </c>
      <c r="E155" s="73" t="inlineStr">
        <is>
          <t>Login and `/auth/me` returned the student role</t>
        </is>
      </c>
    </row>
    <row r="156" ht="30" customHeight="1" s="78">
      <c r="A156" s="73" t="inlineStr">
        <is>
          <t>QA-007</t>
        </is>
      </c>
      <c r="B156" s="73" t="n">
        <v>69</v>
      </c>
      <c r="C156" s="73" t="inlineStr">
        <is>
          <t>Instructor authentication</t>
        </is>
      </c>
      <c r="D156" s="73" t="inlineStr">
        <is>
          <t>PASS</t>
        </is>
      </c>
      <c r="E156" s="73" t="inlineStr">
        <is>
          <t>Login and `/auth/me` returned the instructor role</t>
        </is>
      </c>
    </row>
    <row r="157" ht="30" customHeight="1" s="78">
      <c r="A157" s="73" t="inlineStr">
        <is>
          <t>QA-007</t>
        </is>
      </c>
      <c r="B157" s="73" t="n">
        <v>70</v>
      </c>
      <c r="C157" s="73" t="inlineStr">
        <is>
          <t>Role authorization</t>
        </is>
      </c>
      <c r="D157" s="73" t="inlineStr">
        <is>
          <t>PASS</t>
        </is>
      </c>
      <c r="E157" s="73" t="inlineStr">
        <is>
          <t>Student request to instructor research summary returned HTTP 403</t>
        </is>
      </c>
    </row>
    <row r="158" ht="30" customHeight="1" s="78">
      <c r="A158" s="73" t="inlineStr">
        <is>
          <t>QA-007</t>
        </is>
      </c>
      <c r="B158" s="73" t="n">
        <v>71</v>
      </c>
      <c r="C158" s="73" t="inlineStr">
        <is>
          <t>Student progress</t>
        </is>
      </c>
      <c r="D158" s="73" t="inlineStr">
        <is>
          <t>PASS</t>
        </is>
      </c>
      <c r="E158" s="73" t="inlineStr">
        <is>
          <t>Student research/progress endpoint returned HTTP 200</t>
        </is>
      </c>
    </row>
    <row r="159" ht="30" customHeight="1" s="78">
      <c r="A159" s="73" t="inlineStr">
        <is>
          <t>QA-007</t>
        </is>
      </c>
      <c r="B159" s="73" t="n">
        <v>72</v>
      </c>
      <c r="C159" s="73" t="inlineStr">
        <is>
          <t>Instructor analytics</t>
        </is>
      </c>
      <c r="D159" s="73" t="inlineStr">
        <is>
          <t>PASS</t>
        </is>
      </c>
      <c r="E159" s="73" t="inlineStr">
        <is>
          <t>Instructor research summary returned HTTP 200</t>
        </is>
      </c>
    </row>
    <row r="160" ht="30" customHeight="1" s="78">
      <c r="A160" s="73" t="inlineStr">
        <is>
          <t>QA-007</t>
        </is>
      </c>
      <c r="B160" s="73" t="n">
        <v>73</v>
      </c>
      <c r="C160" s="73" t="inlineStr">
        <is>
          <t>Assignment inventory</t>
        </is>
      </c>
      <c r="D160" s="73" t="inlineStr">
        <is>
          <t>PASS</t>
        </is>
      </c>
      <c r="E160" s="73" t="inlineStr">
        <is>
          <t>Authenticated API returned six assignments</t>
        </is>
      </c>
    </row>
    <row r="161" ht="30" customHeight="1" s="78">
      <c r="A161" s="73" t="inlineStr">
        <is>
          <t>QA-007</t>
        </is>
      </c>
      <c r="B161" s="73" t="n">
        <v>74</v>
      </c>
      <c r="C161" s="73" t="inlineStr">
        <is>
          <t>Maintained answers, Assignments 1-4</t>
        </is>
      </c>
      <c r="D161" s="73" t="inlineStr">
        <is>
          <t>PASS</t>
        </is>
      </c>
      <c r="E161" s="73" t="inlineStr">
        <is>
          <t>Every maintained Python answer returned 100%; every starter/incorrect answer returned 0%</t>
        </is>
      </c>
    </row>
    <row r="162" ht="30" customHeight="1" s="78">
      <c r="A162" s="73" t="inlineStr">
        <is>
          <t>QA-007</t>
        </is>
      </c>
      <c r="B162" s="73" t="n">
        <v>75</v>
      </c>
      <c r="C162" s="73" t="inlineStr">
        <is>
          <t>Maintained answers, Assignments 5-6</t>
        </is>
      </c>
      <c r="D162" s="73" t="inlineStr">
        <is>
          <t>PASS</t>
        </is>
      </c>
      <c r="E162" s="73" t="inlineStr">
        <is>
          <t>Real Docker ROS graders returned 7/7 and 9/9; integrated maintained answers returned 100%</t>
        </is>
      </c>
    </row>
    <row r="163" ht="30" customHeight="1" s="78">
      <c r="A163" s="73" t="inlineStr">
        <is>
          <t>QA-007</t>
        </is>
      </c>
      <c r="B163" s="73" t="n">
        <v>76</v>
      </c>
      <c r="C163" s="73" t="inlineStr">
        <is>
          <t>Incorrect ROS answers</t>
        </is>
      </c>
      <c r="D163" s="73" t="inlineStr">
        <is>
          <t>PASS</t>
        </is>
      </c>
      <c r="E163" s="73" t="inlineStr">
        <is>
          <t>Assignment 5 starter returned 20%; Assignment 6 starter returned 10%; neither was accepted as complete</t>
        </is>
      </c>
    </row>
    <row r="164" ht="30" customHeight="1" s="78">
      <c r="A164" s="73" t="inlineStr">
        <is>
          <t>QA-007</t>
        </is>
      </c>
      <c r="B164" s="73" t="n">
        <v>77</v>
      </c>
      <c r="C164" s="73" t="inlineStr">
        <is>
          <t>Syntax and runtime errors</t>
        </is>
      </c>
      <c r="D164" s="73" t="inlineStr">
        <is>
          <t>PASS</t>
        </is>
      </c>
      <c r="E164" s="73" t="inlineStr">
        <is>
          <t>Syntax failure and controlled runtime failure returned structured non-passing results</t>
        </is>
      </c>
    </row>
    <row r="165" ht="30" customHeight="1" s="78">
      <c r="A165" s="73" t="inlineStr">
        <is>
          <t>QA-007</t>
        </is>
      </c>
      <c r="B165" s="73" t="n">
        <v>78</v>
      </c>
      <c r="C165" s="73" t="inlineStr">
        <is>
          <t>Infinite loop</t>
        </is>
      </c>
      <c r="D165" s="73" t="inlineStr">
        <is>
          <t>PASS</t>
        </is>
      </c>
      <c r="E165" s="73" t="inlineStr">
        <is>
          <t>Execution stopped after the five-second limit with `timeout` status</t>
        </is>
      </c>
    </row>
    <row r="166" ht="30" customHeight="1" s="78">
      <c r="A166" s="73" t="inlineStr">
        <is>
          <t>QA-007</t>
        </is>
      </c>
      <c r="B166" s="73" t="n">
        <v>79</v>
      </c>
      <c r="C166" s="73" t="inlineStr">
        <is>
          <t>Unsafe import</t>
        </is>
      </c>
      <c r="D166" s="73" t="inlineStr">
        <is>
          <t>PASS</t>
        </is>
      </c>
      <c r="E166" s="73" t="inlineStr">
        <is>
          <t>`import os` was rejected without executing student code</t>
        </is>
      </c>
    </row>
    <row r="167" ht="30" customHeight="1" s="78">
      <c r="A167" s="73" t="inlineStr">
        <is>
          <t>QA-007</t>
        </is>
      </c>
      <c r="B167" s="73" t="n">
        <v>80</v>
      </c>
      <c r="C167" s="73" t="inlineStr">
        <is>
          <t>Excessive output</t>
        </is>
      </c>
      <c r="D167" s="73" t="inlineStr">
        <is>
          <t>PASS</t>
        </is>
      </c>
      <c r="E167" s="73" t="inlineStr">
        <is>
          <t>Public run completed but output was capped at 20,019 characters and marked `[output truncated]`</t>
        </is>
      </c>
    </row>
    <row r="168" ht="30" customHeight="1" s="78">
      <c r="A168" s="73" t="inlineStr">
        <is>
          <t>QA-007</t>
        </is>
      </c>
      <c r="B168" s="73" t="n">
        <v>81</v>
      </c>
      <c r="C168" s="73" t="inlineStr">
        <is>
          <t>Oversized request</t>
        </is>
      </c>
      <c r="D168" s="73" t="inlineStr">
        <is>
          <t>PASS</t>
        </is>
      </c>
      <c r="E168" s="73" t="inlineStr">
        <is>
          <t>A 100,001-character submission was rejected with HTTP 413</t>
        </is>
      </c>
    </row>
    <row r="169" ht="30" customHeight="1" s="78">
      <c r="A169" s="73" t="inlineStr">
        <is>
          <t>QA-007</t>
        </is>
      </c>
      <c r="B169" s="73" t="n">
        <v>82</v>
      </c>
      <c r="C169" s="73" t="inlineStr">
        <is>
          <t>Student response safety</t>
        </is>
      </c>
      <c r="D169" s="73" t="inlineStr">
        <is>
          <t>PASS</t>
        </is>
      </c>
      <c r="E169" s="73" t="inlineStr">
        <is>
          <t>Student assignment JSON excluded `grader_config` and `reference_solution_path`</t>
        </is>
      </c>
    </row>
    <row r="170" ht="30" customHeight="1" s="78">
      <c r="A170" s="73" t="inlineStr">
        <is>
          <t>QA-007</t>
        </is>
      </c>
      <c r="B170" s="73" t="n">
        <v>83</v>
      </c>
      <c r="C170" s="73" t="inlineStr">
        <is>
          <t>Built-in tutor fallback</t>
        </is>
      </c>
      <c r="D170" s="73" t="inlineStr">
        <is>
          <t>PASS</t>
        </is>
      </c>
      <c r="E170" s="73" t="inlineStr">
        <is>
          <t>Two progressive hints and a student question returned structured fallback guidance without the official result</t>
        </is>
      </c>
    </row>
    <row r="171" ht="30" customHeight="1" s="78">
      <c r="A171" s="73" t="inlineStr">
        <is>
          <t>QA-007</t>
        </is>
      </c>
      <c r="B171" s="73" t="n">
        <v>84</v>
      </c>
      <c r="C171" s="73" t="inlineStr">
        <is>
          <t>Demo persistence boundary</t>
        </is>
      </c>
      <c r="D171" s="73" t="inlineStr">
        <is>
          <t>PASS</t>
        </is>
      </c>
      <c r="E171" s="73" t="inlineStr">
        <is>
          <t>Demo submission and authentication left PostgreSQL submission and auth-session counts unchanged</t>
        </is>
      </c>
    </row>
    <row r="172" ht="39.95" customHeight="1" s="78">
      <c r="A172" s="73" t="inlineStr">
        <is>
          <t>QA-007</t>
        </is>
      </c>
      <c r="B172" s="73" t="n">
        <v>85</v>
      </c>
      <c r="C172" s="73" t="inlineStr">
        <is>
          <t>Versioned browser drafts</t>
        </is>
      </c>
      <c r="D172" s="73" t="inlineStr">
        <is>
          <t>PASS</t>
        </is>
      </c>
      <c r="E172" s="73" t="inlineStr">
        <is>
          <t>Same-profile mobile QA initially reproduced an older Assignment 1 draft; after the fix, v5 opened the corrected m-line starter code</t>
        </is>
      </c>
    </row>
    <row r="173" ht="39.95" customHeight="1" s="78">
      <c r="A173" s="73" t="inlineStr">
        <is>
          <t>QA-007</t>
        </is>
      </c>
      <c r="B173" s="73" t="n">
        <v>86</v>
      </c>
      <c r="C173" s="73" t="inlineStr">
        <is>
          <t>Mobile-width UI</t>
        </is>
      </c>
      <c r="D173" s="73" t="inlineStr">
        <is>
          <t>PASS</t>
        </is>
      </c>
      <c r="E173" s="73" t="inlineStr">
        <is>
          <t>Login, catalog, assignment workspace tabs, and instructor research dashboard rendered at 390 x 844 without visible overflow</t>
        </is>
      </c>
    </row>
    <row r="174" ht="30" customHeight="1" s="78">
      <c r="A174" s="73" t="inlineStr">
        <is>
          <t>QA-007</t>
        </is>
      </c>
      <c r="B174" s="73" t="n">
        <v>87</v>
      </c>
      <c r="C174" s="73" t="inlineStr">
        <is>
          <t>Submission persistence</t>
        </is>
      </c>
      <c r="D174" s="73" t="inlineStr">
        <is>
          <t>PASS</t>
        </is>
      </c>
      <c r="E174" s="73" t="inlineStr">
        <is>
          <t>PostgreSQL retained all 62 submissions after a clean backup and restart</t>
        </is>
      </c>
    </row>
    <row r="175" ht="30" customHeight="1" s="78">
      <c r="A175" s="73" t="inlineStr">
        <is>
          <t>QA-007</t>
        </is>
      </c>
      <c r="B175" s="73" t="n">
        <v>88</v>
      </c>
      <c r="C175" s="73" t="inlineStr">
        <is>
          <t>AI default</t>
        </is>
      </c>
      <c r="D175" s="73" t="inlineStr">
        <is>
          <t>PASS</t>
        </is>
      </c>
      <c r="E175" s="73" t="inlineStr">
        <is>
          <t>Launcher reported AI disabled</t>
        </is>
      </c>
    </row>
    <row r="176" ht="30" customHeight="1" s="78">
      <c r="A176" s="73" t="inlineStr">
        <is>
          <t>QA-007</t>
        </is>
      </c>
      <c r="B176" s="73" t="n">
        <v>94</v>
      </c>
      <c r="C176" s="73" t="inlineStr">
        <is>
          <t>Focused database-transfer tests</t>
        </is>
      </c>
      <c r="D176" s="73" t="inlineStr">
        <is>
          <t>PASS, 3 tests</t>
        </is>
      </c>
      <c r="E176" s="73" t="n"/>
    </row>
    <row r="177" ht="30" customHeight="1" s="78">
      <c r="A177" s="73" t="inlineStr">
        <is>
          <t>QA-007</t>
        </is>
      </c>
      <c r="B177" s="73" t="n">
        <v>95</v>
      </c>
      <c r="C177" s="73" t="inlineStr">
        <is>
          <t>Backend regression</t>
        </is>
      </c>
      <c r="D177" s="73" t="inlineStr">
        <is>
          <t>PASS, 174 tests</t>
        </is>
      </c>
      <c r="E177" s="73" t="n"/>
    </row>
    <row r="178" ht="30" customHeight="1" s="78">
      <c r="A178" s="73" t="inlineStr">
        <is>
          <t>QA-007</t>
        </is>
      </c>
      <c r="B178" s="73" t="n">
        <v>96</v>
      </c>
      <c r="C178" s="73" t="inlineStr">
        <is>
          <t>Python dependency integrity</t>
        </is>
      </c>
      <c r="D178" s="73" t="inlineStr">
        <is>
          <t>PASS, no broken requirements</t>
        </is>
      </c>
      <c r="E178" s="73" t="n"/>
    </row>
    <row r="179" ht="30" customHeight="1" s="78">
      <c r="A179" s="73" t="inlineStr">
        <is>
          <t>QA-007</t>
        </is>
      </c>
      <c r="B179" s="73" t="n">
        <v>97</v>
      </c>
      <c r="C179" s="73" t="inlineStr">
        <is>
          <t>Python compilation</t>
        </is>
      </c>
      <c r="D179" s="73" t="inlineStr">
        <is>
          <t>PASS</t>
        </is>
      </c>
      <c r="E179" s="73" t="n"/>
    </row>
    <row r="180" ht="30" customHeight="1" s="78">
      <c r="A180" s="73" t="inlineStr">
        <is>
          <t>QA-007</t>
        </is>
      </c>
      <c r="B180" s="73" t="n">
        <v>98</v>
      </c>
      <c r="C180" s="73" t="inlineStr">
        <is>
          <t>PowerShell parser checks</t>
        </is>
      </c>
      <c r="D180" s="73" t="inlineStr">
        <is>
          <t>PASS, five database/run/verification scripts</t>
        </is>
      </c>
      <c r="E180" s="73" t="n"/>
    </row>
    <row r="181" ht="30" customHeight="1" s="78">
      <c r="A181" s="73" t="inlineStr">
        <is>
          <t>QA-007</t>
        </is>
      </c>
      <c r="B181" s="73" t="n">
        <v>99</v>
      </c>
      <c r="C181" s="73" t="inlineStr">
        <is>
          <t>Docker Compose configuration</t>
        </is>
      </c>
      <c r="D181" s="73" t="inlineStr">
        <is>
          <t>PASS</t>
        </is>
      </c>
      <c r="E181" s="73" t="n"/>
    </row>
    <row r="182" ht="30" customHeight="1" s="78">
      <c r="A182" s="73" t="inlineStr">
        <is>
          <t>QA-007</t>
        </is>
      </c>
      <c r="B182" s="73" t="n">
        <v>100</v>
      </c>
      <c r="C182" s="73" t="inlineStr">
        <is>
          <t>Isolated handoff integration</t>
        </is>
      </c>
      <c r="D182" s="73" t="inlineStr">
        <is>
          <t>PASS, migrate/backup/checksum/lock/reset/same-device restore/clean-device restore/reconcile</t>
        </is>
      </c>
      <c r="E182" s="73" t="n"/>
    </row>
    <row r="183" ht="30" customHeight="1" s="78">
      <c r="A183" s="73" t="inlineStr">
        <is>
          <t>QA-007</t>
        </is>
      </c>
      <c r="B183" s="73" t="n">
        <v>101</v>
      </c>
      <c r="C183" s="73" t="inlineStr">
        <is>
          <t>Flutter analysis</t>
        </is>
      </c>
      <c r="D183" s="73" t="inlineStr">
        <is>
          <t>PASS, no issues</t>
        </is>
      </c>
      <c r="E183" s="73" t="n"/>
    </row>
    <row r="184" ht="30" customHeight="1" s="78">
      <c r="A184" s="73" t="inlineStr">
        <is>
          <t>QA-007</t>
        </is>
      </c>
      <c r="B184" s="73" t="n">
        <v>102</v>
      </c>
      <c r="C184" s="73" t="inlineStr">
        <is>
          <t>Flutter tests</t>
        </is>
      </c>
      <c r="D184" s="73" t="inlineStr">
        <is>
          <t>PASS, 49 tests</t>
        </is>
      </c>
      <c r="E184" s="73" t="n"/>
    </row>
    <row r="185" ht="30" customHeight="1" s="78">
      <c r="A185" s="73" t="inlineStr">
        <is>
          <t>QA-007</t>
        </is>
      </c>
      <c r="B185" s="73" t="n">
        <v>103</v>
      </c>
      <c r="C185" s="73" t="inlineStr">
        <is>
          <t>Flutter web release build</t>
        </is>
      </c>
      <c r="D185" s="73" t="inlineStr">
        <is>
          <t>PASS</t>
        </is>
      </c>
      <c r="E185" s="73" t="n"/>
    </row>
    <row r="186" ht="30" customHeight="1" s="78">
      <c r="A186" s="73" t="inlineStr">
        <is>
          <t>QA-007</t>
        </is>
      </c>
      <c r="B186" s="73" t="n">
        <v>104</v>
      </c>
      <c r="C186" s="73" t="inlineStr">
        <is>
          <t>Git whitespace check</t>
        </is>
      </c>
      <c r="D186" s="73" t="inlineStr">
        <is>
          <t>PASS</t>
        </is>
      </c>
      <c r="E186" s="73" t="n"/>
    </row>
    <row r="187" ht="30" customHeight="1" s="78">
      <c r="A187" s="73" t="inlineStr">
        <is>
          <t>QA-007</t>
        </is>
      </c>
      <c r="B187" s="73" t="n">
        <v>105</v>
      </c>
      <c r="C187" s="73" t="inlineStr">
        <is>
          <t>Managed API and sandbox health</t>
        </is>
      </c>
      <c r="D187" s="73" t="inlineStr">
        <is>
          <t>PASS</t>
        </is>
      </c>
      <c r="E187" s="73" t="n"/>
    </row>
    <row r="188" ht="68.09999999999999" customHeight="1" s="78">
      <c r="A188" s="73" t="inlineStr">
        <is>
          <t>QA-007</t>
        </is>
      </c>
      <c r="B188" s="73" t="n">
        <v>111</v>
      </c>
      <c r="C188" s="73" t="inlineStr">
        <is>
          <t>Older Assignment 1 code appeared in the v5 workspace</t>
        </is>
      </c>
      <c r="D188" s="73" t="inlineStr">
        <is>
          <t>PASS</t>
        </is>
      </c>
      <c r="E188" s="73" t="inlineStr">
        <is>
          <t>Browser drafts were stored only by assignment ID, so a v4 draft could be loaded after the assignment advanced to v5 | Persist the draft's assignment version and load it only for an exact ID/version match; preserve but ignore legacy unversioned drafts | Focused six-test state suite, full 49-test Flutter suite, analyzer, release build, and same-profile browser restart showed the corrected v5 starter code</t>
        </is>
      </c>
    </row>
    <row r="189" ht="39.95" customHeight="1" s="78">
      <c r="A189" s="73" t="inlineStr">
        <is>
          <t>QA-007</t>
        </is>
      </c>
      <c r="B189" s="73" t="n">
        <v>117</v>
      </c>
      <c r="C189" s="73" t="inlineStr">
        <is>
          <t>Physical laptop handoff</t>
        </is>
      </c>
      <c r="D189" s="73" t="inlineStr">
        <is>
          <t>NOT RUN</t>
        </is>
      </c>
      <c r="E189" s="73" t="inlineStr">
        <is>
          <t>Stop on desktop, wait for OneDrive, start on laptop, verify accounts/submissions, then return through the same procedure</t>
        </is>
      </c>
    </row>
    <row r="190" ht="39.95" customHeight="1" s="78">
      <c r="A190" s="73" t="inlineStr">
        <is>
          <t>QA-007</t>
        </is>
      </c>
      <c r="B190" s="73" t="n">
        <v>119</v>
      </c>
      <c r="C190" s="73" t="inlineStr">
        <is>
          <t>Backup encryption</t>
        </is>
      </c>
      <c r="D190" s="73" t="inlineStr">
        <is>
          <t>BLOCKED FOR REAL STUDY</t>
        </is>
      </c>
      <c r="E190" s="73" t="inlineStr">
        <is>
          <t>Prototype dump is not encrypted; approve encrypted storage or managed PostgreSQL before collecting real participant data</t>
        </is>
      </c>
    </row>
    <row r="191" ht="39.95" customHeight="1" s="78">
      <c r="A191" s="73" t="inlineStr">
        <is>
          <t>QA-007</t>
        </is>
      </c>
      <c r="B191" s="73" t="n">
        <v>120</v>
      </c>
      <c r="C191" s="73" t="inlineStr">
        <is>
          <t>OneDrive availability/merge guarantee</t>
        </is>
      </c>
      <c r="D191" s="73" t="inlineStr">
        <is>
          <t>PARTIAL</t>
        </is>
      </c>
      <c r="E191" s="73" t="inlineStr">
        <is>
          <t>Checksums detect incomplete/tampered copies, but OneDrive itself cannot provide a database transaction protocol; always wait for **Up to date**</t>
        </is>
      </c>
    </row>
    <row r="192" ht="54" customHeight="1" s="78">
      <c r="A192" s="73" t="inlineStr">
        <is>
          <t>QA-007</t>
        </is>
      </c>
      <c r="B192" s="73" t="n">
        <v>121</v>
      </c>
      <c r="C192" s="73" t="inlineStr">
        <is>
          <t>Master Excel SQA workbook</t>
        </is>
      </c>
      <c r="D192" s="73" t="inlineStr">
        <is>
          <t>BLOCKED</t>
        </is>
      </c>
      <c r="E192" s="73" t="inlineStr">
        <is>
          <t>The required standalone spreadsheet artifact runtime was unavailable in this session; it cannot be safely edited with the mandated workbook tooling. This Markdown report is the current evidence and the workbook still needs the same PostgreSQL and versioned-draft rows added</t>
        </is>
      </c>
    </row>
    <row r="193" ht="30" customHeight="1" s="78">
      <c r="A193" s="73" t="inlineStr">
        <is>
          <t>QA-007</t>
        </is>
      </c>
      <c r="B193" s="73" t="n">
        <v>122</v>
      </c>
      <c r="C193" s="73" t="inlineStr">
        <is>
          <t>Production/live repository</t>
        </is>
      </c>
      <c r="D193" s="73" t="inlineStr">
        <is>
          <t>NOT RUN</t>
        </is>
      </c>
      <c r="E193" s="73" t="inlineStr">
        <is>
          <t>This change is staging-only; no production authorization was given</t>
        </is>
      </c>
    </row>
    <row r="194" ht="30" customHeight="1" s="78">
      <c r="A194" s="73" t="inlineStr">
        <is>
          <t>QA-008</t>
        </is>
      </c>
      <c r="B194" s="73" t="n">
        <v>24</v>
      </c>
      <c r="C194" s="73" t="inlineStr">
        <is>
          <t>Dedicated Neon database</t>
        </is>
      </c>
      <c r="D194" s="73" t="inlineStr">
        <is>
          <t>PASS</t>
        </is>
      </c>
      <c r="E194" s="73" t="inlineStr">
        <is>
          <t>The launcher selected `robotics_lab_staging`; the older Neon `neondb` database was not overwritten.</t>
        </is>
      </c>
    </row>
    <row r="195" ht="39.95" customHeight="1" s="78">
      <c r="A195" s="73" t="inlineStr">
        <is>
          <t>QA-008</t>
        </is>
      </c>
      <c r="B195" s="73" t="n">
        <v>25</v>
      </c>
      <c r="C195" s="73" t="inlineStr">
        <is>
          <t>Local-to-Neon migration</t>
        </is>
      </c>
      <c r="D195" s="73" t="inlineStr">
        <is>
          <t>PASS</t>
        </is>
      </c>
      <c r="E195" s="73" t="inlineStr">
        <is>
          <t>376 application rows migrated across users, assignments, submissions, activities, events, sessions, hints, audits, and auth records.</t>
        </is>
      </c>
    </row>
    <row r="196" ht="39.95" customHeight="1" s="78">
      <c r="A196" s="73" t="inlineStr">
        <is>
          <t>QA-008</t>
        </is>
      </c>
      <c r="B196" s="73" t="n">
        <v>26</v>
      </c>
      <c r="C196" s="73" t="inlineStr">
        <is>
          <t>Core analytics reconciliation</t>
        </is>
      </c>
      <c r="D196" s="73" t="inlineStr">
        <is>
          <t>PASS</t>
        </is>
      </c>
      <c r="E196" s="73" t="inlineStr">
        <is>
          <t>Neon contains 3 users, 6 assignments, 65 submissions, 2 assignment-activity rows, 44 learning events, and 22 study sessions before and after restart.</t>
        </is>
      </c>
    </row>
    <row r="197" ht="30" customHeight="1" s="78">
      <c r="A197" s="73" t="inlineStr">
        <is>
          <t>QA-008</t>
        </is>
      </c>
      <c r="B197" s="73" t="n">
        <v>27</v>
      </c>
      <c r="C197" s="73" t="inlineStr">
        <is>
          <t>Dave account retained</t>
        </is>
      </c>
      <c r="D197" s="73" t="inlineStr">
        <is>
          <t>PASS</t>
        </is>
      </c>
      <c r="E197" s="73" t="inlineStr">
        <is>
          <t>Dave remains active with 0 submissions and 0 completed assignments.</t>
        </is>
      </c>
    </row>
    <row r="198" ht="39.95" customHeight="1" s="78">
      <c r="A198" s="73" t="inlineStr">
        <is>
          <t>QA-008</t>
        </is>
      </c>
      <c r="B198" s="73" t="n">
        <v>28</v>
      </c>
      <c r="C198" s="73" t="inlineStr">
        <is>
          <t>Default student account restored</t>
        </is>
      </c>
      <c r="D198" s="73" t="inlineStr">
        <is>
          <t>PASS</t>
        </is>
      </c>
      <c r="E198" s="73" t="inlineStr">
        <is>
          <t>The active default student password hash verifies against the required prototype password. No password is recorded in this report.</t>
        </is>
      </c>
    </row>
    <row r="199" ht="39.95" customHeight="1" s="78">
      <c r="A199" s="73" t="inlineStr">
        <is>
          <t>QA-008</t>
        </is>
      </c>
      <c r="B199" s="73" t="n">
        <v>29</v>
      </c>
      <c r="C199" s="73" t="inlineStr">
        <is>
          <t>Versioned account roster</t>
        </is>
      </c>
      <c r="D199" s="73" t="inlineStr">
        <is>
          <t>PASS</t>
        </is>
      </c>
      <c r="E199" s="73" t="inlineStr">
        <is>
          <t>`backend/data/study_accounts.json` contains password-free account metadata and is eligible for Git tracking. Password hashes remain in Neon.</t>
        </is>
      </c>
    </row>
    <row r="200" ht="39.95" customHeight="1" s="78">
      <c r="A200" s="73" t="inlineStr">
        <is>
          <t>QA-008</t>
        </is>
      </c>
      <c r="B200" s="73" t="n">
        <v>35</v>
      </c>
      <c r="C200" s="73" t="inlineStr">
        <is>
          <t>Account isolation</t>
        </is>
      </c>
      <c r="D200" s="73" t="inlineStr">
        <is>
          <t>PASS</t>
        </is>
      </c>
      <c r="E200" s="73" t="inlineStr">
        <is>
          <t>Added user-ID-scoped browser storage and tested two persistent students plus the temporary demo session | Existing legacy browser progress migrates only to the default prototype student once.</t>
        </is>
      </c>
    </row>
    <row r="201" ht="39.95" customHeight="1" s="78">
      <c r="A201" s="73" t="inlineStr">
        <is>
          <t>QA-008</t>
        </is>
      </c>
      <c r="B201" s="73" t="n">
        <v>36</v>
      </c>
      <c r="C201" s="73" t="inlineStr">
        <is>
          <t>Dave fresh progress</t>
        </is>
      </c>
      <c r="D201" s="73" t="inlineStr">
        <is>
          <t>PASS</t>
        </is>
      </c>
      <c r="E201" s="73" t="inlineStr">
        <is>
          <t>Verified zero database attempts/completions and isolated browser state | A browser that still shows an old page must sign out or refresh after receiving the new frontend build.</t>
        </is>
      </c>
    </row>
    <row r="202" ht="39.95" customHeight="1" s="78">
      <c r="A202" s="73" t="inlineStr">
        <is>
          <t>QA-008</t>
        </is>
      </c>
      <c r="B202" s="73" t="n">
        <v>37</v>
      </c>
      <c r="C202" s="73" t="inlineStr">
        <is>
          <t>Instructor Studio</t>
        </is>
      </c>
      <c r="D202" s="73" t="inlineStr">
        <is>
          <t>PASS</t>
        </is>
      </c>
      <c r="E202" s="73" t="inlineStr">
        <is>
          <t>Create, list, edit, reset, activate, and deactivate student/instructor accounts | Passwords are intentionally shown only once when manually generated.</t>
        </is>
      </c>
    </row>
    <row r="203" ht="39.95" customHeight="1" s="78">
      <c r="A203" s="73" t="inlineStr">
        <is>
          <t>QA-008</t>
        </is>
      </c>
      <c r="B203" s="73" t="n">
        <v>38</v>
      </c>
      <c r="C203" s="73" t="inlineStr">
        <is>
          <t>Instructor safety</t>
        </is>
      </c>
      <c r="D203" s="73" t="inlineStr">
        <is>
          <t>PASS</t>
        </is>
      </c>
      <c r="E203" s="73" t="inlineStr">
        <is>
          <t>Prevent self-deactivation and disabling the last active instructor | Deletion is intentionally replaced by deactivation to preserve research history.</t>
        </is>
      </c>
    </row>
    <row r="204" ht="39.95" customHeight="1" s="78">
      <c r="A204" s="73" t="inlineStr">
        <is>
          <t>QA-008</t>
        </is>
      </c>
      <c r="B204" s="73" t="n">
        <v>39</v>
      </c>
      <c r="C204" s="73" t="inlineStr">
        <is>
          <t>File-based management</t>
        </is>
      </c>
      <c r="D204" s="73" t="inlineStr">
        <is>
          <t>PASS</t>
        </is>
      </c>
      <c r="E204" s="73" t="inlineStr">
        <is>
          <t>Import role, active, email, and participant-code changes from the tracked password-free roster | New accounts and password changes must use Instructor Studio.</t>
        </is>
      </c>
    </row>
    <row r="205" ht="39.95" customHeight="1" s="78">
      <c r="A205" s="73" t="inlineStr">
        <is>
          <t>QA-008</t>
        </is>
      </c>
      <c r="B205" s="73" t="n">
        <v>40</v>
      </c>
      <c r="C205" s="73" t="inlineStr">
        <is>
          <t>Neon restart persistence</t>
        </is>
      </c>
      <c r="D205" s="73" t="inlineStr">
        <is>
          <t>PASS</t>
        </is>
      </c>
      <c r="E205" s="73" t="inlineStr">
        <is>
          <t>Stopped and restarted the full local stack; row counts and Dave state remained unchanged | Availability still depends on internet access and the Neon service.</t>
        </is>
      </c>
    </row>
    <row r="206" ht="30" customHeight="1" s="78">
      <c r="A206" s="73" t="inlineStr">
        <is>
          <t>QA-008</t>
        </is>
      </c>
      <c r="B206" s="73" t="n">
        <v>42</v>
      </c>
      <c r="C206" s="73" t="inlineStr">
        <is>
          <t>Backend suite</t>
        </is>
      </c>
      <c r="D206" s="73" t="inlineStr">
        <is>
          <t>PASS</t>
        </is>
      </c>
      <c r="E206" s="73" t="inlineStr">
        <is>
          <t>183 tests | None observed.</t>
        </is>
      </c>
    </row>
    <row r="207" ht="30" customHeight="1" s="78">
      <c r="A207" s="73" t="inlineStr">
        <is>
          <t>QA-008</t>
        </is>
      </c>
      <c r="B207" s="73" t="n">
        <v>43</v>
      </c>
      <c r="C207" s="73" t="inlineStr">
        <is>
          <t>Python dependencies</t>
        </is>
      </c>
      <c r="D207" s="73" t="inlineStr">
        <is>
          <t>PASS</t>
        </is>
      </c>
      <c r="E207" s="73" t="inlineStr">
        <is>
          <t>`pip check` | None observed.</t>
        </is>
      </c>
    </row>
    <row r="208" ht="30" customHeight="1" s="78">
      <c r="A208" s="73" t="inlineStr">
        <is>
          <t>QA-008</t>
        </is>
      </c>
      <c r="B208" s="73" t="n">
        <v>44</v>
      </c>
      <c r="C208" s="73" t="inlineStr">
        <is>
          <t>Python compilation</t>
        </is>
      </c>
      <c r="D208" s="73" t="inlineStr">
        <is>
          <t>PASS</t>
        </is>
      </c>
      <c r="E208" s="73" t="inlineStr">
        <is>
          <t>`compileall` | None observed.</t>
        </is>
      </c>
    </row>
    <row r="209" ht="30" customHeight="1" s="78">
      <c r="A209" s="73" t="inlineStr">
        <is>
          <t>QA-008</t>
        </is>
      </c>
      <c r="B209" s="73" t="n">
        <v>45</v>
      </c>
      <c r="C209" s="73" t="inlineStr">
        <is>
          <t>Flutter analysis</t>
        </is>
      </c>
      <c r="D209" s="73" t="inlineStr">
        <is>
          <t>PASS</t>
        </is>
      </c>
      <c r="E209" s="73" t="inlineStr">
        <is>
          <t>Static analyzer | None observed.</t>
        </is>
      </c>
    </row>
    <row r="210" ht="30" customHeight="1" s="78">
      <c r="A210" s="73" t="inlineStr">
        <is>
          <t>QA-008</t>
        </is>
      </c>
      <c r="B210" s="73" t="n">
        <v>46</v>
      </c>
      <c r="C210" s="73" t="inlineStr">
        <is>
          <t>Flutter tests</t>
        </is>
      </c>
      <c r="D210" s="73" t="inlineStr">
        <is>
          <t>PASS</t>
        </is>
      </c>
      <c r="E210" s="73" t="inlineStr">
        <is>
          <t>51 tests | None observed.</t>
        </is>
      </c>
    </row>
    <row r="211" ht="30" customHeight="1" s="78">
      <c r="A211" s="73" t="inlineStr">
        <is>
          <t>QA-008</t>
        </is>
      </c>
      <c r="B211" s="73" t="n">
        <v>47</v>
      </c>
      <c r="C211" s="73" t="inlineStr">
        <is>
          <t>Flutter web release</t>
        </is>
      </c>
      <c r="D211" s="73" t="inlineStr">
        <is>
          <t>PASS</t>
        </is>
      </c>
      <c r="E211" s="73" t="inlineStr">
        <is>
          <t>Release web build with staging API URL | This was a local build, not a public deployment.</t>
        </is>
      </c>
    </row>
    <row r="212" ht="39.95" customHeight="1" s="78">
      <c r="A212" s="73" t="inlineStr">
        <is>
          <t>QA-008</t>
        </is>
      </c>
      <c r="B212" s="73" t="n">
        <v>48</v>
      </c>
      <c r="C212" s="73" t="inlineStr">
        <is>
          <t>Service health</t>
        </is>
      </c>
      <c r="D212" s="73" t="inlineStr">
        <is>
          <t>PASS</t>
        </is>
      </c>
      <c r="E212" s="73" t="inlineStr">
        <is>
          <t>Frontend HTTP 200; backend and sandbox report healthy | Authenticated browser mutation was covered by API/widget tests rather than changing the shared staging data manually.</t>
        </is>
      </c>
    </row>
    <row r="213" ht="30" customHeight="1" s="78">
      <c r="A213" s="73" t="inlineStr">
        <is>
          <t>QA-008</t>
        </is>
      </c>
      <c r="B213" s="73" t="n">
        <v>49</v>
      </c>
      <c r="C213" s="73" t="inlineStr">
        <is>
          <t>PowerShell launcher syntax</t>
        </is>
      </c>
      <c r="D213" s="73" t="inlineStr">
        <is>
          <t>PASS</t>
        </is>
      </c>
      <c r="E213" s="73" t="inlineStr">
        <is>
          <t>Parser check | None observed.</t>
        </is>
      </c>
    </row>
    <row r="214" ht="54" customHeight="1" s="78">
      <c r="A214" s="73" t="inlineStr">
        <is>
          <t>QA-008</t>
        </is>
      </c>
      <c r="B214" s="73" t="n">
        <v>50</v>
      </c>
      <c r="C214" s="73" t="inlineStr">
        <is>
          <t>Legacy database recovery</t>
        </is>
      </c>
      <c r="D214" s="73" t="inlineStr">
        <is>
          <t>PASS</t>
        </is>
      </c>
      <c r="E214" s="73" t="inlineStr">
        <is>
          <t>Migrated the pre-V5.2 SQLite schema without `assignment_activities` into the current PostgreSQL schema and reconciled every table count | The missing historical table is correctly treated as empty; current targets must still contain it.</t>
        </is>
      </c>
    </row>
    <row r="215" ht="39.95" customHeight="1" s="78">
      <c r="A215" s="73" t="inlineStr">
        <is>
          <t>QA-008</t>
        </is>
      </c>
      <c r="B215" s="73" t="n">
        <v>51</v>
      </c>
      <c r="C215" s="73" t="inlineStr">
        <is>
          <t>Ubuntu Bash validation</t>
        </is>
      </c>
      <c r="D215" s="73" t="inlineStr">
        <is>
          <t>NOT RUN</t>
        </is>
      </c>
      <c r="E215" s="73" t="inlineStr">
        <is>
          <t>`bash -n` and ShellCheck on this Windows host | WSL/Bash and ShellCheck are unavailable on this computer; existing Ubuntu support tests were not repeated.</t>
        </is>
      </c>
    </row>
    <row r="216" ht="39.95" customHeight="1" s="78">
      <c r="A216" s="73" t="inlineStr">
        <is>
          <t>QA-009</t>
        </is>
      </c>
      <c r="B216" s="73" t="n">
        <v>25</v>
      </c>
      <c r="C216" s="73" t="inlineStr">
        <is>
          <t>Windows launcher</t>
        </is>
      </c>
      <c r="D216" s="73" t="inlineStr">
        <is>
          <t>PASS</t>
        </is>
      </c>
      <c r="E216" s="73" t="inlineStr">
        <is>
          <t>Started with the configured Neon staging URL, applied Alembic migrations, and recorded `databaseProvider=neon` | Internet and Neon availability are required</t>
        </is>
      </c>
    </row>
    <row r="217" ht="30" customHeight="1" s="78">
      <c r="A217" s="73" t="inlineStr">
        <is>
          <t>QA-009</t>
        </is>
      </c>
      <c r="B217" s="73" t="n">
        <v>26</v>
      </c>
      <c r="C217" s="73" t="inlineStr">
        <is>
          <t>Managed shutdown</t>
        </is>
      </c>
      <c r="D217" s="73" t="inlineStr">
        <is>
          <t>PASS</t>
        </is>
      </c>
      <c r="E217" s="73" t="inlineStr">
        <is>
          <t>Stopped only launcher-owned frontend, backend, and sandbox processes | None observed</t>
        </is>
      </c>
    </row>
    <row r="218" ht="39.95" customHeight="1" s="78">
      <c r="A218" s="73" t="inlineStr">
        <is>
          <t>QA-009</t>
        </is>
      </c>
      <c r="B218" s="73" t="n">
        <v>27</v>
      </c>
      <c r="C218" s="73" t="inlineStr">
        <is>
          <t>Private configuration</t>
        </is>
      </c>
      <c r="D218" s="73" t="inlineStr">
        <is>
          <t>PASS</t>
        </is>
      </c>
      <c r="E218" s="73" t="inlineStr">
        <is>
          <t>Validator confirmed the ignored repository-root `.env`, tracked password-free roster, and absence of obsolete dumps/manifests/history | The `.env` must be provisioned through a secure channel on each authorized computer</t>
        </is>
      </c>
    </row>
    <row r="219" ht="39.95" customHeight="1" s="78">
      <c r="A219" s="73" t="inlineStr">
        <is>
          <t>QA-009</t>
        </is>
      </c>
      <c r="B219" s="73" t="n">
        <v>28</v>
      </c>
      <c r="C219" s="73" t="inlineStr">
        <is>
          <t>Account roster safety</t>
        </is>
      </c>
      <c r="D219" s="73" t="inlineStr">
        <is>
          <t>PASS</t>
        </is>
      </c>
      <c r="E219" s="73" t="inlineStr">
        <is>
          <t>Tracked roster contains no temporary passwords; backend rejects passwords placed in the canonical roster | Create and reset passwords through Instructor Studio</t>
        </is>
      </c>
    </row>
    <row r="220" ht="39.95" customHeight="1" s="78">
      <c r="A220" s="73" t="inlineStr">
        <is>
          <t>QA-009</t>
        </is>
      </c>
      <c r="B220" s="73" t="n">
        <v>29</v>
      </c>
      <c r="C220" s="73" t="inlineStr">
        <is>
          <t>Local fallback removal</t>
        </is>
      </c>
      <c r="D220" s="73" t="inlineStr">
        <is>
          <t>PASS</t>
        </is>
      </c>
      <c r="E220" s="73" t="inlineStr">
        <is>
          <t>PostgreSQL Compose service, transfer module, dump scripts, backup worker, device lock, and runtime fallback switches removed | No offline database mode remains</t>
        </is>
      </c>
    </row>
    <row r="221" ht="30" customHeight="1" s="78">
      <c r="A221" s="73" t="inlineStr">
        <is>
          <t>QA-009</t>
        </is>
      </c>
      <c r="B221" s="73" t="n">
        <v>30</v>
      </c>
      <c r="C221" s="73" t="inlineStr">
        <is>
          <t>Account import</t>
        </is>
      </c>
      <c r="D221" s="73" t="inlineStr">
        <is>
          <t>PASS</t>
        </is>
      </c>
      <c r="E221" s="73" t="inlineStr">
        <is>
          <t>Focused authentication/account tests | 16 tests passed</t>
        </is>
      </c>
    </row>
    <row r="222" ht="30" customHeight="1" s="78">
      <c r="A222" s="73" t="inlineStr">
        <is>
          <t>QA-009</t>
        </is>
      </c>
      <c r="B222" s="73" t="n">
        <v>31</v>
      </c>
      <c r="C222" s="73" t="inlineStr">
        <is>
          <t>Backend regression</t>
        </is>
      </c>
      <c r="D222" s="73" t="inlineStr">
        <is>
          <t>PASS</t>
        </is>
      </c>
      <c r="E222" s="73" t="inlineStr">
        <is>
          <t>Full backend test suite | 179 tests passed after adding tracked-roster password protection</t>
        </is>
      </c>
    </row>
    <row r="223" ht="30" customHeight="1" s="78">
      <c r="A223" s="73" t="inlineStr">
        <is>
          <t>QA-009</t>
        </is>
      </c>
      <c r="B223" s="73" t="n">
        <v>32</v>
      </c>
      <c r="C223" s="73" t="inlineStr">
        <is>
          <t>Dependencies</t>
        </is>
      </c>
      <c r="D223" s="73" t="inlineStr">
        <is>
          <t>PASS</t>
        </is>
      </c>
      <c r="E223" s="73" t="inlineStr">
        <is>
          <t>`pip check` | No broken requirements</t>
        </is>
      </c>
    </row>
    <row r="224" ht="30" customHeight="1" s="78">
      <c r="A224" s="73" t="inlineStr">
        <is>
          <t>QA-009</t>
        </is>
      </c>
      <c r="B224" s="73" t="n">
        <v>33</v>
      </c>
      <c r="C224" s="73" t="inlineStr">
        <is>
          <t>Python compilation</t>
        </is>
      </c>
      <c r="D224" s="73" t="inlineStr">
        <is>
          <t>PASS</t>
        </is>
      </c>
      <c r="E224" s="73" t="inlineStr">
        <is>
          <t>`compileall` | No compilation errors</t>
        </is>
      </c>
    </row>
    <row r="225" ht="30" customHeight="1" s="78">
      <c r="A225" s="73" t="inlineStr">
        <is>
          <t>QA-009</t>
        </is>
      </c>
      <c r="B225" s="73" t="n">
        <v>34</v>
      </c>
      <c r="C225" s="73" t="inlineStr">
        <is>
          <t>Flutter analysis</t>
        </is>
      </c>
      <c r="D225" s="73" t="inlineStr">
        <is>
          <t>PASS</t>
        </is>
      </c>
      <c r="E225" s="73" t="inlineStr">
        <is>
          <t>Static analyzer | No issues found</t>
        </is>
      </c>
    </row>
    <row r="226" ht="30" customHeight="1" s="78">
      <c r="A226" s="73" t="inlineStr">
        <is>
          <t>QA-009</t>
        </is>
      </c>
      <c r="B226" s="73" t="n">
        <v>35</v>
      </c>
      <c r="C226" s="73" t="inlineStr">
        <is>
          <t>Flutter tests</t>
        </is>
      </c>
      <c r="D226" s="73" t="inlineStr">
        <is>
          <t>PASS</t>
        </is>
      </c>
      <c r="E226" s="73" t="inlineStr">
        <is>
          <t>Widget/state/API-client tests | 51 tests passed</t>
        </is>
      </c>
    </row>
    <row r="227" ht="30" customHeight="1" s="78">
      <c r="A227" s="73" t="inlineStr">
        <is>
          <t>QA-009</t>
        </is>
      </c>
      <c r="B227" s="73" t="n">
        <v>36</v>
      </c>
      <c r="C227" s="73" t="inlineStr">
        <is>
          <t>Flutter release build</t>
        </is>
      </c>
      <c r="D227" s="73" t="inlineStr">
        <is>
          <t>PASS</t>
        </is>
      </c>
      <c r="E227" s="73" t="inlineStr">
        <is>
          <t>Release web build using the local API URL | Local build only; no deployment performed</t>
        </is>
      </c>
    </row>
    <row r="228" ht="30" customHeight="1" s="78">
      <c r="A228" s="73" t="inlineStr">
        <is>
          <t>QA-009</t>
        </is>
      </c>
      <c r="B228" s="73" t="n">
        <v>37</v>
      </c>
      <c r="C228" s="73" t="inlineStr">
        <is>
          <t>Compose configuration</t>
        </is>
      </c>
      <c r="D228" s="73" t="inlineStr">
        <is>
          <t>PASS</t>
        </is>
      </c>
      <c r="E228" s="73" t="inlineStr">
        <is>
          <t>Docker Compose configuration validation | Compose now defines only build-profile grader images</t>
        </is>
      </c>
    </row>
    <row r="229" ht="30" customHeight="1" s="78">
      <c r="A229" s="73" t="inlineStr">
        <is>
          <t>QA-009</t>
        </is>
      </c>
      <c r="B229" s="73" t="n">
        <v>38</v>
      </c>
      <c r="C229" s="73" t="inlineStr">
        <is>
          <t>ROS 2 grading</t>
        </is>
      </c>
      <c r="D229" s="73" t="inlineStr">
        <is>
          <t>PASS</t>
        </is>
      </c>
      <c r="E229" s="73" t="inlineStr">
        <is>
          <t>Maintained answers for Assignments 5 and 6 | Assignment 5: 7/7; Assignment 6: 9/9</t>
        </is>
      </c>
    </row>
    <row r="230" ht="30" customHeight="1" s="78">
      <c r="A230" s="73" t="inlineStr">
        <is>
          <t>QA-009</t>
        </is>
      </c>
      <c r="B230" s="73" t="n">
        <v>39</v>
      </c>
      <c r="C230" s="73" t="inlineStr">
        <is>
          <t>Service health</t>
        </is>
      </c>
      <c r="D230" s="73" t="inlineStr">
        <is>
          <t>PASS</t>
        </is>
      </c>
      <c r="E230" s="73" t="inlineStr">
        <is>
          <t>Frontend HTTP 200; backend and sandbox healthy | Verified on Windows local ports 8180/5100/5101</t>
        </is>
      </c>
    </row>
    <row r="231" ht="39.95" customHeight="1" s="78">
      <c r="A231" s="73" t="inlineStr">
        <is>
          <t>QA-009</t>
        </is>
      </c>
      <c r="B231" s="73" t="n">
        <v>40</v>
      </c>
      <c r="C231" s="73" t="inlineStr">
        <is>
          <t>Persistent student login</t>
        </is>
      </c>
      <c r="D231" s="73" t="inlineStr">
        <is>
          <t>PASS</t>
        </is>
      </c>
      <c r="E231" s="73" t="inlineStr">
        <is>
          <t>Default student authenticated against Neon, `/auth/me` returned the student role, and logout succeeded | Password value was not recorded in QA output</t>
        </is>
      </c>
    </row>
    <row r="232" ht="39.95" customHeight="1" s="78">
      <c r="A232" s="73" t="inlineStr">
        <is>
          <t>QA-009</t>
        </is>
      </c>
      <c r="B232" s="73" t="n">
        <v>41</v>
      </c>
      <c r="C232" s="73" t="inlineStr">
        <is>
          <t>Ubuntu launcher</t>
        </is>
      </c>
      <c r="D232" s="73" t="inlineStr">
        <is>
          <t>NOT RUN</t>
        </is>
      </c>
      <c r="E232" s="73" t="inlineStr">
        <is>
          <t>Source updated to the same Neon-only lifecycle | This Windows host has no Bash/WSL or ShellCheck; repeat on a physical Ubuntu lab computer</t>
        </is>
      </c>
    </row>
    <row r="233" ht="39.95" customHeight="1" s="78">
      <c r="A233" s="73" t="inlineStr">
        <is>
          <t>QA-009</t>
        </is>
      </c>
      <c r="B233" s="73" t="n">
        <v>42</v>
      </c>
      <c r="C233" s="73" t="inlineStr">
        <is>
          <t>Secret safety</t>
        </is>
      </c>
      <c r="D233" s="73" t="inlineStr">
        <is>
          <t>PASS</t>
        </is>
      </c>
      <c r="E233" s="73" t="inlineStr">
        <is>
          <t>`.env` remains ignored; the tracked roster contains metadata only | Never commit passwords, hashes, or private connection settings</t>
        </is>
      </c>
    </row>
    <row r="234" ht="30" customHeight="1" s="78">
      <c r="A234" s="73" t="inlineStr">
        <is>
          <t>QA-010</t>
        </is>
      </c>
      <c r="B234" s="73" t="n">
        <v>20</v>
      </c>
      <c r="C234" s="73" t="inlineStr">
        <is>
          <t>Recovery point</t>
        </is>
      </c>
      <c r="D234" s="73" t="inlineStr">
        <is>
          <t>PASS</t>
        </is>
      </c>
      <c r="E234" s="73" t="inlineStr">
        <is>
          <t>`backup-v5-pre-cleanup-2026-08-24` published at baseline commit</t>
        </is>
      </c>
    </row>
    <row r="235" ht="30" customHeight="1" s="78">
      <c r="A235" s="73" t="inlineStr">
        <is>
          <t>QA-010</t>
        </is>
      </c>
      <c r="B235" s="73" t="n">
        <v>21</v>
      </c>
      <c r="C235" s="73" t="inlineStr">
        <is>
          <t>Generated artifacts</t>
        </is>
      </c>
      <c r="D235" s="73" t="inlineStr">
        <is>
          <t>Fixed allow-list removed approximately 133.42 MB across initial and final passes</t>
        </is>
      </c>
      <c r="E235" s="73" t="inlineStr">
        <is>
          <t>PASS</t>
        </is>
      </c>
    </row>
    <row r="236" ht="30" customHeight="1" s="78">
      <c r="A236" s="73" t="inlineStr">
        <is>
          <t>QA-010</t>
        </is>
      </c>
      <c r="B236" s="73" t="n">
        <v>22</v>
      </c>
      <c r="C236" s="73" t="inlineStr">
        <is>
          <t>Git object store</t>
        </is>
      </c>
      <c r="D236" s="73" t="inlineStr">
        <is>
          <t>PASS</t>
        </is>
      </c>
      <c r="E236" s="73" t="inlineStr">
        <is>
          <t>Integrity checked; 174.35 MB temporary garbage removed; one 137.53 MB pack remains</t>
        </is>
      </c>
    </row>
    <row r="237" ht="30" customHeight="1" s="78">
      <c r="A237" s="73" t="inlineStr">
        <is>
          <t>QA-010</t>
        </is>
      </c>
      <c r="B237" s="73" t="n">
        <v>23</v>
      </c>
      <c r="C237" s="73" t="inlineStr">
        <is>
          <t>Unused tracked files</t>
        </is>
      </c>
      <c r="D237" s="73" t="inlineStr">
        <is>
          <t>PASS</t>
        </is>
      </c>
      <c r="E237" s="73" t="inlineStr">
        <is>
          <t>Removed unreferenced `frontend/code.txt` and the unused duplicate `backend/files/` assets</t>
        </is>
      </c>
    </row>
    <row r="238" ht="30" customHeight="1" s="78">
      <c r="A238" s="73" t="inlineStr">
        <is>
          <t>QA-010</t>
        </is>
      </c>
      <c r="B238" s="73" t="n">
        <v>24</v>
      </c>
      <c r="C238" s="73" t="inlineStr">
        <is>
          <t>Course material</t>
        </is>
      </c>
      <c r="D238" s="73" t="inlineStr">
        <is>
          <t>PASS</t>
        </is>
      </c>
      <c r="E238" s="73" t="inlineStr">
        <is>
          <t>Source paths retained; seven unreferenced screenshots moved from `ss/` to `archive/screenshots/`</t>
        </is>
      </c>
    </row>
    <row r="239" ht="30" customHeight="1" s="78">
      <c r="A239" s="73" t="inlineStr">
        <is>
          <t>QA-010</t>
        </is>
      </c>
      <c r="B239" s="73" t="n">
        <v>25</v>
      </c>
      <c r="C239" s="73" t="inlineStr">
        <is>
          <t>Documentation</t>
        </is>
      </c>
      <c r="D239" s="73" t="inlineStr">
        <is>
          <t>PASS</t>
        </is>
      </c>
      <c r="E239" s="73" t="inlineStr">
        <is>
          <t>Current documents remain active; superseded SQA and v4 deployment records moved to `docs/archive/`</t>
        </is>
      </c>
    </row>
    <row r="240" ht="30" customHeight="1" s="78">
      <c r="A240" s="73" t="inlineStr">
        <is>
          <t>QA-010</t>
        </is>
      </c>
      <c r="B240" s="73" t="n">
        <v>26</v>
      </c>
      <c r="C240" s="73" t="inlineStr">
        <is>
          <t>Markdown links</t>
        </is>
      </c>
      <c r="D240" s="73" t="inlineStr">
        <is>
          <t>PASS</t>
        </is>
      </c>
      <c r="E240" s="73" t="inlineStr">
        <is>
          <t>All repository Markdown files scanned; zero broken relative links</t>
        </is>
      </c>
    </row>
    <row r="241" ht="30" customHeight="1" s="78">
      <c r="A241" s="73" t="inlineStr">
        <is>
          <t>QA-010</t>
        </is>
      </c>
      <c r="B241" s="73" t="n">
        <v>27</v>
      </c>
      <c r="C241" s="73" t="inlineStr">
        <is>
          <t>Ignore rules</t>
        </is>
      </c>
      <c r="D241" s="73" t="inlineStr">
        <is>
          <t>PASS</t>
        </is>
      </c>
      <c r="E241" s="73" t="inlineStr">
        <is>
          <t>Root `.gitignore` deduplicated and verified against databases, output, runtime, and caches</t>
        </is>
      </c>
    </row>
    <row r="242" ht="30" customHeight="1" s="78">
      <c r="A242" s="73" t="inlineStr">
        <is>
          <t>QA-010</t>
        </is>
      </c>
      <c r="B242" s="73" t="n">
        <v>28</v>
      </c>
      <c r="C242" s="73" t="inlineStr">
        <is>
          <t>Legacy SQLite data</t>
        </is>
      </c>
      <c r="D242" s="73" t="inlineStr">
        <is>
          <t>PASS</t>
        </is>
      </c>
      <c r="E242" s="73" t="inlineStr">
        <is>
          <t>Seven different databases inspected, totaling 10-340 rows each; all preserved because their data differs</t>
        </is>
      </c>
    </row>
    <row r="243" ht="30" customHeight="1" s="78">
      <c r="A243" s="73" t="inlineStr">
        <is>
          <t>QA-010</t>
        </is>
      </c>
      <c r="B243" s="73" t="n">
        <v>29</v>
      </c>
      <c r="C243" s="73" t="inlineStr">
        <is>
          <t>Protected paths</t>
        </is>
      </c>
      <c r="D243" s="73" t="inlineStr">
        <is>
          <t>PASS</t>
        </is>
      </c>
      <c r="E243" s="73" t="inlineStr">
        <is>
          <t>`venv`, databases, backups, output, course sources, and instructor answers excluded from cleanup</t>
        </is>
      </c>
    </row>
    <row r="244" ht="30" customHeight="1" s="78">
      <c r="A244" s="73" t="inlineStr">
        <is>
          <t>QA-010</t>
        </is>
      </c>
      <c r="B244" s="73" t="n">
        <v>35</v>
      </c>
      <c r="C244" s="73" t="inlineStr">
        <is>
          <t>Backend regression</t>
        </is>
      </c>
      <c r="D244" s="73" t="inlineStr">
        <is>
          <t>PASS</t>
        </is>
      </c>
      <c r="E244" s="73" t="inlineStr">
        <is>
          <t>174 tests passed</t>
        </is>
      </c>
    </row>
    <row r="245" ht="30" customHeight="1" s="78">
      <c r="A245" s="73" t="inlineStr">
        <is>
          <t>QA-010</t>
        </is>
      </c>
      <c r="B245" s="73" t="n">
        <v>36</v>
      </c>
      <c r="C245" s="73" t="inlineStr">
        <is>
          <t>Python dependencies</t>
        </is>
      </c>
      <c r="D245" s="73" t="inlineStr">
        <is>
          <t>PASS</t>
        </is>
      </c>
      <c r="E245" s="73" t="inlineStr">
        <is>
          <t>`pip check` found no broken requirements</t>
        </is>
      </c>
    </row>
    <row r="246" ht="30" customHeight="1" s="78">
      <c r="A246" s="73" t="inlineStr">
        <is>
          <t>QA-010</t>
        </is>
      </c>
      <c r="B246" s="73" t="n">
        <v>37</v>
      </c>
      <c r="C246" s="73" t="inlineStr">
        <is>
          <t>Python compilation</t>
        </is>
      </c>
      <c r="D246" s="73" t="inlineStr">
        <is>
          <t>PASS</t>
        </is>
      </c>
      <c r="E246" s="73" t="inlineStr">
        <is>
          <t>Backend compilation completed without error</t>
        </is>
      </c>
    </row>
    <row r="247" ht="30" customHeight="1" s="78">
      <c r="A247" s="73" t="inlineStr">
        <is>
          <t>QA-010</t>
        </is>
      </c>
      <c r="B247" s="73" t="n">
        <v>38</v>
      </c>
      <c r="C247" s="73" t="inlineStr">
        <is>
          <t>PostgreSQL handoff</t>
        </is>
      </c>
      <c r="D247" s="73" t="inlineStr">
        <is>
          <t>PASS</t>
        </is>
      </c>
      <c r="E247" s="73" t="inlineStr">
        <is>
          <t>Migration, checksummed backup, lock, same-device recovery, and clean-device restore passed with 183 rows</t>
        </is>
      </c>
    </row>
    <row r="248" ht="30" customHeight="1" s="78">
      <c r="A248" s="73" t="inlineStr">
        <is>
          <t>QA-010</t>
        </is>
      </c>
      <c r="B248" s="73" t="n">
        <v>39</v>
      </c>
      <c r="C248" s="73" t="inlineStr">
        <is>
          <t>Flutter static analysis</t>
        </is>
      </c>
      <c r="D248" s="73" t="inlineStr">
        <is>
          <t>PASS</t>
        </is>
      </c>
      <c r="E248" s="73" t="inlineStr">
        <is>
          <t>No issues found</t>
        </is>
      </c>
    </row>
    <row r="249" ht="30" customHeight="1" s="78">
      <c r="A249" s="73" t="inlineStr">
        <is>
          <t>QA-010</t>
        </is>
      </c>
      <c r="B249" s="73" t="n">
        <v>40</v>
      </c>
      <c r="C249" s="73" t="inlineStr">
        <is>
          <t>Flutter regression</t>
        </is>
      </c>
      <c r="D249" s="73" t="inlineStr">
        <is>
          <t>PASS</t>
        </is>
      </c>
      <c r="E249" s="73" t="inlineStr">
        <is>
          <t>49 tests passed</t>
        </is>
      </c>
    </row>
    <row r="250" ht="30" customHeight="1" s="78">
      <c r="A250" s="73" t="inlineStr">
        <is>
          <t>QA-010</t>
        </is>
      </c>
      <c r="B250" s="73" t="n">
        <v>41</v>
      </c>
      <c r="C250" s="73" t="inlineStr">
        <is>
          <t>Flutter release build</t>
        </is>
      </c>
      <c r="D250" s="73" t="inlineStr">
        <is>
          <t>PASS</t>
        </is>
      </c>
      <c r="E250" s="73" t="inlineStr">
        <is>
          <t>OneDrive-safe release web build passed</t>
        </is>
      </c>
    </row>
    <row r="251" ht="30" customHeight="1" s="78">
      <c r="A251" s="73" t="inlineStr">
        <is>
          <t>QA-010</t>
        </is>
      </c>
      <c r="B251" s="73" t="n">
        <v>42</v>
      </c>
      <c r="C251" s="73" t="inlineStr">
        <is>
          <t>Assignment content</t>
        </is>
      </c>
      <c r="D251" s="73" t="inlineStr">
        <is>
          <t>PASS</t>
        </is>
      </c>
      <c r="E251" s="73" t="inlineStr">
        <is>
          <t>15 focused repository/classroom-readiness tests passed after file cleanup</t>
        </is>
      </c>
    </row>
    <row r="252" ht="30" customHeight="1" s="78">
      <c r="A252" s="73" t="inlineStr">
        <is>
          <t>QA-010</t>
        </is>
      </c>
      <c r="B252" s="73" t="n">
        <v>43</v>
      </c>
      <c r="C252" s="73" t="inlineStr">
        <is>
          <t>Assignment image</t>
        </is>
      </c>
      <c r="D252" s="73" t="inlineStr">
        <is>
          <t>PASS</t>
        </is>
      </c>
      <c r="E252" s="73" t="inlineStr">
        <is>
          <t>Active image and JSON 404 behavior passed after duplicate removal</t>
        </is>
      </c>
    </row>
    <row r="253" ht="30" customHeight="1" s="78">
      <c r="A253" s="73" t="inlineStr">
        <is>
          <t>QA-010</t>
        </is>
      </c>
      <c r="B253" s="73" t="n">
        <v>44</v>
      </c>
      <c r="C253" s="73" t="inlineStr">
        <is>
          <t>ROS 2 Assignment 5</t>
        </is>
      </c>
      <c r="D253" s="73" t="inlineStr">
        <is>
          <t>PASS</t>
        </is>
      </c>
      <c r="E253" s="73" t="inlineStr">
        <is>
          <t>7/7 checks; 78 Twist messages at approximately 10.0 Hz</t>
        </is>
      </c>
    </row>
    <row r="254" ht="30" customHeight="1" s="78">
      <c r="A254" s="73" t="inlineStr">
        <is>
          <t>QA-010</t>
        </is>
      </c>
      <c r="B254" s="73" t="n">
        <v>45</v>
      </c>
      <c r="C254" s="73" t="inlineStr">
        <is>
          <t>ROS 2 Assignment 6</t>
        </is>
      </c>
      <c r="D254" s="73" t="inlineStr">
        <is>
          <t>PASS</t>
        </is>
      </c>
      <c r="E254" s="73" t="inlineStr">
        <is>
          <t>9/9 checks; 44 settled Twist messages at approximately 9.2 Hz</t>
        </is>
      </c>
    </row>
    <row r="255" ht="30" customHeight="1" s="78">
      <c r="A255" s="73" t="inlineStr">
        <is>
          <t>QA-010</t>
        </is>
      </c>
      <c r="B255" s="73" t="n">
        <v>46</v>
      </c>
      <c r="C255" s="73" t="inlineStr">
        <is>
          <t>Git integrity</t>
        </is>
      </c>
      <c r="D255" s="73" t="inlineStr">
        <is>
          <t>PASS</t>
        </is>
      </c>
      <c r="E255" s="73" t="inlineStr">
        <is>
          <t>Full object integrity check passed before and after maintenance</t>
        </is>
      </c>
    </row>
    <row r="256" ht="30" customHeight="1" s="78">
      <c r="A256" s="73" t="inlineStr">
        <is>
          <t>QA-010</t>
        </is>
      </c>
      <c r="B256" s="73" t="n">
        <v>52</v>
      </c>
      <c r="C256" s="73" t="inlineStr">
        <is>
          <t>Login</t>
        </is>
      </c>
      <c r="D256" s="73" t="inlineStr">
        <is>
          <t>PASS</t>
        </is>
      </c>
      <c r="E256" s="73" t="inlineStr">
        <is>
          <t>Clean root displayed the study login and temporary demo option</t>
        </is>
      </c>
    </row>
    <row r="257" ht="30" customHeight="1" s="78">
      <c r="A257" s="73" t="inlineStr">
        <is>
          <t>QA-010</t>
        </is>
      </c>
      <c r="B257" s="73" t="n">
        <v>53</v>
      </c>
      <c r="C257" s="73" t="inlineStr">
        <is>
          <t>Demo catalog</t>
        </is>
      </c>
      <c r="D257" s="73" t="inlineStr">
        <is>
          <t>PASS</t>
        </is>
      </c>
      <c r="E257" s="73" t="inlineStr">
        <is>
          <t>Six assignments displayed and demo mode was clearly labeled temporary</t>
        </is>
      </c>
    </row>
    <row r="258" ht="30" customHeight="1" s="78">
      <c r="A258" s="73" t="inlineStr">
        <is>
          <t>QA-010</t>
        </is>
      </c>
      <c r="B258" s="73" t="n">
        <v>54</v>
      </c>
      <c r="C258" s="73" t="inlineStr">
        <is>
          <t>Demo execution</t>
        </is>
      </c>
      <c r="D258" s="73" t="inlineStr">
        <is>
          <t>PASS</t>
        </is>
      </c>
      <c r="E258" s="73" t="inlineStr">
        <is>
          <t>Assignment 1 starter code ran once and returned the expected structured 0% result</t>
        </is>
      </c>
    </row>
    <row r="259" ht="30" customHeight="1" s="78">
      <c r="A259" s="73" t="inlineStr">
        <is>
          <t>QA-010</t>
        </is>
      </c>
      <c r="B259" s="73" t="n">
        <v>55</v>
      </c>
      <c r="C259" s="73" t="inlineStr">
        <is>
          <t>Demo reset</t>
        </is>
      </c>
      <c r="D259" s="73" t="inlineStr">
        <is>
          <t>PASS</t>
        </is>
      </c>
      <c r="E259" s="73" t="inlineStr">
        <is>
          <t>Refresh returned to login after Flutter initialization</t>
        </is>
      </c>
    </row>
    <row r="260" ht="30" customHeight="1" s="78">
      <c r="A260" s="73" t="inlineStr">
        <is>
          <t>QA-010</t>
        </is>
      </c>
      <c r="B260" s="73" t="n">
        <v>56</v>
      </c>
      <c r="C260" s="73" t="inlineStr">
        <is>
          <t>Student account</t>
        </is>
      </c>
      <c r="D260" s="73" t="inlineStr">
        <is>
          <t>PASS</t>
        </is>
      </c>
      <c r="E260" s="73" t="inlineStr">
        <is>
          <t>Default student login displayed persisted progress and all six assignments</t>
        </is>
      </c>
    </row>
    <row r="261" ht="30" customHeight="1" s="78">
      <c r="A261" s="73" t="inlineStr">
        <is>
          <t>QA-010</t>
        </is>
      </c>
      <c r="B261" s="73" t="n">
        <v>57</v>
      </c>
      <c r="C261" s="73" t="inlineStr">
        <is>
          <t>Student analytics</t>
        </is>
      </c>
      <c r="D261" s="73" t="inlineStr">
        <is>
          <t>PASS</t>
        </is>
      </c>
      <c r="E261" s="73" t="inlineStr">
        <is>
          <t>`My study progress` displayed attempts, completion, score, time, and recent attempts</t>
        </is>
      </c>
    </row>
    <row r="262" ht="30" customHeight="1" s="78">
      <c r="A262" s="73" t="inlineStr">
        <is>
          <t>QA-010</t>
        </is>
      </c>
      <c r="B262" s="73" t="n">
        <v>58</v>
      </c>
      <c r="C262" s="73" t="inlineStr">
        <is>
          <t>Instructor studio</t>
        </is>
      </c>
      <c r="D262" s="73" t="inlineStr">
        <is>
          <t>PASS</t>
        </is>
      </c>
      <c r="E262" s="73" t="inlineStr">
        <is>
          <t>Six versioned assignments and instructor controls rendered</t>
        </is>
      </c>
    </row>
    <row r="263" ht="30" customHeight="1" s="78">
      <c r="A263" s="73" t="inlineStr">
        <is>
          <t>QA-010</t>
        </is>
      </c>
      <c r="B263" s="73" t="n">
        <v>59</v>
      </c>
      <c r="C263" s="73" t="inlineStr">
        <is>
          <t>Student management</t>
        </is>
      </c>
      <c r="D263" s="73" t="inlineStr">
        <is>
          <t>PASS</t>
        </is>
      </c>
      <c r="E263" s="73" t="inlineStr">
        <is>
          <t>Default student account rendered with active status</t>
        </is>
      </c>
    </row>
    <row r="264" ht="30" customHeight="1" s="78">
      <c r="A264" s="73" t="inlineStr">
        <is>
          <t>QA-010</t>
        </is>
      </c>
      <c r="B264" s="73" t="n">
        <v>60</v>
      </c>
      <c r="C264" s="73" t="inlineStr">
        <is>
          <t>Research dashboard</t>
        </is>
      </c>
      <c r="D264" s="73" t="inlineStr">
        <is>
          <t>PASS</t>
        </is>
      </c>
      <c r="E264" s="73" t="inlineStr">
        <is>
          <t>Participant-safe aggregate dashboard rendered</t>
        </is>
      </c>
    </row>
    <row r="265" ht="30" customHeight="1" s="78">
      <c r="A265" s="73" t="inlineStr">
        <is>
          <t>QA-010</t>
        </is>
      </c>
      <c r="B265" s="73" t="n">
        <v>61</v>
      </c>
      <c r="C265" s="73" t="inlineStr">
        <is>
          <t>Responsive layout</t>
        </is>
      </c>
      <c r="D265" s="73" t="inlineStr">
        <is>
          <t>PASS</t>
        </is>
      </c>
      <c r="E265" s="73" t="inlineStr">
        <is>
          <t>Login, catalog, workspace, and instructor dashboard had no page-width overflow at 390 x 844</t>
        </is>
      </c>
    </row>
    <row r="266" ht="30" customHeight="1" s="78">
      <c r="A266" s="73" t="inlineStr">
        <is>
          <t>QA-010</t>
        </is>
      </c>
      <c r="B266" s="73" t="n">
        <v>62</v>
      </c>
      <c r="C266" s="73" t="inlineStr">
        <is>
          <t>Browser console</t>
        </is>
      </c>
      <c r="D266" s="73" t="inlineStr">
        <is>
          <t>PASS</t>
        </is>
      </c>
      <c r="E266" s="73" t="inlineStr">
        <is>
          <t>No application errors; only the known Flutter debug tooling warning appeared</t>
        </is>
      </c>
    </row>
    <row r="267" ht="39.95" customHeight="1" s="78">
      <c r="A267" s="73" t="inlineStr">
        <is>
          <t>QA-011</t>
        </is>
      </c>
      <c r="B267" s="73" t="n">
        <v>8</v>
      </c>
      <c r="C267" s="73" t="inlineStr">
        <is>
          <t>Account label</t>
        </is>
      </c>
      <c r="D267" s="73" t="inlineStr">
        <is>
          <t>Pass</t>
        </is>
      </c>
      <c r="E267" s="73" t="inlineStr">
        <is>
          <t>Refreshed local browser shows `Demo` beside the account icon; student, instructor, demo, and long-name widget tests pass</t>
        </is>
      </c>
    </row>
    <row r="268" ht="39.95" customHeight="1" s="78">
      <c r="A268" s="73" t="inlineStr">
        <is>
          <t>QA-011</t>
        </is>
      </c>
      <c r="B268" s="73" t="n">
        <v>9</v>
      </c>
      <c r="C268" s="73" t="inlineStr">
        <is>
          <t>Instructions space</t>
        </is>
      </c>
      <c r="D268" s="73" t="inlineStr">
        <is>
          <t>Pass</t>
        </is>
      </c>
      <c r="E268" s="73" t="inlineStr">
        <is>
          <t>Mobile browser shows Instructions filling its workspace tab without an embedded Results section; desktop layout widget test passes</t>
        </is>
      </c>
    </row>
    <row r="269" ht="30" customHeight="1" s="78">
      <c r="A269" s="73" t="inlineStr">
        <is>
          <t>QA-011</t>
        </is>
      </c>
      <c r="B269" s="73" t="n">
        <v>10</v>
      </c>
      <c r="C269" s="73" t="inlineStr">
        <is>
          <t>Results before first run</t>
        </is>
      </c>
      <c r="D269" s="73" t="inlineStr">
        <is>
          <t>Pass</t>
        </is>
      </c>
      <c r="E269" s="73" t="inlineStr">
        <is>
          <t>Browser Results button opens the differently colored drawer, with an empty state and AI switch off</t>
        </is>
      </c>
    </row>
    <row r="270" ht="30" customHeight="1" s="78">
      <c r="A270" s="73" t="inlineStr">
        <is>
          <t>QA-011</t>
        </is>
      </c>
      <c r="B270" s="73" t="n">
        <v>11</v>
      </c>
      <c r="C270" s="73" t="inlineStr">
        <is>
          <t>Minimize and reopen</t>
        </is>
      </c>
      <c r="D270" s="73" t="inlineStr">
        <is>
          <t>Pass</t>
        </is>
      </c>
      <c r="E270" s="73" t="inlineStr">
        <is>
          <t>Browser minimization restores the workspace; Results button remains available</t>
        </is>
      </c>
    </row>
    <row r="271" ht="39.95" customHeight="1" s="78">
      <c r="A271" s="73" t="inlineStr">
        <is>
          <t>QA-011</t>
        </is>
      </c>
      <c r="B271" s="73" t="n">
        <v>12</v>
      </c>
      <c r="C271" s="73" t="inlineStr">
        <is>
          <t>Run opens Results</t>
        </is>
      </c>
      <c r="D271" s="73" t="inlineStr">
        <is>
          <t>Pass</t>
        </is>
      </c>
      <c r="E271" s="73" t="inlineStr">
        <is>
          <t>Local demo starter-code run automatically opens the drawer and returns 0%, four failed tests, and their feedback</t>
        </is>
      </c>
    </row>
    <row r="272" ht="39.95" customHeight="1" s="78">
      <c r="A272" s="73" t="inlineStr">
        <is>
          <t>QA-011</t>
        </is>
      </c>
      <c r="B272" s="73" t="n">
        <v>13</v>
      </c>
      <c r="C272" s="73" t="inlineStr">
        <is>
          <t>AI-off safety</t>
        </is>
      </c>
      <c r="D272" s="73" t="inlineStr">
        <is>
          <t>Pass</t>
        </is>
      </c>
      <c r="E272" s="73" t="inlineStr">
        <is>
          <t>Browser showed test details without an AI question form; backend unit test confirms built-in progressive hints do not call OpenAI when AI is off</t>
        </is>
      </c>
    </row>
    <row r="273" ht="30" customHeight="1" s="78">
      <c r="A273" s="73" t="inlineStr">
        <is>
          <t>QA-011</t>
        </is>
      </c>
      <c r="B273" s="73" t="n">
        <v>14</v>
      </c>
      <c r="C273" s="73" t="inlineStr">
        <is>
          <t>Automated frontend</t>
        </is>
      </c>
      <c r="D273" s="73" t="inlineStr">
        <is>
          <t>Pass</t>
        </is>
      </c>
      <c r="E273" s="73" t="inlineStr">
        <is>
          <t>Flutter analysis, 67 widget/unit tests, and release web build</t>
        </is>
      </c>
    </row>
    <row r="274" ht="30" customHeight="1" s="78">
      <c r="A274" s="73" t="inlineStr">
        <is>
          <t>QA-011</t>
        </is>
      </c>
      <c r="B274" s="73" t="n">
        <v>15</v>
      </c>
      <c r="C274" s="73" t="inlineStr">
        <is>
          <t>Focused backend</t>
        </is>
      </c>
      <c r="D274" s="73" t="inlineStr">
        <is>
          <t>Pass</t>
        </is>
      </c>
      <c r="E274" s="73" t="inlineStr">
        <is>
          <t>Tutor and API tests, 57 passed</t>
        </is>
      </c>
    </row>
    <row r="275" ht="39.95" customHeight="1" s="78">
      <c r="A275" s="73" t="inlineStr">
        <is>
          <t>QA-011</t>
        </is>
      </c>
      <c r="B275" s="73" t="n">
        <v>16</v>
      </c>
      <c r="C275" s="73" t="inlineStr">
        <is>
          <t>Complete local gate</t>
        </is>
      </c>
      <c r="D275" s="73" t="inlineStr">
        <is>
          <t>Pass</t>
        </is>
      </c>
      <c r="E275" s="73" t="inlineStr">
        <is>
          <t>206 backend tests, dependency and Python checks, 67 Flutter tests, analysis, release web build, fresh-clone source check, and managed service health</t>
        </is>
      </c>
    </row>
    <row r="276" ht="39.95" customHeight="1" s="78">
      <c r="A276" s="73" t="inlineStr">
        <is>
          <t>QA-012</t>
        </is>
      </c>
      <c r="B276" s="73" t="n">
        <v>12</v>
      </c>
      <c r="C276" s="73" t="inlineStr">
        <is>
          <t>Desktop overlay, no bottom dock; instructions retain original size</t>
        </is>
      </c>
      <c r="D276" s="73" t="inlineStr">
        <is>
          <t>PASS: browser at 1280x720; widget test compares instruction size before/after opening</t>
        </is>
      </c>
      <c r="E276" s="73" t="n"/>
    </row>
    <row r="277" ht="30" customHeight="1" s="78">
      <c r="A277" s="73" t="inlineStr">
        <is>
          <t>QA-012</t>
        </is>
      </c>
      <c r="B277" s="73" t="n">
        <v>13</v>
      </c>
      <c r="C277" s="73" t="inlineStr">
        <is>
          <t>Minimize/reopen and AI off by default</t>
        </is>
      </c>
      <c r="D277" s="73" t="inlineStr">
        <is>
          <t>PASS: widget regression and browser; retained 0% score, terminal output and four failed-check details after reopening</t>
        </is>
      </c>
      <c r="E277" s="73" t="n"/>
    </row>
    <row r="278" ht="30" customHeight="1" s="78">
      <c r="A278" s="73" t="inlineStr">
        <is>
          <t>QA-012</t>
        </is>
      </c>
      <c r="B278" s="73" t="n">
        <v>14</v>
      </c>
      <c r="C278" s="73" t="inlineStr">
        <is>
          <t>Automatic opening after Run tests</t>
        </is>
      </c>
      <c r="D278" s="73" t="inlineStr">
        <is>
          <t>PASS: instructor preview, untouched Assignment 1 starter returns 0%; panel opens for loading and results</t>
        </is>
      </c>
      <c r="E278" s="73" t="n"/>
    </row>
    <row r="279" ht="30" customHeight="1" s="78">
      <c r="A279" s="73" t="inlineStr">
        <is>
          <t>QA-012</t>
        </is>
      </c>
      <c r="B279" s="73" t="n">
        <v>15</v>
      </c>
      <c r="C279" s="73" t="inlineStr">
        <is>
          <t>Narrow-screen panel and existing workspace shortcuts</t>
        </is>
      </c>
      <c r="D279" s="73" t="inlineStr">
        <is>
          <t>PASS: browser at 390x844; responsive workspace and shortcut widget regressions</t>
        </is>
      </c>
      <c r="E279" s="73" t="n"/>
    </row>
    <row r="280" ht="30" customHeight="1" s="78">
      <c r="A280" s="73" t="inlineStr">
        <is>
          <t>QA-012</t>
        </is>
      </c>
      <c r="B280" s="73" t="n">
        <v>16</v>
      </c>
      <c r="C280" s="73" t="inlineStr">
        <is>
          <t>Flutter analysis</t>
        </is>
      </c>
      <c r="D280" s="73" t="inlineStr">
        <is>
          <t>PASS: no issues</t>
        </is>
      </c>
      <c r="E280" s="73" t="n"/>
    </row>
    <row r="281" ht="30" customHeight="1" s="78">
      <c r="A281" s="73" t="inlineStr">
        <is>
          <t>QA-012</t>
        </is>
      </c>
      <c r="B281" s="73" t="n">
        <v>17</v>
      </c>
      <c r="C281" s="73" t="inlineStr">
        <is>
          <t>Flutter tests</t>
        </is>
      </c>
      <c r="D281" s="73" t="inlineStr">
        <is>
          <t>PASS: all 89 tests</t>
        </is>
      </c>
      <c r="E281" s="73" t="n"/>
    </row>
    <row r="282" ht="30" customHeight="1" s="78">
      <c r="A282" s="73" t="inlineStr">
        <is>
          <t>QA-012</t>
        </is>
      </c>
      <c r="B282" s="73" t="n">
        <v>18</v>
      </c>
      <c r="C282" s="73" t="inlineStr">
        <is>
          <t>Release web build</t>
        </is>
      </c>
      <c r="D282" s="73" t="inlineStr">
        <is>
          <t>PASS: API_BASE_URL=http://127.0.0.1:5100</t>
        </is>
      </c>
      <c r="E282" s="73" t="n"/>
    </row>
    <row r="283" ht="30" customHeight="1" s="78">
      <c r="A283" s="73" t="inlineStr">
        <is>
          <t>QA-013</t>
        </is>
      </c>
      <c r="B283" s="73" t="n">
        <v>33</v>
      </c>
      <c r="C283" s="73" t="inlineStr">
        <is>
          <t>Screenshot-style globals and partial code</t>
        </is>
      </c>
      <c r="D283" s="73" t="inlineStr">
        <is>
          <t>PASS</t>
        </is>
      </c>
      <c r="E283" s="73" t="inlineStr">
        <is>
          <t>Executes, prints 4.0 4.0 0.0 0.0; score 0%; explanatory feedback</t>
        </is>
      </c>
    </row>
    <row r="284" ht="30" customHeight="1" s="78">
      <c r="A284" s="73" t="inlineStr">
        <is>
          <t>QA-013</t>
        </is>
      </c>
      <c r="B284" s="73" t="n">
        <v>34</v>
      </c>
      <c r="C284" s="73" t="inlineStr">
        <is>
          <t>Same two components using parameters</t>
        </is>
      </c>
      <c r="D284" s="73" t="inlineStr">
        <is>
          <t>PASS</t>
        </is>
      </c>
      <c r="E284" s="73" t="inlineStr">
        <is>
          <t>Same example output; score 50%, two passed criteria</t>
        </is>
      </c>
    </row>
    <row r="285" ht="30" customHeight="1" s="78">
      <c r="A285" s="73" t="inlineStr">
        <is>
          <t>QA-013</t>
        </is>
      </c>
      <c r="B285" s="73" t="n">
        <v>35</v>
      </c>
      <c r="C285" s="73" t="inlineStr">
        <is>
          <t>Contradictory AI output</t>
        </is>
      </c>
      <c r="D285" s="73" t="inlineStr">
        <is>
          <t>PASS</t>
        </is>
      </c>
      <c r="E285" s="73" t="inlineStr">
        <is>
          <t>Four name-error phrasings across diagnosis, answer, hint and debugging steps fall back safely</t>
        </is>
      </c>
    </row>
    <row r="286" ht="30" customHeight="1" s="78">
      <c r="A286" s="73" t="inlineStr">
        <is>
          <t>QA-013</t>
        </is>
      </c>
      <c r="B286" s="73" t="n">
        <v>36</v>
      </c>
      <c r="C286" s="73" t="inlineStr">
        <is>
          <t>Grounded explanation / actual NameError</t>
        </is>
      </c>
      <c r="D286" s="73" t="inlineStr">
        <is>
          <t>PASS</t>
        </is>
      </c>
      <c r="E286" s="73" t="inlineStr">
        <is>
          <t>Valid global-input explanation and actual failed-execution NameError remain accepted</t>
        </is>
      </c>
    </row>
    <row r="287" ht="30" customHeight="1" s="78">
      <c r="A287" s="73" t="inlineStr">
        <is>
          <t>QA-013</t>
        </is>
      </c>
      <c r="B287" s="73" t="n">
        <v>37</v>
      </c>
      <c r="C287" s="73" t="inlineStr">
        <is>
          <t>Focused tutor, instructor-case and function-grader tests</t>
        </is>
      </c>
      <c r="D287" s="73" t="inlineStr">
        <is>
          <t>PASS</t>
        </is>
      </c>
      <c r="E287" s="73" t="inlineStr">
        <is>
          <t>56 passed</t>
        </is>
      </c>
    </row>
    <row r="288" ht="30" customHeight="1" s="78">
      <c r="A288" s="73" t="inlineStr">
        <is>
          <t>QA-013</t>
        </is>
      </c>
      <c r="B288" s="73" t="n">
        <v>38</v>
      </c>
      <c r="C288" s="73" t="inlineStr">
        <is>
          <t>API and authentication regressions</t>
        </is>
      </c>
      <c r="D288" s="73" t="inlineStr">
        <is>
          <t>PASS</t>
        </is>
      </c>
      <c r="E288" s="73" t="inlineStr">
        <is>
          <t>67 passed</t>
        </is>
      </c>
    </row>
    <row r="289" ht="30" customHeight="1" s="78">
      <c r="A289" s="73" t="inlineStr">
        <is>
          <t>QA-013</t>
        </is>
      </c>
      <c r="B289" s="73" t="n">
        <v>39</v>
      </c>
      <c r="C289" s="73" t="inlineStr">
        <is>
          <t>Running local API with temporary demo session</t>
        </is>
      </c>
      <c r="D289" s="73" t="inlineStr">
        <is>
          <t>PASS</t>
        </is>
      </c>
      <c r="E289" s="73" t="inlineStr">
        <is>
          <t>At API 5100, both variants returned 0% / 50%, successful execution and the new explanatory message; AI off</t>
        </is>
      </c>
    </row>
    <row r="290" ht="30" customHeight="1" s="78">
      <c r="A290" s="73" t="inlineStr">
        <is>
          <t>QA-013</t>
        </is>
      </c>
      <c r="B290" s="73" t="n">
        <v>40</v>
      </c>
      <c r="C290" s="73" t="inlineStr">
        <is>
          <t>Paid OpenAI model validation</t>
        </is>
      </c>
      <c r="D290" s="73" t="inlineStr">
        <is>
          <t>NOT RUN</t>
        </is>
      </c>
      <c r="E290" s="73" t="inlineStr">
        <is>
          <t>Injectable fake responses exercised the request and response checks; no paid request authorized</t>
        </is>
      </c>
    </row>
    <row r="291" ht="30" customHeight="1" s="78">
      <c r="A291" s="73" t="inlineStr">
        <is>
          <t>QA-013</t>
        </is>
      </c>
      <c r="B291" s="73" t="n">
        <v>41</v>
      </c>
      <c r="C291" s="73" t="inlineStr">
        <is>
          <t>Professor's computer / physical Ubuntu / live deployment</t>
        </is>
      </c>
      <c r="D291" s="73" t="inlineStr">
        <is>
          <t>NOT RUN</t>
        </is>
      </c>
      <c r="E291" s="73" t="inlineStr">
        <is>
          <t>Local staging repair only</t>
        </is>
      </c>
    </row>
    <row r="292" ht="30" customHeight="1" s="78">
      <c r="A292" s="73" t="inlineStr">
        <is>
          <t>QA-014</t>
        </is>
      </c>
      <c r="B292" s="73" t="n">
        <v>21</v>
      </c>
      <c r="C292" s="73" t="inlineStr">
        <is>
          <t>Source backup</t>
        </is>
      </c>
      <c r="D292" s="73" t="inlineStr">
        <is>
          <t>PASS</t>
        </is>
      </c>
      <c r="E292" s="73" t="inlineStr">
        <is>
          <t>Remote `backup-v5` resolves exactly to `7976caa8eb764c3452ab9f3021ddc875a5631e36` | None</t>
        </is>
      </c>
    </row>
    <row r="293" ht="30" customHeight="1" s="78">
      <c r="A293" s="73" t="inlineStr">
        <is>
          <t>QA-014</t>
        </is>
      </c>
      <c r="B293" s="73" t="n">
        <v>22</v>
      </c>
      <c r="C293" s="73" t="inlineStr">
        <is>
          <t>Bash syntax</t>
        </is>
      </c>
      <c r="D293" s="73" t="inlineStr">
        <is>
          <t>PASS</t>
        </is>
      </c>
      <c r="E293" s="73" t="inlineStr">
        <is>
          <t>Every maintained `.sh` file parsed with Bash on Ubuntu | None</t>
        </is>
      </c>
    </row>
    <row r="294" ht="30" customHeight="1" s="78">
      <c r="A294" s="73" t="inlineStr">
        <is>
          <t>QA-014</t>
        </is>
      </c>
      <c r="B294" s="73" t="n">
        <v>23</v>
      </c>
      <c r="C294" s="73" t="inlineStr">
        <is>
          <t>ShellCheck</t>
        </is>
      </c>
      <c r="D294" s="73" t="inlineStr">
        <is>
          <t>PASS</t>
        </is>
      </c>
      <c r="E294" s="73" t="inlineStr">
        <is>
          <t>ShellCheck completed with no findings | None</t>
        </is>
      </c>
    </row>
    <row r="295" ht="39.95" customHeight="1" s="78">
      <c r="A295" s="73" t="inlineStr">
        <is>
          <t>QA-014</t>
        </is>
      </c>
      <c r="B295" s="73" t="n">
        <v>24</v>
      </c>
      <c r="C295" s="73" t="inlineStr">
        <is>
          <t>Ubuntu 22.04 setup</t>
        </is>
      </c>
      <c r="D295" s="73" t="inlineStr">
        <is>
          <t>PASS</t>
        </is>
      </c>
      <c r="E295" s="73" t="inlineStr">
        <is>
          <t>`uv` installed managed Python 3.14.7; all 53 pinned backend packages installed and passed compatibility checks | Docker and Flutter prerequisite discovery used controlled command stubs in this setup-only container</t>
        </is>
      </c>
    </row>
    <row r="296" ht="30" customHeight="1" s="78">
      <c r="A296" s="73" t="inlineStr">
        <is>
          <t>QA-014</t>
        </is>
      </c>
      <c r="B296" s="73" t="n">
        <v>25</v>
      </c>
      <c r="C296" s="73" t="inlineStr">
        <is>
          <t>Ubuntu 24.04 setup</t>
        </is>
      </c>
      <c r="D296" s="73" t="inlineStr">
        <is>
          <t>PASS</t>
        </is>
      </c>
      <c r="E296" s="73" t="inlineStr">
        <is>
          <t>Real Docker client and Flutter 3.32.8; managed Python 3.14.7 and all pinned packages installed | None</t>
        </is>
      </c>
    </row>
    <row r="297" ht="30" customHeight="1" s="78">
      <c r="A297" s="73" t="inlineStr">
        <is>
          <t>QA-014</t>
        </is>
      </c>
      <c r="B297" s="73" t="n">
        <v>26</v>
      </c>
      <c r="C297" s="73" t="inlineStr">
        <is>
          <t>Local stack startup</t>
        </is>
      </c>
      <c r="D297" s="73" t="inlineStr">
        <is>
          <t>PASS</t>
        </is>
      </c>
      <c r="E297" s="73" t="inlineStr">
        <is>
          <t>PostgreSQL, sandbox, FastAPI, Flutter web, and backup worker became healthy on isolated test ports | None</t>
        </is>
      </c>
    </row>
    <row r="298" ht="39.95" customHeight="1" s="78">
      <c r="A298" s="73" t="inlineStr">
        <is>
          <t>QA-014</t>
        </is>
      </c>
      <c r="B298" s="73" t="n">
        <v>27</v>
      </c>
      <c r="C298" s="73" t="inlineStr">
        <is>
          <t>Frontend</t>
        </is>
      </c>
      <c r="D298" s="73" t="inlineStr">
        <is>
          <t>PASS</t>
        </is>
      </c>
      <c r="E298" s="73" t="inlineStr">
        <is>
          <t>`/app` returned HTTP 200 from the Ubuntu runtime; Flutter widget and release-build checks passed | No physical Ubuntu browser was used</t>
        </is>
      </c>
    </row>
    <row r="299" ht="39.95" customHeight="1" s="78">
      <c r="A299" s="73" t="inlineStr">
        <is>
          <t>QA-014</t>
        </is>
      </c>
      <c r="B299" s="73" t="n">
        <v>28</v>
      </c>
      <c r="C299" s="73" t="inlineStr">
        <is>
          <t>Authentication and authorization</t>
        </is>
      </c>
      <c r="D299" s="73" t="inlineStr">
        <is>
          <t>PASS</t>
        </is>
      </c>
      <c r="E299" s="73" t="inlineStr">
        <is>
          <t>Persistent student and instructor logins passed; unauthenticated assignment access returned 401; instructor assignment access passed | None</t>
        </is>
      </c>
    </row>
    <row r="300" ht="30" customHeight="1" s="78">
      <c r="A300" s="73" t="inlineStr">
        <is>
          <t>QA-014</t>
        </is>
      </c>
      <c r="B300" s="73" t="n">
        <v>29</v>
      </c>
      <c r="C300" s="73" t="inlineStr">
        <is>
          <t>Assignments 1-6</t>
        </is>
      </c>
      <c r="D300" s="73" t="inlineStr">
        <is>
          <t>PASS</t>
        </is>
      </c>
      <c r="E300" s="73" t="inlineStr">
        <is>
          <t>Maintained answers passed at 100%; incorrect submissions failed for all six assignments | None</t>
        </is>
      </c>
    </row>
    <row r="301" ht="30" customHeight="1" s="78">
      <c r="A301" s="73" t="inlineStr">
        <is>
          <t>QA-014</t>
        </is>
      </c>
      <c r="B301" s="73" t="n">
        <v>30</v>
      </c>
      <c r="C301" s="73" t="inlineStr">
        <is>
          <t>Error and safety handling</t>
        </is>
      </c>
      <c r="D301" s="73" t="inlineStr">
        <is>
          <t>PASS</t>
        </is>
      </c>
      <c r="E301" s="73" t="inlineStr">
        <is>
          <t>Syntax error, unsafe import, infinite loop, and oversized submission paths behaved as expected | None</t>
        </is>
      </c>
    </row>
    <row r="302" ht="30" customHeight="1" s="78">
      <c r="A302" s="73" t="inlineStr">
        <is>
          <t>QA-014</t>
        </is>
      </c>
      <c r="B302" s="73" t="n">
        <v>31</v>
      </c>
      <c r="C302" s="73" t="inlineStr">
        <is>
          <t>ROS assignment 5</t>
        </is>
      </c>
      <c r="D302" s="73" t="inlineStr">
        <is>
          <t>PASS</t>
        </is>
      </c>
      <c r="E302" s="73" t="inlineStr">
        <is>
          <t>Seven grader checks passed; expected Twist stream observed | Container-based ROS execution only</t>
        </is>
      </c>
    </row>
    <row r="303" ht="30" customHeight="1" s="78">
      <c r="A303" s="73" t="inlineStr">
        <is>
          <t>QA-014</t>
        </is>
      </c>
      <c r="B303" s="73" t="n">
        <v>32</v>
      </c>
      <c r="C303" s="73" t="inlineStr">
        <is>
          <t>ROS assignment 6</t>
        </is>
      </c>
      <c r="D303" s="73" t="inlineStr">
        <is>
          <t>PASS</t>
        </is>
      </c>
      <c r="E303" s="73" t="inlineStr">
        <is>
          <t>Nine grader checks passed; settled Twist stream observed | Container-based ROS execution only</t>
        </is>
      </c>
    </row>
    <row r="304" ht="30" customHeight="1" s="78">
      <c r="A304" s="73" t="inlineStr">
        <is>
          <t>QA-014</t>
        </is>
      </c>
      <c r="B304" s="73" t="n">
        <v>33</v>
      </c>
      <c r="C304" s="73" t="inlineStr">
        <is>
          <t>Backup worker</t>
        </is>
      </c>
      <c r="D304" s="73" t="inlineStr">
        <is>
          <t>PASS</t>
        </is>
      </c>
      <c r="E304" s="73" t="inlineStr">
        <is>
          <t>Changed database saved; unchanged database skipped; checksum and device lock verified | None</t>
        </is>
      </c>
    </row>
    <row r="305" ht="30" customHeight="1" s="78">
      <c r="A305" s="73" t="inlineStr">
        <is>
          <t>QA-014</t>
        </is>
      </c>
      <c r="B305" s="73" t="n">
        <v>34</v>
      </c>
      <c r="C305" s="73" t="inlineStr">
        <is>
          <t>Final shutdown backup</t>
        </is>
      </c>
      <c r="D305" s="73" t="inlineStr">
        <is>
          <t>PASS</t>
        </is>
      </c>
      <c r="E305" s="73" t="inlineStr">
        <is>
          <t>Stop produced and validated a final dump before stopping PostgreSQL | None</t>
        </is>
      </c>
    </row>
    <row r="306" ht="39.95" customHeight="1" s="78">
      <c r="A306" s="73" t="inlineStr">
        <is>
          <t>QA-014</t>
        </is>
      </c>
      <c r="B306" s="73" t="n">
        <v>35</v>
      </c>
      <c r="C306" s="73" t="inlineStr">
        <is>
          <t>Windows-to-Ubuntu restore</t>
        </is>
      </c>
      <c r="D306" s="73" t="inlineStr">
        <is>
          <t>PASS</t>
        </is>
      </c>
      <c r="E306" s="73" t="inlineStr">
        <is>
          <t>A real Windows-created `latest.dump` restored on Ubuntu with 2 users, 63 submissions, and 0 activity rows reconciled | Counts describe the current local research package; no private row content was printed</t>
        </is>
      </c>
    </row>
    <row r="307" ht="39.95" customHeight="1" s="78">
      <c r="A307" s="73" t="inlineStr">
        <is>
          <t>QA-014</t>
        </is>
      </c>
      <c r="B307" s="73" t="n">
        <v>36</v>
      </c>
      <c r="C307" s="73" t="inlineStr">
        <is>
          <t>Ubuntu stop/restart</t>
        </is>
      </c>
      <c r="D307" s="73" t="inlineStr">
        <is>
          <t>PASS</t>
        </is>
      </c>
      <c r="E307" s="73" t="inlineStr">
        <is>
          <t>Data survived volume removal and clean-device restore; 16 isolated SQA submissions reconciled before and after | None</t>
        </is>
      </c>
    </row>
    <row r="308" ht="30" customHeight="1" s="78">
      <c r="A308" s="73" t="inlineStr">
        <is>
          <t>QA-014</t>
        </is>
      </c>
      <c r="B308" s="73" t="n">
        <v>37</v>
      </c>
      <c r="C308" s="73" t="inlineStr">
        <is>
          <t>Process ownership</t>
        </is>
      </c>
      <c r="D308" s="73" t="inlineStr">
        <is>
          <t>PASS</t>
        </is>
      </c>
      <c r="E308" s="73" t="inlineStr">
        <is>
          <t>Ubuntu stop left an unrelated control process running | None</t>
        </is>
      </c>
    </row>
    <row r="309" ht="30" customHeight="1" s="78">
      <c r="A309" s="73" t="inlineStr">
        <is>
          <t>QA-014</t>
        </is>
      </c>
      <c r="B309" s="73" t="n">
        <v>38</v>
      </c>
      <c r="C309" s="73" t="inlineStr">
        <is>
          <t>Backend regression</t>
        </is>
      </c>
      <c r="D309" s="73" t="inlineStr">
        <is>
          <t>PASS</t>
        </is>
      </c>
      <c r="E309" s="73" t="inlineStr">
        <is>
          <t>179 tests passed; dependency compatibility passed | None</t>
        </is>
      </c>
    </row>
    <row r="310" ht="30" customHeight="1" s="78">
      <c r="A310" s="73" t="inlineStr">
        <is>
          <t>QA-014</t>
        </is>
      </c>
      <c r="B310" s="73" t="n">
        <v>39</v>
      </c>
      <c r="C310" s="73" t="inlineStr">
        <is>
          <t>Flutter regression</t>
        </is>
      </c>
      <c r="D310" s="73" t="inlineStr">
        <is>
          <t>PASS</t>
        </is>
      </c>
      <c r="E310" s="73" t="inlineStr">
        <is>
          <t>Analyzer passed, 50 tests passed, and release web build passed | None</t>
        </is>
      </c>
    </row>
    <row r="311" ht="39.95" customHeight="1" s="78">
      <c r="A311" s="73" t="inlineStr">
        <is>
          <t>QA-014</t>
        </is>
      </c>
      <c r="B311" s="73" t="n">
        <v>40</v>
      </c>
      <c r="C311" s="73" t="inlineStr">
        <is>
          <t>Repository safety</t>
        </is>
      </c>
      <c r="D311" s="73" t="inlineStr">
        <is>
          <t>PASS</t>
        </is>
      </c>
      <c r="E311" s="73" t="inlineStr">
        <is>
          <t>Required-clone and release checks passed; secrets, dumps, environments, logs, caches, and build outputs remain untracked | GitHub Actions will run only after a later authorized push</t>
        </is>
      </c>
    </row>
    <row r="312" ht="39.95" customHeight="1" s="78">
      <c r="A312" s="73" t="inlineStr">
        <is>
          <t>QA-014</t>
        </is>
      </c>
      <c r="B312" s="73" t="n">
        <v>41</v>
      </c>
      <c r="C312" s="73" t="inlineStr">
        <is>
          <t>Physical Ubuntu 22.04/24.04 lab computer</t>
        </is>
      </c>
      <c r="D312" s="73" t="inlineStr">
        <is>
          <t>NOT RUN</t>
        </is>
      </c>
      <c r="E312" s="73" t="inlineStr">
        <is>
          <t>Not executed on institution hardware | Required before claiming lab hardware compatibility; lab IT may need to install prerequisites and grant Docker access</t>
        </is>
      </c>
    </row>
    <row r="313" ht="54" customHeight="1" s="78">
      <c r="A313" s="73" t="inlineStr">
        <is>
          <t>QA-015</t>
        </is>
      </c>
      <c r="B313" s="73" t="n">
        <v>30</v>
      </c>
      <c r="C313" s="73" t="inlineStr">
        <is>
          <t>Three-phase metric plan</t>
        </is>
      </c>
      <c r="D313" s="73" t="inlineStr">
        <is>
          <t>PASS</t>
        </is>
      </c>
      <c r="E313" s="73" t="inlineStr">
        <is>
          <t>Assigned all 161 candidate metrics to Basic, Moderate, or Advanced and exposed only the 55 implemented Basic definitions | Metric-catalog count assertion, API test, PDF reconciliation | Moderate and Advanced remain roadmap only</t>
        </is>
      </c>
    </row>
    <row r="314" ht="39.95" customHeight="1" s="78">
      <c r="A314" s="73" t="inlineStr">
        <is>
          <t>QA-015</t>
        </is>
      </c>
      <c r="B314" s="73" t="n">
        <v>31</v>
      </c>
      <c r="C314" s="73" t="inlineStr">
        <is>
          <t>Versioned activity</t>
        </is>
      </c>
      <c r="D314" s="73" t="inlineStr">
        <is>
          <t>PASS</t>
        </is>
      </c>
      <c r="E314" s="73" t="inlineStr">
        <is>
          <t>Added one activity record per student, assignment ID, and exact version | Fresh migration and populated-schema migration tests | Pre-V5.2 time remains unavailable by design</t>
        </is>
      </c>
    </row>
    <row r="315" ht="39.95" customHeight="1" s="78">
      <c r="A315" s="73" t="inlineStr">
        <is>
          <t>QA-015</t>
        </is>
      </c>
      <c r="B315" s="73" t="n">
        <v>32</v>
      </c>
      <c r="C315" s="73" t="inlineStr">
        <is>
          <t>Active-time capture</t>
        </is>
      </c>
      <c r="D315" s="73" t="inlineStr">
        <is>
          <t>PASS</t>
        </is>
      </c>
      <c r="E315" s="73" t="inlineStr">
        <is>
          <t>Heartbeat counts only visible, recently interactive use within 15 minutes | Controlled-clock active, idle, and multi-session tests | Browser timing is observational, not biometric attention measurement</t>
        </is>
      </c>
    </row>
    <row r="316" ht="39.95" customHeight="1" s="78">
      <c r="A316" s="73" t="inlineStr">
        <is>
          <t>QA-015</t>
        </is>
      </c>
      <c r="B316" s="73" t="n">
        <v>33</v>
      </c>
      <c r="C316" s="73" t="inlineStr">
        <is>
          <t>Completion definitions</t>
        </is>
      </c>
      <c r="D316" s="73" t="inlineStr">
        <is>
          <t>PASS</t>
        </is>
      </c>
      <c r="E316" s="73" t="inlineStr">
        <is>
          <t>First valid passing Run or Submit freezes active and elapsed completion time | Formula and first-success tests | Historical completion time is null when no activity record exists</t>
        </is>
      </c>
    </row>
    <row r="317" ht="39.95" customHeight="1" s="78">
      <c r="A317" s="73" t="inlineStr">
        <is>
          <t>QA-015</t>
        </is>
      </c>
      <c r="B317" s="73" t="n">
        <v>34</v>
      </c>
      <c r="C317" s="73" t="inlineStr">
        <is>
          <t>Student analytics</t>
        </is>
      </c>
      <c r="D317" s="73" t="inlineStr">
        <is>
          <t>PASS</t>
        </is>
      </c>
      <c r="E317" s="73" t="inlineStr">
        <is>
          <t>Added overview, assignment/version summaries, safe attempt history, and metric definitions | Widget tests plus rendered desktop QA | Student class comparisons intentionally excluded</t>
        </is>
      </c>
    </row>
    <row r="318" ht="54" customHeight="1" s="78">
      <c r="A318" s="73" t="inlineStr">
        <is>
          <t>QA-015</t>
        </is>
      </c>
      <c r="B318" s="73" t="n">
        <v>35</v>
      </c>
      <c r="C318" s="73" t="inlineStr">
        <is>
          <t>Instructor analytics</t>
        </is>
      </c>
      <c r="D318" s="73" t="inlineStr">
        <is>
          <t>PASS</t>
        </is>
      </c>
      <c r="E318" s="73" t="inlineStr">
        <is>
          <t>Added classroom, participant, assignment, hidden aggregate, and data-health catalogs | API authorization tests plus rendered desktop/mobile QA | Current restored dataset has nine historical instructor-owned submissions flagged as orphan research records</t>
        </is>
      </c>
    </row>
    <row r="319" ht="39.95" customHeight="1" s="78">
      <c r="A319" s="73" t="inlineStr">
        <is>
          <t>QA-015</t>
        </is>
      </c>
      <c r="B319" s="73" t="n">
        <v>36</v>
      </c>
      <c r="C319" s="73" t="inlineStr">
        <is>
          <t>Attempt pagination</t>
        </is>
      </c>
      <c r="D319" s="73" t="inlineStr">
        <is>
          <t>PASS</t>
        </is>
      </c>
      <c r="E319" s="73" t="inlineStr">
        <is>
          <t>Added student-self and instructor-authorized paginated endpoints | Pagination, cross-student denial, and unauthorized-access tests | Compatibility payload still retains its existing non-paginated attempt field</t>
        </is>
      </c>
    </row>
    <row r="320" ht="39.95" customHeight="1" s="78">
      <c r="A320" s="73" t="inlineStr">
        <is>
          <t>QA-015</t>
        </is>
      </c>
      <c r="B320" s="73" t="n">
        <v>37</v>
      </c>
      <c r="C320" s="73" t="inlineStr">
        <is>
          <t>Privacy</t>
        </is>
      </c>
      <c r="D320" s="73" t="inlineStr">
        <is>
          <t>PASS</t>
        </is>
      </c>
      <c r="E320" s="73" t="inlineStr">
        <is>
          <t>Excluded login IDs, credentials, source snapshots, hidden-test identities/content, and official solutions | API response scans and role-boundary tests | Instructors receive only hidden-test aggregate percentages</t>
        </is>
      </c>
    </row>
    <row r="321" ht="54" customHeight="1" s="78">
      <c r="A321" s="73" t="inlineStr">
        <is>
          <t>QA-015</t>
        </is>
      </c>
      <c r="B321" s="73" t="n">
        <v>38</v>
      </c>
      <c r="C321" s="73" t="inlineStr">
        <is>
          <t>Demo boundary</t>
        </is>
      </c>
      <c r="D321" s="73" t="inlineStr">
        <is>
          <t>PASS</t>
        </is>
      </c>
      <c r="E321" s="73" t="inlineStr">
        <is>
          <t>Protected password accounts from the obsolete demo flag; kept `/auth/demo` ephemeral | New account-file regression test, restart, database inspection, and rendered instructor QA | Old demo-tagged records remain historical data but no longer contaminate current aggregates</t>
        </is>
      </c>
    </row>
    <row r="322" ht="54" customHeight="1" s="78">
      <c r="A322" s="73" t="inlineStr">
        <is>
          <t>QA-015</t>
        </is>
      </c>
      <c r="B322" s="73" t="n">
        <v>39</v>
      </c>
      <c r="C322" s="73" t="inlineStr">
        <is>
          <t>Exports</t>
        </is>
      </c>
      <c r="D322" s="73" t="inlineStr">
        <is>
          <t>PASS</t>
        </is>
      </c>
      <c r="E322" s="73" t="inlineStr">
        <is>
          <t>Added participant-assignment and class-assignment datasets to CSV/Excel exports | Dataset reconciliation and formula tests | Manual workbook download was not repeated in the browser because it creates a local download artifact</t>
        </is>
      </c>
    </row>
    <row r="323" ht="39.95" customHeight="1" s="78">
      <c r="A323" s="73" t="inlineStr">
        <is>
          <t>QA-015</t>
        </is>
      </c>
      <c r="B323" s="73" t="n">
        <v>40</v>
      </c>
      <c r="C323" s="73" t="inlineStr">
        <is>
          <t>Data health</t>
        </is>
      </c>
      <c r="D323" s="73" t="inlineStr">
        <is>
          <t>PASS</t>
        </is>
      </c>
      <c r="E323" s="73" t="inlineStr">
        <is>
          <t>Added missing-version, duplicate, orphan, timestamp, demo, and export checks | API tests and rendered dashboard inspection | Nine historical instructor submissions are correctly reported for later governed cleanup</t>
        </is>
      </c>
    </row>
    <row r="324" ht="39.95" customHeight="1" s="78">
      <c r="A324" s="73" t="inlineStr">
        <is>
          <t>QA-015</t>
        </is>
      </c>
      <c r="B324" s="73" t="n">
        <v>41</v>
      </c>
      <c r="C324" s="73" t="inlineStr">
        <is>
          <t>AI boundary</t>
        </is>
      </c>
      <c r="D324" s="73" t="inlineStr">
        <is>
          <t>PASS</t>
        </is>
      </c>
      <c r="E324" s="73" t="inlineStr">
        <is>
          <t>Counted optional AI interactions without using them in scores | Backend analytics tests and existing tutor tests | Paid-provider response quality is outside Phase 1 and was not invoked</t>
        </is>
      </c>
    </row>
    <row r="325" ht="30" customHeight="1" s="78">
      <c r="A325" s="73" t="inlineStr">
        <is>
          <t>QA-015</t>
        </is>
      </c>
      <c r="B325" s="73" t="n">
        <v>47</v>
      </c>
      <c r="C325" s="73" t="inlineStr">
        <is>
          <t>Assignments 1-4 maintained answers</t>
        </is>
      </c>
      <c r="D325" s="73" t="inlineStr">
        <is>
          <t>PASS</t>
        </is>
      </c>
      <c r="E325" s="73" t="inlineStr">
        <is>
          <t>Classroom readiness suite executed every maintained Python answer</t>
        </is>
      </c>
    </row>
    <row r="326" ht="30" customHeight="1" s="78">
      <c r="A326" s="73" t="inlineStr">
        <is>
          <t>QA-015</t>
        </is>
      </c>
      <c r="B326" s="73" t="n">
        <v>48</v>
      </c>
      <c r="C326" s="73" t="inlineStr">
        <is>
          <t>Assignments 5-6 maintained answers</t>
        </is>
      </c>
      <c r="D326" s="73" t="inlineStr">
        <is>
          <t>PASS</t>
        </is>
      </c>
      <c r="E326" s="73" t="inlineStr">
        <is>
          <t>Real pinned ROS 2 Docker grader returned Assignment 5 `7/7` and Assignment 6 `9/9`</t>
        </is>
      </c>
    </row>
    <row r="327" ht="30" customHeight="1" s="78">
      <c r="A327" s="73" t="inlineStr">
        <is>
          <t>QA-015</t>
        </is>
      </c>
      <c r="B327" s="73" t="n">
        <v>49</v>
      </c>
      <c r="C327" s="73" t="inlineStr">
        <is>
          <t>Incorrect Python submission</t>
        </is>
      </c>
      <c r="D327" s="73" t="inlineStr">
        <is>
          <t>PASS</t>
        </is>
      </c>
      <c r="E327" s="73" t="inlineStr">
        <is>
          <t>Structured non-passing grader evidence</t>
        </is>
      </c>
    </row>
    <row r="328" ht="30" customHeight="1" s="78">
      <c r="A328" s="73" t="inlineStr">
        <is>
          <t>QA-015</t>
        </is>
      </c>
      <c r="B328" s="73" t="n">
        <v>50</v>
      </c>
      <c r="C328" s="73" t="inlineStr">
        <is>
          <t>Syntax error</t>
        </is>
      </c>
      <c r="D328" s="73" t="inlineStr">
        <is>
          <t>PASS</t>
        </is>
      </c>
      <c r="E328" s="73" t="inlineStr">
        <is>
          <t>Safe `syntax_error` classification</t>
        </is>
      </c>
    </row>
    <row r="329" ht="30" customHeight="1" s="78">
      <c r="A329" s="73" t="inlineStr">
        <is>
          <t>QA-015</t>
        </is>
      </c>
      <c r="B329" s="73" t="n">
        <v>51</v>
      </c>
      <c r="C329" s="73" t="inlineStr">
        <is>
          <t>Runtime error</t>
        </is>
      </c>
      <c r="D329" s="73" t="inlineStr">
        <is>
          <t>PASS</t>
        </is>
      </c>
      <c r="E329" s="73" t="inlineStr">
        <is>
          <t>Safe `runtime_error` classification</t>
        </is>
      </c>
    </row>
    <row r="330" ht="30" customHeight="1" s="78">
      <c r="A330" s="73" t="inlineStr">
        <is>
          <t>QA-015</t>
        </is>
      </c>
      <c r="B330" s="73" t="n">
        <v>52</v>
      </c>
      <c r="C330" s="73" t="inlineStr">
        <is>
          <t>Infinite loop</t>
        </is>
      </c>
      <c r="D330" s="73" t="inlineStr">
        <is>
          <t>PASS</t>
        </is>
      </c>
      <c r="E330" s="73" t="inlineStr">
        <is>
          <t>Bounded execution returned `timeout`</t>
        </is>
      </c>
    </row>
    <row r="331" ht="30" customHeight="1" s="78">
      <c r="A331" s="73" t="inlineStr">
        <is>
          <t>QA-015</t>
        </is>
      </c>
      <c r="B331" s="73" t="n">
        <v>53</v>
      </c>
      <c r="C331" s="73" t="inlineStr">
        <is>
          <t>Unsafe import</t>
        </is>
      </c>
      <c r="D331" s="73" t="inlineStr">
        <is>
          <t>PASS</t>
        </is>
      </c>
      <c r="E331" s="73" t="inlineStr">
        <is>
          <t>Safety policy rejected the submission without executing it</t>
        </is>
      </c>
    </row>
    <row r="332" ht="30" customHeight="1" s="78">
      <c r="A332" s="73" t="inlineStr">
        <is>
          <t>QA-015</t>
        </is>
      </c>
      <c r="B332" s="73" t="n">
        <v>54</v>
      </c>
      <c r="C332" s="73" t="inlineStr">
        <is>
          <t>Excessive output</t>
        </is>
      </c>
      <c r="D332" s="73" t="inlineStr">
        <is>
          <t>PASS</t>
        </is>
      </c>
      <c r="E332" s="73" t="inlineStr">
        <is>
          <t>Output was capped and marked truncated</t>
        </is>
      </c>
    </row>
    <row r="333" ht="30" customHeight="1" s="78">
      <c r="A333" s="73" t="inlineStr">
        <is>
          <t>QA-015</t>
        </is>
      </c>
      <c r="B333" s="73" t="n">
        <v>55</v>
      </c>
      <c r="C333" s="73" t="inlineStr">
        <is>
          <t>Oversized submission</t>
        </is>
      </c>
      <c r="D333" s="73" t="inlineStr">
        <is>
          <t>PASS</t>
        </is>
      </c>
      <c r="E333" s="73" t="inlineStr">
        <is>
          <t>HTTP 413 plus a safe size-limit analytics record</t>
        </is>
      </c>
    </row>
    <row r="334" ht="30" customHeight="1" s="78">
      <c r="A334" s="73" t="inlineStr">
        <is>
          <t>QA-015</t>
        </is>
      </c>
      <c r="B334" s="73" t="n">
        <v>56</v>
      </c>
      <c r="C334" s="73" t="inlineStr">
        <is>
          <t>Incorrect ROS behavior</t>
        </is>
      </c>
      <c r="D334" s="73" t="inlineStr">
        <is>
          <t>PASS</t>
        </is>
      </c>
      <c r="E334" s="73" t="inlineStr">
        <is>
          <t>ROS assignment tests rejected nonconforming observable behavior</t>
        </is>
      </c>
    </row>
    <row r="335" ht="30" customHeight="1" s="78">
      <c r="A335" s="73" t="inlineStr">
        <is>
          <t>QA-015</t>
        </is>
      </c>
      <c r="B335" s="73" t="n">
        <v>67</v>
      </c>
      <c r="C335" s="73" t="inlineStr">
        <is>
          <t>Backend regression after final fix</t>
        </is>
      </c>
      <c r="D335" s="73" t="inlineStr">
        <is>
          <t>PASS, 179 tests</t>
        </is>
      </c>
      <c r="E335" s="73" t="n"/>
    </row>
    <row r="336" ht="30" customHeight="1" s="78">
      <c r="A336" s="73" t="inlineStr">
        <is>
          <t>QA-015</t>
        </is>
      </c>
      <c r="B336" s="73" t="n">
        <v>68</v>
      </c>
      <c r="C336" s="73" t="inlineStr">
        <is>
          <t>Python dependencies</t>
        </is>
      </c>
      <c r="D336" s="73" t="inlineStr">
        <is>
          <t>PASS, no broken requirements</t>
        </is>
      </c>
      <c r="E336" s="73" t="n"/>
    </row>
    <row r="337" ht="30" customHeight="1" s="78">
      <c r="A337" s="73" t="inlineStr">
        <is>
          <t>QA-015</t>
        </is>
      </c>
      <c r="B337" s="73" t="n">
        <v>69</v>
      </c>
      <c r="C337" s="73" t="inlineStr">
        <is>
          <t>Python compilation</t>
        </is>
      </c>
      <c r="D337" s="73" t="inlineStr">
        <is>
          <t>PASS</t>
        </is>
      </c>
      <c r="E337" s="73" t="n"/>
    </row>
    <row r="338" ht="30" customHeight="1" s="78">
      <c r="A338" s="73" t="inlineStr">
        <is>
          <t>QA-015</t>
        </is>
      </c>
      <c r="B338" s="73" t="n">
        <v>70</v>
      </c>
      <c r="C338" s="73" t="inlineStr">
        <is>
          <t>Fresh PostgreSQL migration</t>
        </is>
      </c>
      <c r="D338" s="73" t="inlineStr">
        <is>
          <t>PASS through `0004_basic_research_analytics`</t>
        </is>
      </c>
      <c r="E338" s="73" t="n"/>
    </row>
    <row r="339" ht="30" customHeight="1" s="78">
      <c r="A339" s="73" t="inlineStr">
        <is>
          <t>QA-015</t>
        </is>
      </c>
      <c r="B339" s="73" t="n">
        <v>71</v>
      </c>
      <c r="C339" s="73" t="inlineStr">
        <is>
          <t>Populated database migration</t>
        </is>
      </c>
      <c r="D339" s="73" t="inlineStr">
        <is>
          <t>PASS; existing attempts unchanged</t>
        </is>
      </c>
      <c r="E339" s="73" t="n"/>
    </row>
    <row r="340" ht="30" customHeight="1" s="78">
      <c r="A340" s="73" t="inlineStr">
        <is>
          <t>QA-015</t>
        </is>
      </c>
      <c r="B340" s="73" t="n">
        <v>72</v>
      </c>
      <c r="C340" s="73" t="inlineStr">
        <is>
          <t>PostgreSQL backup/checksum/restart restore</t>
        </is>
      </c>
      <c r="D340" s="73" t="inlineStr">
        <is>
          <t>PASS; all application table counts reconciled</t>
        </is>
      </c>
      <c r="E340" s="73" t="n"/>
    </row>
    <row r="341" ht="30" customHeight="1" s="78">
      <c r="A341" s="73" t="inlineStr">
        <is>
          <t>QA-015</t>
        </is>
      </c>
      <c r="B341" s="73" t="n">
        <v>73</v>
      </c>
      <c r="C341" s="73" t="inlineStr">
        <is>
          <t>Real ROS 2 Docker answers</t>
        </is>
      </c>
      <c r="D341" s="73" t="inlineStr">
        <is>
          <t>PASS, Assignments 5 and 6</t>
        </is>
      </c>
      <c r="E341" s="73" t="n"/>
    </row>
    <row r="342" ht="30" customHeight="1" s="78">
      <c r="A342" s="73" t="inlineStr">
        <is>
          <t>QA-015</t>
        </is>
      </c>
      <c r="B342" s="73" t="n">
        <v>74</v>
      </c>
      <c r="C342" s="73" t="inlineStr">
        <is>
          <t>Flutter analysis</t>
        </is>
      </c>
      <c r="D342" s="73" t="inlineStr">
        <is>
          <t>PASS, no issues</t>
        </is>
      </c>
      <c r="E342" s="73" t="n"/>
    </row>
    <row r="343" ht="30" customHeight="1" s="78">
      <c r="A343" s="73" t="inlineStr">
        <is>
          <t>QA-015</t>
        </is>
      </c>
      <c r="B343" s="73" t="n">
        <v>75</v>
      </c>
      <c r="C343" s="73" t="inlineStr">
        <is>
          <t>Flutter tests</t>
        </is>
      </c>
      <c r="D343" s="73" t="inlineStr">
        <is>
          <t>PASS, 50 tests</t>
        </is>
      </c>
      <c r="E343" s="73" t="n"/>
    </row>
    <row r="344" ht="30" customHeight="1" s="78">
      <c r="A344" s="73" t="inlineStr">
        <is>
          <t>QA-015</t>
        </is>
      </c>
      <c r="B344" s="73" t="n">
        <v>76</v>
      </c>
      <c r="C344" s="73" t="inlineStr">
        <is>
          <t>Flutter release web build</t>
        </is>
      </c>
      <c r="D344" s="73" t="inlineStr">
        <is>
          <t>PASS</t>
        </is>
      </c>
      <c r="E344" s="73" t="n"/>
    </row>
    <row r="345" ht="30" customHeight="1" s="78">
      <c r="A345" s="73" t="inlineStr">
        <is>
          <t>QA-015</t>
        </is>
      </c>
      <c r="B345" s="73" t="n">
        <v>77</v>
      </c>
      <c r="C345" s="73" t="inlineStr">
        <is>
          <t>Git whitespace check</t>
        </is>
      </c>
      <c r="D345" s="73" t="inlineStr">
        <is>
          <t>PASS</t>
        </is>
      </c>
      <c r="E345" s="73" t="n"/>
    </row>
    <row r="346" ht="30" customHeight="1" s="78">
      <c r="A346" s="73" t="inlineStr">
        <is>
          <t>QA-015</t>
        </is>
      </c>
      <c r="B346" s="73" t="n">
        <v>78</v>
      </c>
      <c r="C346" s="73" t="inlineStr">
        <is>
          <t>Repository source-safety check</t>
        </is>
      </c>
      <c r="D346" s="73" t="inlineStr">
        <is>
          <t>PASS after the owner-approved backup-folder consolidation; legacy dumps are preserved inside ignored `local_handoff_package/history`</t>
        </is>
      </c>
      <c r="E346" s="73" t="n"/>
    </row>
    <row r="347" ht="30" customHeight="1" s="78">
      <c r="A347" s="73" t="inlineStr">
        <is>
          <t>QA-015</t>
        </is>
      </c>
      <c r="B347" s="73" t="n">
        <v>84</v>
      </c>
      <c r="C347" s="73" t="inlineStr">
        <is>
          <t>Login and six-assignment catalog</t>
        </is>
      </c>
      <c r="D347" s="73" t="inlineStr">
        <is>
          <t>PASS</t>
        </is>
      </c>
      <c r="E347" s="73" t="inlineStr">
        <is>
          <t>Student and instructor password accounts opened the current six-assignment application</t>
        </is>
      </c>
    </row>
    <row r="348" ht="30" customHeight="1" s="78">
      <c r="A348" s="73" t="inlineStr">
        <is>
          <t>QA-015</t>
        </is>
      </c>
      <c r="B348" s="73" t="n">
        <v>85</v>
      </c>
      <c r="C348" s="73" t="inlineStr">
        <is>
          <t>Student overview</t>
        </is>
      </c>
      <c r="D348" s="73" t="inlineStr">
        <is>
          <t>PASS</t>
        </is>
      </c>
      <c r="E348" s="73" t="inlineStr">
        <is>
          <t>Completion, attempts, best score, and active time rendered</t>
        </is>
      </c>
    </row>
    <row r="349" ht="30" customHeight="1" s="78">
      <c r="A349" s="73" t="inlineStr">
        <is>
          <t>QA-015</t>
        </is>
      </c>
      <c r="B349" s="73" t="n">
        <v>86</v>
      </c>
      <c r="C349" s="73" t="inlineStr">
        <is>
          <t>Student assignment analytics</t>
        </is>
      </c>
      <c r="D349" s="73" t="inlineStr">
        <is>
          <t>PASS</t>
        </is>
      </c>
      <c r="E349" s="73" t="inlineStr">
        <is>
          <t>All six current assignment versions plus historical versions rendered separately</t>
        </is>
      </c>
    </row>
    <row r="350" ht="30" customHeight="1" s="78">
      <c r="A350" s="73" t="inlineStr">
        <is>
          <t>QA-015</t>
        </is>
      </c>
      <c r="B350" s="73" t="n">
        <v>87</v>
      </c>
      <c r="C350" s="73" t="inlineStr">
        <is>
          <t>Student attempt history</t>
        </is>
      </c>
      <c r="D350" s="73" t="inlineStr">
        <is>
          <t>PASS</t>
        </is>
      </c>
      <c r="E350" s="73" t="inlineStr">
        <is>
          <t>Safe statuses and visible attempt numbers rendered newest first</t>
        </is>
      </c>
    </row>
    <row r="351" ht="30" customHeight="1" s="78">
      <c r="A351" s="73" t="inlineStr">
        <is>
          <t>QA-015</t>
        </is>
      </c>
      <c r="B351" s="73" t="n">
        <v>88</v>
      </c>
      <c r="C351" s="73" t="inlineStr">
        <is>
          <t>Student metric catalog</t>
        </is>
      </c>
      <c r="D351" s="73" t="inlineStr">
        <is>
          <t>PASS</t>
        </is>
      </c>
      <c r="E351" s="73" t="inlineStr">
        <is>
          <t>Exactly 55 implemented definitions and catalog version 1.1 rendered</t>
        </is>
      </c>
    </row>
    <row r="352" ht="30" customHeight="1" s="78">
      <c r="A352" s="73" t="inlineStr">
        <is>
          <t>QA-015</t>
        </is>
      </c>
      <c r="B352" s="73" t="n">
        <v>89</v>
      </c>
      <c r="C352" s="73" t="inlineStr">
        <is>
          <t>Instructor overview</t>
        </is>
      </c>
      <c r="D352" s="73" t="inlineStr">
        <is>
          <t>PASS</t>
        </is>
      </c>
      <c r="E352" s="73" t="inlineStr">
        <is>
          <t>Persistent student appeared by participant code with aggregate totals</t>
        </is>
      </c>
    </row>
    <row r="353" ht="30" customHeight="1" s="78">
      <c r="A353" s="73" t="inlineStr">
        <is>
          <t>QA-015</t>
        </is>
      </c>
      <c r="B353" s="73" t="n">
        <v>90</v>
      </c>
      <c r="C353" s="73" t="inlineStr">
        <is>
          <t>Instructor assignment catalog</t>
        </is>
      </c>
      <c r="D353" s="73" t="inlineStr">
        <is>
          <t>PASS</t>
        </is>
      </c>
      <c r="E353" s="73" t="inlineStr">
        <is>
          <t>All six current versions rendered with completion summaries</t>
        </is>
      </c>
    </row>
    <row r="354" ht="30" customHeight="1" s="78">
      <c r="A354" s="73" t="inlineStr">
        <is>
          <t>QA-015</t>
        </is>
      </c>
      <c r="B354" s="73" t="n">
        <v>91</v>
      </c>
      <c r="C354" s="73" t="inlineStr">
        <is>
          <t>Data health</t>
        </is>
      </c>
      <c r="D354" s="73" t="inlineStr">
        <is>
          <t>PASS</t>
        </is>
      </c>
      <c r="E354" s="73" t="inlineStr">
        <is>
          <t>Zero missing versions, duplicates, timestamp errors, and demo contamination; export reconciliation PASS</t>
        </is>
      </c>
    </row>
    <row r="355" ht="39.95" customHeight="1" s="78">
      <c r="A355" s="73" t="inlineStr">
        <is>
          <t>QA-015</t>
        </is>
      </c>
      <c r="B355" s="73" t="n">
        <v>92</v>
      </c>
      <c r="C355" s="73" t="inlineStr">
        <is>
          <t>Credential-free demo</t>
        </is>
      </c>
      <c r="D355" s="73" t="inlineStr">
        <is>
          <t>PASS</t>
        </is>
      </c>
      <c r="E355" s="73" t="inlineStr">
        <is>
          <t>Opened Assignment 1 and ran its tests; authentication sessions, study sessions, learning events, and submissions remained exactly `76/16/38/63` before and after</t>
        </is>
      </c>
    </row>
    <row r="356" ht="30" customHeight="1" s="78">
      <c r="A356" s="73" t="inlineStr">
        <is>
          <t>QA-015</t>
        </is>
      </c>
      <c r="B356" s="73" t="n">
        <v>93</v>
      </c>
      <c r="C356" s="73" t="inlineStr">
        <is>
          <t>Desktop layout</t>
        </is>
      </c>
      <c r="D356" s="73" t="inlineStr">
        <is>
          <t>PASS</t>
        </is>
      </c>
      <c r="E356" s="73" t="inlineStr">
        <is>
          <t>Student and instructor pages rendered without visible overflow</t>
        </is>
      </c>
    </row>
    <row r="357" ht="30" customHeight="1" s="78">
      <c r="A357" s="73" t="inlineStr">
        <is>
          <t>QA-015</t>
        </is>
      </c>
      <c r="B357" s="73" t="n">
        <v>94</v>
      </c>
      <c r="C357" s="73" t="inlineStr">
        <is>
          <t>Mobile layout</t>
        </is>
      </c>
      <c r="D357" s="73" t="inlineStr">
        <is>
          <t>PASS</t>
        </is>
      </c>
      <c r="E357" s="73" t="inlineStr">
        <is>
          <t>Instructor home and analytics rendered at 390 x 844 without visible overflow</t>
        </is>
      </c>
    </row>
    <row r="358" ht="30" customHeight="1" s="78">
      <c r="A358" s="73" t="inlineStr">
        <is>
          <t>QA-015</t>
        </is>
      </c>
      <c r="B358" s="73" t="n">
        <v>95</v>
      </c>
      <c r="C358" s="73" t="inlineStr">
        <is>
          <t>Browser console</t>
        </is>
      </c>
      <c r="D358" s="73" t="inlineStr">
        <is>
          <t>PASS</t>
        </is>
      </c>
      <c r="E358" s="73" t="inlineStr">
        <is>
          <t>No application errors during final student/instructor QA</t>
        </is>
      </c>
    </row>
    <row r="359" ht="68.09999999999999" customHeight="1" s="78">
      <c r="A359" s="73" t="inlineStr">
        <is>
          <t>QA-015</t>
        </is>
      </c>
      <c r="B359" s="73" t="n">
        <v>101</v>
      </c>
      <c r="C359" s="73" t="inlineStr">
        <is>
          <t>Password-authenticated default accounts were excluded as demo users after startup</t>
        </is>
      </c>
      <c r="D359" s="73" t="inlineStr">
        <is>
          <t>PASS</t>
        </is>
      </c>
      <c r="E359" s="73" t="inlineStr">
        <is>
          <t>The tracked account example and local account file reapplied `demo=true` after startup seed logic removed the obsolete flag | Force the two password-account IDs to `demo=false` during JSON synchronization and correct the safe account templates | New regression test, 22 focused auth/research tests, full 179-test backend suite, PostgreSQL restart, and rendered instructor dashboard</t>
        </is>
      </c>
    </row>
    <row r="360" ht="54" customHeight="1" s="78">
      <c r="A360" s="73" t="inlineStr">
        <is>
          <t>QA-015</t>
        </is>
      </c>
      <c r="B360" s="73" t="n">
        <v>107</v>
      </c>
      <c r="C360" s="73" t="inlineStr">
        <is>
          <t>Existing orphan research records</t>
        </is>
      </c>
      <c r="D360" s="73" t="inlineStr">
        <is>
          <t>PARTIAL</t>
        </is>
      </c>
      <c r="E360" s="73" t="inlineStr">
        <is>
          <t>Nine old submissions belong to the instructor account. They are excluded from student/class calculations and surfaced by Data Health. Decide on a governed archive or cleanup separately; this implementation did not delete research history.</t>
        </is>
      </c>
    </row>
    <row r="361" ht="54" customHeight="1" s="78">
      <c r="A361" s="73" t="inlineStr">
        <is>
          <t>QA-015</t>
        </is>
      </c>
      <c r="B361" s="73" t="n">
        <v>108</v>
      </c>
      <c r="C361" s="73" t="inlineStr">
        <is>
          <t>Master Excel SQA checklist</t>
        </is>
      </c>
      <c r="D361" s="73" t="inlineStr">
        <is>
          <t>BLOCKED</t>
        </is>
      </c>
      <c r="E361" s="73" t="inlineStr">
        <is>
          <t>The approved spreadsheet artifact package is unavailable in the bundled runtime. The workbook was not edited with an unsupported library. Copy this report's V5.2 rows into the workbook when the required runtime is restored.</t>
        </is>
      </c>
    </row>
    <row r="362" ht="39.95" customHeight="1" s="78">
      <c r="A362" s="73" t="inlineStr">
        <is>
          <t>QA-015</t>
        </is>
      </c>
      <c r="B362" s="73" t="n">
        <v>110</v>
      </c>
      <c r="C362" s="73" t="inlineStr">
        <is>
          <t>Physical second-device browser QA</t>
        </is>
      </c>
      <c r="D362" s="73" t="inlineStr">
        <is>
          <t>NOT RUN</t>
        </is>
      </c>
      <c r="E362" s="73" t="inlineStr">
        <is>
          <t>Clean-device PostgreSQL restore was automated, but this session did not operate a second physical computer/network.</t>
        </is>
      </c>
    </row>
    <row r="363" ht="30" customHeight="1" s="78">
      <c r="A363" s="73" t="inlineStr">
        <is>
          <t>QA-015</t>
        </is>
      </c>
      <c r="B363" s="73" t="n">
        <v>111</v>
      </c>
      <c r="C363" s="73" t="inlineStr">
        <is>
          <t>Production/live deployment</t>
        </is>
      </c>
      <c r="D363" s="73" t="inlineStr">
        <is>
          <t>NOT RUN</t>
        </is>
      </c>
      <c r="E363" s="73" t="inlineStr">
        <is>
          <t>Work is staging-only and no promotion authorization was provided.</t>
        </is>
      </c>
    </row>
    <row r="364" ht="30" customHeight="1" s="78">
      <c r="A364" s="73" t="inlineStr">
        <is>
          <t>QA-015</t>
        </is>
      </c>
      <c r="B364" s="73" t="n">
        <v>112</v>
      </c>
      <c r="C364" s="73" t="inlineStr">
        <is>
          <t>OpenAI provider quality</t>
        </is>
      </c>
      <c r="D364" s="73" t="inlineStr">
        <is>
          <t>NOT RUN</t>
        </is>
      </c>
      <c r="E364" s="73" t="inlineStr">
        <is>
          <t>AI remained disabled and Phase 1 analytics do not depend on paid AI responses.</t>
        </is>
      </c>
    </row>
    <row r="365" ht="30" customHeight="1" s="78">
      <c r="A365" s="73" t="inlineStr">
        <is>
          <t>QA-016</t>
        </is>
      </c>
      <c r="B365" s="73" t="n">
        <v>17</v>
      </c>
      <c r="C365" s="73" t="inlineStr">
        <is>
          <t>Assignment content</t>
        </is>
      </c>
      <c r="D365" s="73" t="inlineStr">
        <is>
          <t>PASS</t>
        </is>
      </c>
      <c r="E365" s="73" t="inlineStr">
        <is>
          <t>Improved Assignments 1–6 load from the backend | Current assignment API and full backend suite</t>
        </is>
      </c>
    </row>
    <row r="366" ht="30" customHeight="1" s="78">
      <c r="A366" s="73" t="inlineStr">
        <is>
          <t>QA-016</t>
        </is>
      </c>
      <c r="B366" s="73" t="n">
        <v>18</v>
      </c>
      <c r="C366" s="73" t="inlineStr">
        <is>
          <t>Assignment visuals</t>
        </is>
      </c>
      <c r="D366" s="73" t="inlineStr">
        <is>
          <t>PASS</t>
        </is>
      </c>
      <c r="E366" s="73" t="inlineStr">
        <is>
          <t>Instruction images 1–6 are available as PNG responses | `/images/1` through `/images/6` returned HTTP 200</t>
        </is>
      </c>
    </row>
    <row r="367" ht="39.95" customHeight="1" s="78">
      <c r="A367" s="73" t="inlineStr">
        <is>
          <t>QA-016</t>
        </is>
      </c>
      <c r="B367" s="73" t="n">
        <v>19</v>
      </c>
      <c r="C367" s="73" t="inlineStr">
        <is>
          <t>Student analytics</t>
        </is>
      </c>
      <c r="D367" s="73" t="inlineStr">
        <is>
          <t>PASS</t>
        </is>
      </c>
      <c r="E367" s="73" t="inlineStr">
        <is>
          <t>Multiple attempts no longer cause `/research/me` to return HTTP 500 | Regression test plus local `student` session returned HTTP 200</t>
        </is>
      </c>
    </row>
    <row r="368" ht="39.95" customHeight="1" s="78">
      <c r="A368" s="73" t="inlineStr">
        <is>
          <t>QA-016</t>
        </is>
      </c>
      <c r="B368" s="73" t="n">
        <v>20</v>
      </c>
      <c r="C368" s="73" t="inlineStr">
        <is>
          <t>Student analytics UI</t>
        </is>
      </c>
      <c r="D368" s="73" t="inlineStr">
        <is>
          <t>PASS</t>
        </is>
      </c>
      <c r="E368" s="73" t="inlineStr">
        <is>
          <t>Study progress page renders summary cards, assignment analytics, and attempt history | Manual local browser check</t>
        </is>
      </c>
    </row>
    <row r="369" ht="39.95" customHeight="1" s="78">
      <c r="A369" s="73" t="inlineStr">
        <is>
          <t>QA-016</t>
        </is>
      </c>
      <c r="B369" s="73" t="n">
        <v>21</v>
      </c>
      <c r="C369" s="73" t="inlineStr">
        <is>
          <t>Progress color</t>
        </is>
      </c>
      <c r="D369" s="73" t="inlineStr">
        <is>
          <t>PASS</t>
        </is>
      </c>
      <c r="E369" s="73" t="inlineStr">
        <is>
          <t>Home progress percentage and bar interpolate from red through amber to green | Flutter widget tests and manual browser check</t>
        </is>
      </c>
    </row>
    <row r="370" ht="39.95" customHeight="1" s="78">
      <c r="A370" s="73" t="inlineStr">
        <is>
          <t>QA-016</t>
        </is>
      </c>
      <c r="B370" s="73" t="n">
        <v>22</v>
      </c>
      <c r="C370" s="73" t="inlineStr">
        <is>
          <t>Score color</t>
        </is>
      </c>
      <c r="D370" s="73" t="inlineStr">
        <is>
          <t>PASS</t>
        </is>
      </c>
      <c r="E370" s="73" t="inlineStr">
        <is>
          <t>Assignment badges and result score use the same percentage color scale | Flutter widget tests and manual browser check</t>
        </is>
      </c>
    </row>
    <row r="371" ht="39.95" customHeight="1" s="78">
      <c r="A371" s="73" t="inlineStr">
        <is>
          <t>QA-016</t>
        </is>
      </c>
      <c r="B371" s="73" t="n">
        <v>23</v>
      </c>
      <c r="C371" s="73" t="inlineStr">
        <is>
          <t>Empty results layout</t>
        </is>
      </c>
      <c r="D371" s="73" t="inlineStr">
        <is>
          <t>PASS</t>
        </is>
      </c>
      <c r="E371" s="73" t="inlineStr">
        <is>
          <t>Desktop Results panel stays collapsed before the first run, allowing Instructions to use the full right side; Results opens when a run starts | Focused workspace and keyboard-run widget tests</t>
        </is>
      </c>
    </row>
    <row r="372" ht="30" customHeight="1" s="78">
      <c r="A372" s="73" t="inlineStr">
        <is>
          <t>QA-016</t>
        </is>
      </c>
      <c r="B372" s="73" t="n">
        <v>24</v>
      </c>
      <c r="C372" s="73" t="inlineStr">
        <is>
          <t>Backend regression</t>
        </is>
      </c>
      <c r="D372" s="73" t="inlineStr">
        <is>
          <t>PASS</t>
        </is>
      </c>
      <c r="E372" s="73" t="inlineStr">
        <is>
          <t>Entire backend suite | 185 tests passed</t>
        </is>
      </c>
    </row>
    <row r="373" ht="30" customHeight="1" s="78">
      <c r="A373" s="73" t="inlineStr">
        <is>
          <t>QA-016</t>
        </is>
      </c>
      <c r="B373" s="73" t="n">
        <v>25</v>
      </c>
      <c r="C373" s="73" t="inlineStr">
        <is>
          <t>Python dependencies</t>
        </is>
      </c>
      <c r="D373" s="73" t="inlineStr">
        <is>
          <t>PASS</t>
        </is>
      </c>
      <c r="E373" s="73" t="inlineStr">
        <is>
          <t>Installed dependency compatibility | `pip check` reported no broken requirements</t>
        </is>
      </c>
    </row>
    <row r="374" ht="30" customHeight="1" s="78">
      <c r="A374" s="73" t="inlineStr">
        <is>
          <t>QA-016</t>
        </is>
      </c>
      <c r="B374" s="73" t="n">
        <v>26</v>
      </c>
      <c r="C374" s="73" t="inlineStr">
        <is>
          <t>Flutter static analysis</t>
        </is>
      </c>
      <c r="D374" s="73" t="inlineStr">
        <is>
          <t>PASS</t>
        </is>
      </c>
      <c r="E374" s="73" t="inlineStr">
        <is>
          <t>Dart/Flutter analyzer | No issues found</t>
        </is>
      </c>
    </row>
    <row r="375" ht="30" customHeight="1" s="78">
      <c r="A375" s="73" t="inlineStr">
        <is>
          <t>QA-016</t>
        </is>
      </c>
      <c r="B375" s="73" t="n">
        <v>27</v>
      </c>
      <c r="C375" s="73" t="inlineStr">
        <is>
          <t>Flutter regression</t>
        </is>
      </c>
      <c r="D375" s="73" t="inlineStr">
        <is>
          <t>PASS</t>
        </is>
      </c>
      <c r="E375" s="73" t="inlineStr">
        <is>
          <t>Entire Flutter test suite | 52 tests passed</t>
        </is>
      </c>
    </row>
    <row r="376" ht="30" customHeight="1" s="78">
      <c r="A376" s="73" t="inlineStr">
        <is>
          <t>QA-016</t>
        </is>
      </c>
      <c r="B376" s="73" t="n">
        <v>28</v>
      </c>
      <c r="C376" s="73" t="inlineStr">
        <is>
          <t>Flutter release</t>
        </is>
      </c>
      <c r="D376" s="73" t="inlineStr">
        <is>
          <t>PASS</t>
        </is>
      </c>
      <c r="E376" s="73" t="inlineStr">
        <is>
          <t>Production-style web compilation | Release web build completed</t>
        </is>
      </c>
    </row>
    <row r="377" ht="39.95" customHeight="1" s="78">
      <c r="A377" s="73" t="inlineStr">
        <is>
          <t>QA-016</t>
        </is>
      </c>
      <c r="B377" s="73" t="n">
        <v>29</v>
      </c>
      <c r="C377" s="73" t="inlineStr">
        <is>
          <t>ROS 2 runtime</t>
        </is>
      </c>
      <c r="D377" s="73" t="inlineStr">
        <is>
          <t>BLOCKED</t>
        </is>
      </c>
      <c r="E377" s="73" t="inlineStr">
        <is>
          <t>Real Docker execution for Assignments 5–6 during this run | Docker Desktop 4.86.0 crashed while starting its Linux engine because its internal `dockerInference` socket could not be accessed</t>
        </is>
      </c>
    </row>
    <row r="378" ht="39.95" customHeight="1" s="78">
      <c r="A378" s="73" t="inlineStr">
        <is>
          <t>QA-017</t>
        </is>
      </c>
      <c r="B378" s="73" t="n">
        <v>13</v>
      </c>
      <c r="C378" s="73" t="inlineStr">
        <is>
          <t>Visual foundations and catalogs</t>
        </is>
      </c>
      <c r="D378" s="73" t="inlineStr">
        <is>
          <t>PASS</t>
        </is>
      </c>
      <c r="E378" s="73" t="inlineStr">
        <is>
          <t>Soft teal, sand and lavender surfaces; clear best/latest scores and next actions | Theme contrast &gt;= 4.5:1 on new surfaces; catalog widgets; desktop/narrow layouts</t>
        </is>
      </c>
    </row>
    <row r="379" ht="39.95" customHeight="1" s="78">
      <c r="A379" s="73" t="inlineStr">
        <is>
          <t>QA-017</t>
        </is>
      </c>
      <c r="B379" s="73" t="n">
        <v>14</v>
      </c>
      <c r="C379" s="73" t="inlineStr">
        <is>
          <t>Results workbench</t>
        </is>
      </c>
      <c r="D379" s="73" t="inlineStr">
        <is>
          <t>PASS</t>
        </is>
      </c>
      <c r="E379" s="73" t="inlineStr">
        <is>
          <t>Non-modal resizable desktop dock; narrow-screen drawer; minimize/reopen | Workspace widgets; browser opening, resizing, editing beside results and retained narrow-screen results</t>
        </is>
      </c>
    </row>
    <row r="380" ht="39.95" customHeight="1" s="78">
      <c r="A380" s="73" t="inlineStr">
        <is>
          <t>QA-017</t>
        </is>
      </c>
      <c r="B380" s="73" t="n">
        <v>15</v>
      </c>
      <c r="C380" s="73" t="inlineStr">
        <is>
          <t>Reading</t>
        </is>
      </c>
      <c r="D380" s="73" t="inlineStr">
        <is>
          <t>PASS</t>
        </is>
      </c>
      <c r="E380" s="73" t="inlineStr">
        <is>
          <t>Section navigation without changing lesson or assignment content | Reading widgets; authored HTML retained; browser outline jump to VFH</t>
        </is>
      </c>
    </row>
    <row r="381" ht="39.95" customHeight="1" s="78">
      <c r="A381" s="73" t="inlineStr">
        <is>
          <t>QA-017</t>
        </is>
      </c>
      <c r="B381" s="73" t="n">
        <v>16</v>
      </c>
      <c r="C381" s="73" t="inlineStr">
        <is>
          <t>Role dashboards and recovery</t>
        </is>
      </c>
      <c r="D381" s="73" t="inlineStr">
        <is>
          <t>PASS</t>
        </is>
      </c>
      <c r="E381" s="73" t="inlineStr">
        <is>
          <t>Clear student/instructor hierarchy; useful retry state | Dashboard widgets; session-expired 401 and retry checks; persistent student analytics browser review</t>
        </is>
      </c>
    </row>
    <row r="382" ht="39.95" customHeight="1" s="78">
      <c r="A382" s="73" t="inlineStr">
        <is>
          <t>QA-017</t>
        </is>
      </c>
      <c r="B382" s="73" t="n">
        <v>17</v>
      </c>
      <c r="C382" s="73" t="inlineStr">
        <is>
          <t>Integrated release</t>
        </is>
      </c>
      <c r="D382" s="73" t="inlineStr">
        <is>
          <t>PASS</t>
        </is>
      </c>
      <c r="E382" s="73" t="inlineStr">
        <is>
          <t>Analysis, tests, release build, backend regression, manual browser QA | 215 backend tests, 89 Flutter tests, clean analysis, release build, real ROS graders</t>
        </is>
      </c>
    </row>
    <row r="383" ht="39.95" customHeight="1" s="78">
      <c r="A383" s="73" t="inlineStr">
        <is>
          <t>QA-018</t>
        </is>
      </c>
      <c r="B383" s="73" t="n">
        <v>30</v>
      </c>
      <c r="C383" s="73" t="inlineStr">
        <is>
          <t>Partial-status orange was inconsistent with accessible shared palette</t>
        </is>
      </c>
      <c r="D383" s="73" t="inlineStr">
        <is>
          <t>Partial-status orange was inconsistent with accessible shared palette</t>
        </is>
      </c>
      <c r="E383" s="73" t="inlineStr">
        <is>
          <t>Code inspection | Shared amber foreground/container</t>
        </is>
      </c>
    </row>
    <row r="384" ht="30" customHeight="1" s="78">
      <c r="A384" s="73" t="inlineStr">
        <is>
          <t>QA-018</t>
        </is>
      </c>
      <c r="B384" s="73" t="n">
        <v>37</v>
      </c>
      <c r="C384" s="73" t="inlineStr">
        <is>
          <t>Shared normal text contrast</t>
        </is>
      </c>
      <c r="D384" s="73" t="inlineStr">
        <is>
          <t>PASS</t>
        </is>
      </c>
      <c r="E384" s="73" t="inlineStr">
        <is>
          <t>At least 4.5:1 for primary/surface/secondary/status combinations</t>
        </is>
      </c>
    </row>
    <row r="385" ht="30" customHeight="1" s="78">
      <c r="A385" s="73" t="inlineStr">
        <is>
          <t>QA-018</t>
        </is>
      </c>
      <c r="B385" s="73" t="n">
        <v>38</v>
      </c>
      <c r="C385" s="73" t="inlineStr">
        <is>
          <t>Score badges, every integer percentage 0–100</t>
        </is>
      </c>
      <c r="D385" s="73" t="inlineStr">
        <is>
          <t>PASS</t>
        </is>
      </c>
      <c r="E385" s="73" t="inlineStr">
        <is>
          <t>Contrast measured on actual 12%-tinted white badge background</t>
        </is>
      </c>
    </row>
    <row r="386" ht="30" customHeight="1" s="78">
      <c r="A386" s="73" t="inlineStr">
        <is>
          <t>QA-018</t>
        </is>
      </c>
      <c r="B386" s="73" t="n">
        <v>39</v>
      </c>
      <c r="C386" s="73" t="inlineStr">
        <is>
          <t>Catalog at 390, 768, 1440 width with 150% text</t>
        </is>
      </c>
      <c r="D386" s="73" t="inlineStr">
        <is>
          <t>PASS</t>
        </is>
      </c>
      <c r="E386" s="73" t="inlineStr">
        <is>
          <t>No layout exceptions; all six progress summaries render</t>
        </is>
      </c>
    </row>
    <row r="387" ht="39.95" customHeight="1" s="78">
      <c r="A387" s="73" t="inlineStr">
        <is>
          <t>QA-018</t>
        </is>
      </c>
      <c r="B387" s="73" t="n">
        <v>40</v>
      </c>
      <c r="C387" s="73" t="inlineStr">
        <is>
          <t>Full Flutter widget/unit suite</t>
        </is>
      </c>
      <c r="D387" s="73" t="inlineStr">
        <is>
          <t>PASS</t>
        </is>
      </c>
      <c r="E387" s="73" t="inlineStr">
        <is>
          <t>85 tests, including roles, analytics, editor palettes, retry/loading, instructions, results and AI-off behavior</t>
        </is>
      </c>
    </row>
    <row r="388" ht="30" customHeight="1" s="78">
      <c r="A388" s="73" t="inlineStr">
        <is>
          <t>QA-018</t>
        </is>
      </c>
      <c r="B388" s="73" t="n">
        <v>41</v>
      </c>
      <c r="C388" s="73" t="inlineStr">
        <is>
          <t>Flutter analysis</t>
        </is>
      </c>
      <c r="D388" s="73" t="inlineStr">
        <is>
          <t>PASS</t>
        </is>
      </c>
      <c r="E388" s="73" t="inlineStr">
        <is>
          <t>No issues</t>
        </is>
      </c>
    </row>
    <row r="389" ht="30" customHeight="1" s="78">
      <c r="A389" s="73" t="inlineStr">
        <is>
          <t>QA-018</t>
        </is>
      </c>
      <c r="B389" s="73" t="n">
        <v>42</v>
      </c>
      <c r="C389" s="73" t="inlineStr">
        <is>
          <t>Release web build</t>
        </is>
      </c>
      <c r="D389" s="73" t="inlineStr">
        <is>
          <t>PASS</t>
        </is>
      </c>
      <c r="E389" s="73" t="inlineStr">
        <is>
          <t>OneDrive-safe copy, API_BASE_URL points to local 5100</t>
        </is>
      </c>
    </row>
    <row r="390" ht="39.95" customHeight="1" s="78">
      <c r="A390" s="73" t="inlineStr">
        <is>
          <t>QA-018</t>
        </is>
      </c>
      <c r="B390" s="73" t="n">
        <v>43</v>
      </c>
      <c r="C390" s="73" t="inlineStr">
        <is>
          <t>Student browser: catalog toggle, account/header, saved quiz summary</t>
        </is>
      </c>
      <c r="D390" s="73" t="inlineStr">
        <is>
          <t>PASS</t>
        </is>
      </c>
      <c r="E390" s="73" t="inlineStr">
        <is>
          <t>Existing 30% quiz summary remains visible at normal 8180 URL</t>
        </is>
      </c>
    </row>
    <row r="391" ht="30" customHeight="1" s="78">
      <c r="A391" s="73" t="inlineStr">
        <is>
          <t>QA-018</t>
        </is>
      </c>
      <c r="B391" s="73" t="n">
        <v>44</v>
      </c>
      <c r="C391" s="73" t="inlineStr">
        <is>
          <t>Lesson reading at desktop and portrait phone width</t>
        </is>
      </c>
      <c r="D391" s="73" t="inlineStr">
        <is>
          <t>PASS</t>
        </is>
      </c>
      <c r="E391" s="73" t="inlineStr">
        <is>
          <t>Screenshot inspection: wrapping, headings, navigation</t>
        </is>
      </c>
    </row>
    <row r="392" ht="30" customHeight="1" s="78">
      <c r="A392" s="73" t="inlineStr">
        <is>
          <t>QA-018</t>
        </is>
      </c>
      <c r="B392" s="73" t="n">
        <v>45</v>
      </c>
      <c r="C392" s="73" t="inlineStr">
        <is>
          <t>Keyboard Home and catalog toggle</t>
        </is>
      </c>
      <c r="D392" s="73" t="inlineStr">
        <is>
          <t>PASS</t>
        </is>
      </c>
      <c r="E392" s="73" t="inlineStr">
        <is>
          <t>Enter activation and Tab focus inspected</t>
        </is>
      </c>
    </row>
    <row r="393" ht="30" customHeight="1" s="78">
      <c r="A393" s="73" t="inlineStr">
        <is>
          <t>QA-018</t>
        </is>
      </c>
      <c r="B393" s="73" t="n">
        <v>46</v>
      </c>
      <c r="C393" s="73" t="inlineStr">
        <is>
          <t>Results open before run; AI off</t>
        </is>
      </c>
      <c r="D393" s="73" t="inlineStr">
        <is>
          <t>PASS</t>
        </is>
      </c>
      <c r="E393" s="73" t="inlineStr">
        <is>
          <t>Distinct blue-tinted drawer; switch false; no request sent</t>
        </is>
      </c>
    </row>
    <row r="394" ht="30" customHeight="1" s="78">
      <c r="A394" s="73" t="inlineStr">
        <is>
          <t>QA-018</t>
        </is>
      </c>
      <c r="B394" s="73" t="n">
        <v>47</v>
      </c>
      <c r="C394" s="73" t="inlineStr">
        <is>
          <t>Final editor light/dark and drawer minimize</t>
        </is>
      </c>
      <c r="D394" s="73" t="inlineStr">
        <is>
          <t>PASS</t>
        </is>
      </c>
      <c r="E394" s="73" t="inlineStr">
        <is>
          <t>Both palettes visually inspected after repair; minimize returns to editor without changing code</t>
        </is>
      </c>
    </row>
    <row r="395" ht="30" customHeight="1" s="78">
      <c r="A395" s="73" t="inlineStr">
        <is>
          <t>QA-018</t>
        </is>
      </c>
      <c r="B395" s="73" t="n">
        <v>48</v>
      </c>
      <c r="C395" s="73" t="inlineStr">
        <is>
          <t>Instructor browser/account studio</t>
        </is>
      </c>
      <c r="D395" s="73" t="inlineStr">
        <is>
          <t>NOT RUN</t>
        </is>
      </c>
      <c r="E395" s="73" t="inlineStr">
        <is>
          <t>Role/dashboard widget coverage passed; separate instructor browser session not exercised</t>
        </is>
      </c>
    </row>
    <row r="396" ht="30" customHeight="1" s="78">
      <c r="A396" s="73" t="inlineStr">
        <is>
          <t>QA-018</t>
        </is>
      </c>
      <c r="B396" s="73" t="n">
        <v>49</v>
      </c>
      <c r="C396" s="73" t="inlineStr">
        <is>
          <t>New quiz submissions and six-assignment grading sweep</t>
        </is>
      </c>
      <c r="D396" s="73" t="inlineStr">
        <is>
          <t>NOT RUN</t>
        </is>
      </c>
      <c r="E396" s="73" t="inlineStr">
        <is>
          <t>Presentation-only change; avoid adding persistent study attempts</t>
        </is>
      </c>
    </row>
    <row r="397" ht="39.95" customHeight="1" s="78">
      <c r="A397" s="73" t="inlineStr">
        <is>
          <t>QA-018</t>
        </is>
      </c>
      <c r="B397" s="73" t="n">
        <v>50</v>
      </c>
      <c r="C397" s="73" t="inlineStr">
        <is>
          <t>Physical Ubuntu / other device / all screen-reader combinations</t>
        </is>
      </c>
      <c r="D397" s="73" t="inlineStr">
        <is>
          <t>NOT RUN</t>
        </is>
      </c>
      <c r="E397" s="73" t="inlineStr">
        <is>
          <t>This session is Windows desktop; not an accessibility certification</t>
        </is>
      </c>
    </row>
    <row r="398" ht="30" customHeight="1" s="78">
      <c r="A398" s="73" t="inlineStr">
        <is>
          <t>QA-019</t>
        </is>
      </c>
      <c r="B398" s="73" t="n">
        <v>42</v>
      </c>
      <c r="C398" s="73" t="inlineStr">
        <is>
          <t>Grading boundary</t>
        </is>
      </c>
      <c r="D398" s="73" t="inlineStr">
        <is>
          <t>PASS</t>
        </is>
      </c>
      <c r="E398" s="73" t="inlineStr">
        <is>
          <t>AI disabled by default | Ordinary test grading makes no model request | UI default and backend opt-in tests</t>
        </is>
      </c>
    </row>
    <row r="399" ht="39.95" customHeight="1" s="78">
      <c r="A399" s="73" t="inlineStr">
        <is>
          <t>QA-019</t>
        </is>
      </c>
      <c r="B399" s="73" t="n">
        <v>43</v>
      </c>
      <c r="C399" s="73" t="inlineStr">
        <is>
          <t>Grading boundary</t>
        </is>
      </c>
      <c r="D399" s="73" t="inlineStr">
        <is>
          <t>PASS</t>
        </is>
      </c>
      <c r="E399" s="73" t="inlineStr">
        <is>
          <t>AI cannot change grade | Score/pass state comes only from grader evidence | API tests and manual Assignment 1 run</t>
        </is>
      </c>
    </row>
    <row r="400" ht="39.95" customHeight="1" s="78">
      <c r="A400" s="73" t="inlineStr">
        <is>
          <t>QA-019</t>
        </is>
      </c>
      <c r="B400" s="73" t="n">
        <v>44</v>
      </c>
      <c r="C400" s="73" t="inlineStr">
        <is>
          <t>Structured feedback</t>
        </is>
      </c>
      <c r="D400" s="73" t="inlineStr">
        <is>
          <t>PASS</t>
        </is>
      </c>
      <c r="E400" s="73" t="inlineStr">
        <is>
          <t>Diagnosis, answer, debugging steps, guiding question, hint, next action | Strict bounded response | Tutor schema tests and rendered tutor card</t>
        </is>
      </c>
    </row>
    <row r="401" ht="39.95" customHeight="1" s="78">
      <c r="A401" s="73" t="inlineStr">
        <is>
          <t>QA-019</t>
        </is>
      </c>
      <c r="B401" s="73" t="n">
        <v>45</v>
      </c>
      <c r="C401" s="73" t="inlineStr">
        <is>
          <t>Student questions</t>
        </is>
      </c>
      <c r="D401" s="73" t="inlineStr">
        <is>
          <t>PASS</t>
        </is>
      </c>
      <c r="E401" s="73" t="inlineStr">
        <is>
          <t>Ask about latest owned submission | Structured answer or safe fallback | Endpoint, ownership, Flutter success/retry/manual tests</t>
        </is>
      </c>
    </row>
    <row r="402" ht="30" customHeight="1" s="78">
      <c r="A402" s="73" t="inlineStr">
        <is>
          <t>QA-019</t>
        </is>
      </c>
      <c r="B402" s="73" t="n">
        <v>46</v>
      </c>
      <c r="C402" s="73" t="inlineStr">
        <is>
          <t>Progressive support</t>
        </is>
      </c>
      <c r="D402" s="73" t="inlineStr">
        <is>
          <t>PASS</t>
        </is>
      </c>
      <c r="E402" s="73" t="inlineStr">
        <is>
          <t>Hint levels 1-4 | Increasing guidance without direct solution | Existing hint tests and tutor UI</t>
        </is>
      </c>
    </row>
    <row r="403" ht="30" customHeight="1" s="78">
      <c r="A403" s="73" t="inlineStr">
        <is>
          <t>QA-019</t>
        </is>
      </c>
      <c r="B403" s="73" t="n">
        <v>47</v>
      </c>
      <c r="C403" s="73" t="inlineStr">
        <is>
          <t>Solution protection</t>
        </is>
      </c>
      <c r="D403" s="73" t="inlineStr">
        <is>
          <t>PASS</t>
        </is>
      </c>
      <c r="E403" s="73" t="inlineStr">
        <is>
          <t>Request full answer/code | Refuse replacement solution | Policy tests and 24 instructor cases</t>
        </is>
      </c>
    </row>
    <row r="404" ht="30" customHeight="1" s="78">
      <c r="A404" s="73" t="inlineStr">
        <is>
          <t>QA-019</t>
        </is>
      </c>
      <c r="B404" s="73" t="n">
        <v>48</v>
      </c>
      <c r="C404" s="73" t="inlineStr">
        <is>
          <t>Hidden-test protection</t>
        </is>
      </c>
      <c r="D404" s="73" t="inlineStr">
        <is>
          <t>PASS</t>
        </is>
      </c>
      <c r="E404" s="73" t="inlineStr">
        <is>
          <t>Tutor input construction | No hidden source/config/expected values | Secret-sentinel and serialization tests</t>
        </is>
      </c>
    </row>
    <row r="405" ht="39.95" customHeight="1" s="78">
      <c r="A405" s="73" t="inlineStr">
        <is>
          <t>QA-019</t>
        </is>
      </c>
      <c r="B405" s="73" t="n">
        <v>49</v>
      </c>
      <c r="C405" s="73" t="inlineStr">
        <is>
          <t>Output protection</t>
        </is>
      </c>
      <c r="D405" s="73" t="inlineStr">
        <is>
          <t>PASS</t>
        </is>
      </c>
      <c r="E405" s="73" t="inlineStr">
        <is>
          <t>Model returns code/protected phrases/malformed JSON | Reject and use deterministic fallback | Tutor policy regression tests</t>
        </is>
      </c>
    </row>
    <row r="406" ht="30" customHeight="1" s="78">
      <c r="A406" s="73" t="inlineStr">
        <is>
          <t>QA-019</t>
        </is>
      </c>
      <c r="B406" s="73" t="n">
        <v>50</v>
      </c>
      <c r="C406" s="73" t="inlineStr">
        <is>
          <t>Privacy</t>
        </is>
      </c>
      <c r="D406" s="73" t="inlineStr">
        <is>
          <t>PASS</t>
        </is>
      </c>
      <c r="E406" s="73" t="inlineStr">
        <is>
          <t>Model response storage | OpenAI `store=false` | Captured request assertion</t>
        </is>
      </c>
    </row>
    <row r="407" ht="39.95" customHeight="1" s="78">
      <c r="A407" s="73" t="inlineStr">
        <is>
          <t>QA-019</t>
        </is>
      </c>
      <c r="B407" s="73" t="n">
        <v>51</v>
      </c>
      <c r="C407" s="73" t="inlineStr">
        <is>
          <t>Privacy</t>
        </is>
      </c>
      <c r="D407" s="73" t="inlineStr">
        <is>
          <t>PASS</t>
        </is>
      </c>
      <c r="E407" s="73" t="inlineStr">
        <is>
          <t>Student question research event | Store length/type, not raw question | Research contract and persistence tests</t>
        </is>
      </c>
    </row>
    <row r="408" ht="30" customHeight="1" s="78">
      <c r="A408" s="73" t="inlineStr">
        <is>
          <t>QA-019</t>
        </is>
      </c>
      <c r="B408" s="73" t="n">
        <v>52</v>
      </c>
      <c r="C408" s="73" t="inlineStr">
        <is>
          <t>Authorization</t>
        </is>
      </c>
      <c r="D408" s="73" t="inlineStr">
        <is>
          <t>PASS</t>
        </is>
      </c>
      <c r="E408" s="73" t="inlineStr">
        <is>
          <t>Student asks about another student's submission | Reject | Cross-student API test</t>
        </is>
      </c>
    </row>
    <row r="409" ht="30" customHeight="1" s="78">
      <c r="A409" s="73" t="inlineStr">
        <is>
          <t>QA-019</t>
        </is>
      </c>
      <c r="B409" s="73" t="n">
        <v>53</v>
      </c>
      <c r="C409" s="73" t="inlineStr">
        <is>
          <t>Authorization</t>
        </is>
      </c>
      <c r="D409" s="73" t="inlineStr">
        <is>
          <t>PASS</t>
        </is>
      </c>
      <c r="E409" s="73" t="inlineStr">
        <is>
          <t>Unauthenticated tutor request | Reject | API authentication test</t>
        </is>
      </c>
    </row>
    <row r="410" ht="30" customHeight="1" s="78">
      <c r="A410" s="73" t="inlineStr">
        <is>
          <t>QA-019</t>
        </is>
      </c>
      <c r="B410" s="73" t="n">
        <v>54</v>
      </c>
      <c r="C410" s="73" t="inlineStr">
        <is>
          <t>Abuse control</t>
        </is>
      </c>
      <c r="D410" s="73" t="inlineStr">
        <is>
          <t>PASS</t>
        </is>
      </c>
      <c r="E410" s="73" t="inlineStr">
        <is>
          <t>Repeated questions | Rate limit with recoverable UI error | Backend 429 and Flutter retry tests</t>
        </is>
      </c>
    </row>
    <row r="411" ht="39.95" customHeight="1" s="78">
      <c r="A411" s="73" t="inlineStr">
        <is>
          <t>QA-019</t>
        </is>
      </c>
      <c r="B411" s="73" t="n">
        <v>55</v>
      </c>
      <c r="C411" s="73" t="inlineStr">
        <is>
          <t>Reliability</t>
        </is>
      </c>
      <c r="D411" s="73" t="inlineStr">
        <is>
          <t>PASS</t>
        </is>
      </c>
      <c r="E411" s="73" t="inlineStr">
        <is>
          <t>Missing key/provider error/malformed response | Grading succeeds with built-in tutor | Unit tests and manual no-credit fallback</t>
        </is>
      </c>
    </row>
    <row r="412" ht="30" customHeight="1" s="78">
      <c r="A412" s="73" t="inlineStr">
        <is>
          <t>QA-019</t>
        </is>
      </c>
      <c r="B412" s="73" t="n">
        <v>56</v>
      </c>
      <c r="C412" s="73" t="inlineStr">
        <is>
          <t>Assignment coverage</t>
        </is>
      </c>
      <c r="D412" s="73" t="inlineStr">
        <is>
          <t>PASS</t>
        </is>
      </c>
      <c r="E412" s="73" t="inlineStr">
        <is>
          <t>AI evaluation datasets | Four cases for each Assignment 1-6 | 24/24 controlled cases passed safe pipeline</t>
        </is>
      </c>
    </row>
    <row r="413" ht="30" customHeight="1" s="78">
      <c r="A413" s="73" t="inlineStr">
        <is>
          <t>QA-019</t>
        </is>
      </c>
      <c r="B413" s="73" t="n">
        <v>57</v>
      </c>
      <c r="C413" s="73" t="inlineStr">
        <is>
          <t>Assignment 1</t>
        </is>
      </c>
      <c r="D413" s="73" t="inlineStr">
        <is>
          <t>PASS</t>
        </is>
      </c>
      <c r="E413" s="73" t="inlineStr">
        <is>
          <t>Maintained Python answer | 100%, 4/4 | Local authenticated API: 0.40 s</t>
        </is>
      </c>
    </row>
    <row r="414" ht="30" customHeight="1" s="78">
      <c r="A414" s="73" t="inlineStr">
        <is>
          <t>QA-019</t>
        </is>
      </c>
      <c r="B414" s="73" t="n">
        <v>58</v>
      </c>
      <c r="C414" s="73" t="inlineStr">
        <is>
          <t>Assignment 2</t>
        </is>
      </c>
      <c r="D414" s="73" t="inlineStr">
        <is>
          <t>PASS</t>
        </is>
      </c>
      <c r="E414" s="73" t="inlineStr">
        <is>
          <t>Maintained Python answer | 100%, 4/4 | Local authenticated API: 0.39 s</t>
        </is>
      </c>
    </row>
    <row r="415" ht="30" customHeight="1" s="78">
      <c r="A415" s="73" t="inlineStr">
        <is>
          <t>QA-019</t>
        </is>
      </c>
      <c r="B415" s="73" t="n">
        <v>59</v>
      </c>
      <c r="C415" s="73" t="inlineStr">
        <is>
          <t>Assignment 3</t>
        </is>
      </c>
      <c r="D415" s="73" t="inlineStr">
        <is>
          <t>PASS</t>
        </is>
      </c>
      <c r="E415" s="73" t="inlineStr">
        <is>
          <t>Maintained Python answer | 100%, 6/6 | Local authenticated API: 0.74 s</t>
        </is>
      </c>
    </row>
    <row r="416" ht="30" customHeight="1" s="78">
      <c r="A416" s="73" t="inlineStr">
        <is>
          <t>QA-019</t>
        </is>
      </c>
      <c r="B416" s="73" t="n">
        <v>60</v>
      </c>
      <c r="C416" s="73" t="inlineStr">
        <is>
          <t>Assignment 4</t>
        </is>
      </c>
      <c r="D416" s="73" t="inlineStr">
        <is>
          <t>PASS</t>
        </is>
      </c>
      <c r="E416" s="73" t="inlineStr">
        <is>
          <t>Maintained Python answer | 100%, 2/2 | Local authenticated API: 0.53 s</t>
        </is>
      </c>
    </row>
    <row r="417" ht="30" customHeight="1" s="78">
      <c r="A417" s="73" t="inlineStr">
        <is>
          <t>QA-019</t>
        </is>
      </c>
      <c r="B417" s="73" t="n">
        <v>61</v>
      </c>
      <c r="C417" s="73" t="inlineStr">
        <is>
          <t>Assignment 5</t>
        </is>
      </c>
      <c r="D417" s="73" t="inlineStr">
        <is>
          <t>PASS</t>
        </is>
      </c>
      <c r="E417" s="73" t="inlineStr">
        <is>
          <t>Maintained ROS 2 answer | 100%, 7/7 | Real Jazzy Docker grader, 79 messages at about 10 Hz</t>
        </is>
      </c>
    </row>
    <row r="418" ht="30" customHeight="1" s="78">
      <c r="A418" s="73" t="inlineStr">
        <is>
          <t>QA-019</t>
        </is>
      </c>
      <c r="B418" s="73" t="n">
        <v>62</v>
      </c>
      <c r="C418" s="73" t="inlineStr">
        <is>
          <t>Assignment 6</t>
        </is>
      </c>
      <c r="D418" s="73" t="inlineStr">
        <is>
          <t>PASS</t>
        </is>
      </c>
      <c r="E418" s="73" t="inlineStr">
        <is>
          <t>Maintained ROS 2 answer | 100%, 9/9 | Real Jazzy Docker grader, 44 settled messages at about 9.2 Hz</t>
        </is>
      </c>
    </row>
    <row r="419" ht="30" customHeight="1" s="78">
      <c r="A419" s="73" t="inlineStr">
        <is>
          <t>QA-019</t>
        </is>
      </c>
      <c r="B419" s="73" t="n">
        <v>63</v>
      </c>
      <c r="C419" s="73" t="inlineStr">
        <is>
          <t>Incorrect code</t>
        </is>
      </c>
      <c r="D419" s="73" t="inlineStr">
        <is>
          <t>PASS</t>
        </is>
      </c>
      <c r="E419" s="73" t="inlineStr">
        <is>
          <t>Assignment 2 wrong value | Graded failure | 200 response, `pass=false`</t>
        </is>
      </c>
    </row>
    <row r="420" ht="30" customHeight="1" s="78">
      <c r="A420" s="73" t="inlineStr">
        <is>
          <t>QA-019</t>
        </is>
      </c>
      <c r="B420" s="73" t="n">
        <v>64</v>
      </c>
      <c r="C420" s="73" t="inlineStr">
        <is>
          <t>Syntax error</t>
        </is>
      </c>
      <c r="D420" s="73" t="inlineStr">
        <is>
          <t>PASS</t>
        </is>
      </c>
      <c r="E420" s="73" t="inlineStr">
        <is>
          <t>Invalid Python | Safe syntax classification | 200 response, `syntax_error`</t>
        </is>
      </c>
    </row>
    <row r="421" ht="30" customHeight="1" s="78">
      <c r="A421" s="73" t="inlineStr">
        <is>
          <t>QA-019</t>
        </is>
      </c>
      <c r="B421" s="73" t="n">
        <v>65</v>
      </c>
      <c r="C421" s="73" t="inlineStr">
        <is>
          <t>Runtime error</t>
        </is>
      </c>
      <c r="D421" s="73" t="inlineStr">
        <is>
          <t>PASS</t>
        </is>
      </c>
      <c r="E421" s="73" t="inlineStr">
        <is>
          <t>Division by zero | Safe runtime classification | 200 response, `runtime_error`</t>
        </is>
      </c>
    </row>
    <row r="422" ht="30" customHeight="1" s="78">
      <c r="A422" s="73" t="inlineStr">
        <is>
          <t>QA-019</t>
        </is>
      </c>
      <c r="B422" s="73" t="n">
        <v>66</v>
      </c>
      <c r="C422" s="73" t="inlineStr">
        <is>
          <t>Infinite loop</t>
        </is>
      </c>
      <c r="D422" s="73" t="inlineStr">
        <is>
          <t>PASS</t>
        </is>
      </c>
      <c r="E422" s="73" t="inlineStr">
        <is>
          <t>Non-terminating code | Bounded timeout | `timeout` after 5.39 s</t>
        </is>
      </c>
    </row>
    <row r="423" ht="30" customHeight="1" s="78">
      <c r="A423" s="73" t="inlineStr">
        <is>
          <t>QA-019</t>
        </is>
      </c>
      <c r="B423" s="73" t="n">
        <v>67</v>
      </c>
      <c r="C423" s="73" t="inlineStr">
        <is>
          <t>Excessive output</t>
        </is>
      </c>
      <c r="D423" s="73" t="inlineStr">
        <is>
          <t>PASS</t>
        </is>
      </c>
      <c r="E423" s="73" t="inlineStr">
        <is>
          <t>200,000-character print | Output bounded | Returned output limited to about 20,000 characters</t>
        </is>
      </c>
    </row>
    <row r="424" ht="30" customHeight="1" s="78">
      <c r="A424" s="73" t="inlineStr">
        <is>
          <t>QA-019</t>
        </is>
      </c>
      <c r="B424" s="73" t="n">
        <v>68</v>
      </c>
      <c r="C424" s="73" t="inlineStr">
        <is>
          <t>Unsafe import</t>
        </is>
      </c>
      <c r="D424" s="73" t="inlineStr">
        <is>
          <t>PASS</t>
        </is>
      </c>
      <c r="E424" s="73" t="inlineStr">
        <is>
          <t>`import os` | Sandbox rejection | `rejected` in 0.45 s</t>
        </is>
      </c>
    </row>
    <row r="425" ht="30" customHeight="1" s="78">
      <c r="A425" s="73" t="inlineStr">
        <is>
          <t>QA-019</t>
        </is>
      </c>
      <c r="B425" s="73" t="n">
        <v>69</v>
      </c>
      <c r="C425" s="73" t="inlineStr">
        <is>
          <t>Oversized submission</t>
        </is>
      </c>
      <c r="D425" s="73" t="inlineStr">
        <is>
          <t>PASS</t>
        </is>
      </c>
      <c r="E425" s="73" t="inlineStr">
        <is>
          <t>More than 50,000 characters | Request rejected | HTTP 413 in 0.01 s</t>
        </is>
      </c>
    </row>
    <row r="426" ht="39.95" customHeight="1" s="78">
      <c r="A426" s="73" t="inlineStr">
        <is>
          <t>QA-019</t>
        </is>
      </c>
      <c r="B426" s="73" t="n">
        <v>70</v>
      </c>
      <c r="C426" s="73" t="inlineStr">
        <is>
          <t>Student browser</t>
        </is>
      </c>
      <c r="D426" s="73" t="inlineStr">
        <is>
          <t>PASS</t>
        </is>
      </c>
      <c r="E426" s="73" t="inlineStr">
        <is>
          <t>Login, six assignments, editor, run, opt-in tutor, question | Complete without hang or console error | Manual Flutter web QA on `127.0.0.1:8180`</t>
        </is>
      </c>
    </row>
    <row r="427" ht="39.95" customHeight="1" s="78">
      <c r="A427" s="73" t="inlineStr">
        <is>
          <t>QA-019</t>
        </is>
      </c>
      <c r="B427" s="73" t="n">
        <v>71</v>
      </c>
      <c r="C427" s="73" t="inlineStr">
        <is>
          <t>Demo browser</t>
        </is>
      </c>
      <c r="D427" s="73" t="inlineStr">
        <is>
          <t>PASS</t>
        </is>
      </c>
      <c r="E427" s="73" t="inlineStr">
        <is>
          <t>Temporary student capabilities | Student tools available without permanent study data | Manual demo flow plus persistence regressions</t>
        </is>
      </c>
    </row>
    <row r="428" ht="39.95" customHeight="1" s="78">
      <c r="A428" s="73" t="inlineStr">
        <is>
          <t>QA-019</t>
        </is>
      </c>
      <c r="B428" s="73" t="n">
        <v>72</v>
      </c>
      <c r="C428" s="73" t="inlineStr">
        <is>
          <t>Instructor browser</t>
        </is>
      </c>
      <c r="D428" s="73" t="inlineStr">
        <is>
          <t>PASS</t>
        </is>
      </c>
      <c r="E428" s="73" t="inlineStr">
        <is>
          <t>Login, six-assignment studio, student accounts, research dashboard | Authorized management views render | Manual Flutter web QA</t>
        </is>
      </c>
    </row>
    <row r="429" ht="30" customHeight="1" s="78">
      <c r="A429" s="73" t="inlineStr">
        <is>
          <t>QA-019</t>
        </is>
      </c>
      <c r="B429" s="73" t="n">
        <v>73</v>
      </c>
      <c r="C429" s="73" t="inlineStr">
        <is>
          <t>Responsive design</t>
        </is>
      </c>
      <c r="D429" s="73" t="inlineStr">
        <is>
          <t>PASS</t>
        </is>
      </c>
      <c r="E429" s="73" t="inlineStr">
        <is>
          <t>390 x 844 viewport | No clipped dashboard controls/data | Manual mobile-width screenshot and widget tests</t>
        </is>
      </c>
    </row>
    <row r="430" ht="30" customHeight="1" s="78">
      <c r="A430" s="73" t="inlineStr">
        <is>
          <t>QA-019</t>
        </is>
      </c>
      <c r="B430" s="73" t="n">
        <v>74</v>
      </c>
      <c r="C430" s="73" t="inlineStr">
        <is>
          <t>Keyboard/accessibility</t>
        </is>
      </c>
      <c r="D430" s="73" t="inlineStr">
        <is>
          <t>PASS</t>
        </is>
      </c>
      <c r="E430" s="73" t="inlineStr">
        <is>
          <t>Ctrl+Enter, labels, live error regions, narrow results | Operable and readable | Flutter widget tests</t>
        </is>
      </c>
    </row>
    <row r="431" ht="30" customHeight="1" s="78">
      <c r="A431" s="73" t="inlineStr">
        <is>
          <t>QA-019</t>
        </is>
      </c>
      <c r="B431" s="73" t="n">
        <v>75</v>
      </c>
      <c r="C431" s="73" t="inlineStr">
        <is>
          <t>Backend regression</t>
        </is>
      </c>
      <c r="D431" s="73" t="inlineStr">
        <is>
          <t>PASS</t>
        </is>
      </c>
      <c r="E431" s="73" t="inlineStr">
        <is>
          <t>Entire backend suite | No failures | 166 pytest tests</t>
        </is>
      </c>
    </row>
    <row r="432" ht="30" customHeight="1" s="78">
      <c r="A432" s="73" t="inlineStr">
        <is>
          <t>QA-019</t>
        </is>
      </c>
      <c r="B432" s="73" t="n">
        <v>76</v>
      </c>
      <c r="C432" s="73" t="inlineStr">
        <is>
          <t>Frontend regression</t>
        </is>
      </c>
      <c r="D432" s="73" t="inlineStr">
        <is>
          <t>PASS</t>
        </is>
      </c>
      <c r="E432" s="73" t="inlineStr">
        <is>
          <t>Analyze and all Flutter tests | No issues/failures | Analyzer clean; 48 Flutter tests</t>
        </is>
      </c>
    </row>
    <row r="433" ht="30" customHeight="1" s="78">
      <c r="A433" s="73" t="inlineStr">
        <is>
          <t>QA-019</t>
        </is>
      </c>
      <c r="B433" s="73" t="n">
        <v>77</v>
      </c>
      <c r="C433" s="73" t="inlineStr">
        <is>
          <t>Release build</t>
        </is>
      </c>
      <c r="D433" s="73" t="inlineStr">
        <is>
          <t>PASS</t>
        </is>
      </c>
      <c r="E433" s="73" t="inlineStr">
        <is>
          <t>Flutter web release compilation | Successful | OneDrive-safe release build completed</t>
        </is>
      </c>
    </row>
    <row r="434" ht="30" customHeight="1" s="78">
      <c r="A434" s="73" t="inlineStr">
        <is>
          <t>QA-019</t>
        </is>
      </c>
      <c r="B434" s="73" t="n">
        <v>78</v>
      </c>
      <c r="C434" s="73" t="inlineStr">
        <is>
          <t>Dependencies</t>
        </is>
      </c>
      <c r="D434" s="73" t="inlineStr">
        <is>
          <t>PASS</t>
        </is>
      </c>
      <c r="E434" s="73" t="inlineStr">
        <is>
          <t>Python environment consistency | No broken requirements | `pip check` clean</t>
        </is>
      </c>
    </row>
    <row r="435" ht="30" customHeight="1" s="78">
      <c r="A435" s="73" t="inlineStr">
        <is>
          <t>QA-019</t>
        </is>
      </c>
      <c r="B435" s="73" t="n">
        <v>79</v>
      </c>
      <c r="C435" s="73" t="inlineStr">
        <is>
          <t>Service health</t>
        </is>
      </c>
      <c r="D435" s="73" t="inlineStr">
        <is>
          <t>PASS</t>
        </is>
      </c>
      <c r="E435" s="73" t="inlineStr">
        <is>
          <t>Managed API and sandbox | Healthy | Verification script health checks</t>
        </is>
      </c>
    </row>
    <row r="436" ht="39.95" customHeight="1" s="78">
      <c r="A436" s="73" t="inlineStr">
        <is>
          <t>QA-019</t>
        </is>
      </c>
      <c r="B436" s="73" t="n">
        <v>80</v>
      </c>
      <c r="C436" s="73" t="inlineStr">
        <is>
          <t>OpenAI live semantic quality</t>
        </is>
      </c>
      <c r="D436" s="73" t="inlineStr">
        <is>
          <t>BLOCKED</t>
        </is>
      </c>
      <c r="E436" s="73" t="inlineStr">
        <is>
          <t>Real provider answer against approved cases | Correct, pedagogical, non-revealing answers | Provider returned `429 insufficient_quota`; no provider answer existed to score</t>
        </is>
      </c>
    </row>
    <row r="437" ht="30" customHeight="1" s="78">
      <c r="A437" s="73" t="inlineStr">
        <is>
          <t>QA-019</t>
        </is>
      </c>
      <c r="B437" s="73" t="n">
        <v>81</v>
      </c>
      <c r="C437" s="73" t="inlineStr">
        <is>
          <t>External-device/network</t>
        </is>
      </c>
      <c r="D437" s="73" t="inlineStr">
        <is>
          <t>NOT RUN</t>
        </is>
      </c>
      <c r="E437" s="73" t="inlineStr">
        <is>
          <t>Separate physical computer/network | Complete browser workflow | Current SQA was local to this Windows machine</t>
        </is>
      </c>
    </row>
    <row r="438" ht="30" customHeight="1" s="78">
      <c r="A438" s="73" t="inlineStr">
        <is>
          <t>QA-020</t>
        </is>
      </c>
      <c r="B438" s="73" t="n">
        <v>13</v>
      </c>
      <c r="C438" s="73" t="inlineStr">
        <is>
          <t>Pre-change recovery point</t>
        </is>
      </c>
      <c r="D438" s="73" t="inlineStr">
        <is>
          <t>PASS</t>
        </is>
      </c>
      <c r="E438" s="73" t="inlineStr">
        <is>
          <t>`backup-version-4.1-pre-ros` pushed to staging at `522dd745`</t>
        </is>
      </c>
    </row>
    <row r="439" ht="30" customHeight="1" s="78">
      <c r="A439" s="73" t="inlineStr">
        <is>
          <t>QA-020</t>
        </is>
      </c>
      <c r="B439" s="73" t="n">
        <v>14</v>
      </c>
      <c r="C439" s="73" t="inlineStr">
        <is>
          <t>Assignment configuration</t>
        </is>
      </c>
      <c r="D439" s="73" t="inlineStr">
        <is>
          <t>PASS</t>
        </is>
      </c>
      <c r="E439" s="73" t="inlineStr">
        <is>
          <t>Stable ID `ros2-drive-forward`, version 1, seven public behavior checks, simulation disabled</t>
        </is>
      </c>
    </row>
    <row r="440" ht="30" customHeight="1" s="78">
      <c r="A440" s="73" t="inlineStr">
        <is>
          <t>QA-020</t>
        </is>
      </c>
      <c r="B440" s="73" t="n">
        <v>15</v>
      </c>
      <c r="C440" s="73" t="inlineStr">
        <is>
          <t>Student workspace data</t>
        </is>
      </c>
      <c r="D440" s="73" t="inlineStr">
        <is>
          <t>PASS</t>
        </is>
      </c>
      <c r="E440" s="73" t="inlineStr">
        <is>
          <t>Seven project files returned; exactly one editable `controller.py`</t>
        </is>
      </c>
    </row>
    <row r="441" ht="30" customHeight="1" s="78">
      <c r="A441" s="73" t="inlineStr">
        <is>
          <t>QA-020</t>
        </is>
      </c>
      <c r="B441" s="73" t="n">
        <v>16</v>
      </c>
      <c r="C441" s="73" t="inlineStr">
        <is>
          <t>Private data boundary</t>
        </is>
      </c>
      <c r="D441" s="73" t="inlineStr">
        <is>
          <t>PASS</t>
        </is>
      </c>
      <c r="E441" s="73" t="inlineStr">
        <is>
          <t>Student API omits `grader_config` and `reference_solution_path`</t>
        </is>
      </c>
    </row>
    <row r="442" ht="30" customHeight="1" s="78">
      <c r="A442" s="73" t="inlineStr">
        <is>
          <t>QA-020</t>
        </is>
      </c>
      <c r="B442" s="73" t="n">
        <v>17</v>
      </c>
      <c r="C442" s="73" t="inlineStr">
        <is>
          <t>Maintained answer</t>
        </is>
      </c>
      <c r="D442" s="73" t="inlineStr">
        <is>
          <t>PASS</t>
        </is>
      </c>
      <c r="E442" s="73" t="inlineStr">
        <is>
          <t>`manual_sqa_answers/assignment_5_ros2_drive_forward/controller.py` is tracked for instructor checks</t>
        </is>
      </c>
    </row>
    <row r="443" ht="30" customHeight="1" s="78">
      <c r="A443" s="73" t="inlineStr">
        <is>
          <t>QA-020</t>
        </is>
      </c>
      <c r="B443" s="73" t="n">
        <v>18</v>
      </c>
      <c r="C443" s="73" t="inlineStr">
        <is>
          <t>Grader unit and API tests</t>
        </is>
      </c>
      <c r="D443" s="73" t="inlineStr">
        <is>
          <t>PASS</t>
        </is>
      </c>
      <c r="E443" s="73" t="inlineStr">
        <is>
          <t>Correct, partial, syntax-error, unsafe-import, isolation-policy, missing-Docker and injected-API paths pass</t>
        </is>
      </c>
    </row>
    <row r="444" ht="30" customHeight="1" s="78">
      <c r="A444" s="73" t="inlineStr">
        <is>
          <t>QA-020</t>
        </is>
      </c>
      <c r="B444" s="73" t="n">
        <v>19</v>
      </c>
      <c r="C444" s="73" t="inlineStr">
        <is>
          <t>Full backend regression</t>
        </is>
      </c>
      <c r="D444" s="73" t="inlineStr">
        <is>
          <t>PASS</t>
        </is>
      </c>
      <c r="E444" s="73" t="inlineStr">
        <is>
          <t>100 tests passed from the synchronized staging folder in 31.27 seconds</t>
        </is>
      </c>
    </row>
    <row r="445" ht="30" customHeight="1" s="78">
      <c r="A445" s="73" t="inlineStr">
        <is>
          <t>QA-020</t>
        </is>
      </c>
      <c r="B445" s="73" t="n">
        <v>20</v>
      </c>
      <c r="C445" s="73" t="inlineStr">
        <is>
          <t>Python dependency integrity</t>
        </is>
      </c>
      <c r="D445" s="73" t="inlineStr">
        <is>
          <t>PASS</t>
        </is>
      </c>
      <c r="E445" s="73" t="inlineStr">
        <is>
          <t>`pip check` reports no broken requirements</t>
        </is>
      </c>
    </row>
    <row r="446" ht="30" customHeight="1" s="78">
      <c r="A446" s="73" t="inlineStr">
        <is>
          <t>QA-020</t>
        </is>
      </c>
      <c r="B446" s="73" t="n">
        <v>21</v>
      </c>
      <c r="C446" s="73" t="inlineStr">
        <is>
          <t>Python compilation</t>
        </is>
      </c>
      <c r="D446" s="73" t="inlineStr">
        <is>
          <t>PASS</t>
        </is>
      </c>
      <c r="E446" s="73" t="inlineStr">
        <is>
          <t>Backend `compileall` succeeds</t>
        </is>
      </c>
    </row>
    <row r="447" ht="30" customHeight="1" s="78">
      <c r="A447" s="73" t="inlineStr">
        <is>
          <t>QA-020</t>
        </is>
      </c>
      <c r="B447" s="73" t="n">
        <v>22</v>
      </c>
      <c r="C447" s="73" t="inlineStr">
        <is>
          <t>Flutter static analysis</t>
        </is>
      </c>
      <c r="D447" s="73" t="inlineStr">
        <is>
          <t>PASS</t>
        </is>
      </c>
      <c r="E447" s="73" t="inlineStr">
        <is>
          <t>No issues found</t>
        </is>
      </c>
    </row>
    <row r="448" ht="30" customHeight="1" s="78">
      <c r="A448" s="73" t="inlineStr">
        <is>
          <t>QA-020</t>
        </is>
      </c>
      <c r="B448" s="73" t="n">
        <v>23</v>
      </c>
      <c r="C448" s="73" t="inlineStr">
        <is>
          <t>Flutter regression</t>
        </is>
      </c>
      <c r="D448" s="73" t="inlineStr">
        <is>
          <t>PASS</t>
        </is>
      </c>
      <c r="E448" s="73" t="inlineStr">
        <is>
          <t>39 tests passed, including project tree and read-only editor checks</t>
        </is>
      </c>
    </row>
    <row r="449" ht="30" customHeight="1" s="78">
      <c r="A449" s="73" t="inlineStr">
        <is>
          <t>QA-020</t>
        </is>
      </c>
      <c r="B449" s="73" t="n">
        <v>24</v>
      </c>
      <c r="C449" s="73" t="inlineStr">
        <is>
          <t>Flutter release web build</t>
        </is>
      </c>
      <c r="D449" s="73" t="inlineStr">
        <is>
          <t>PASS</t>
        </is>
      </c>
      <c r="E449" s="73" t="inlineStr">
        <is>
          <t>OneDrive-safe release build completed using API base URL `http://127.0.0.1:5100`</t>
        </is>
      </c>
    </row>
    <row r="450" ht="30" customHeight="1" s="78">
      <c r="A450" s="73" t="inlineStr">
        <is>
          <t>QA-020</t>
        </is>
      </c>
      <c r="B450" s="73" t="n">
        <v>25</v>
      </c>
      <c r="C450" s="73" t="inlineStr">
        <is>
          <t>Local launcher</t>
        </is>
      </c>
      <c r="D450" s="73" t="inlineStr">
        <is>
          <t>PASS</t>
        </is>
      </c>
      <c r="E450" s="73" t="inlineStr">
        <is>
          <t>Uses web-server mode and an IPv4 health probe</t>
        </is>
      </c>
    </row>
    <row r="451" ht="30" customHeight="1" s="78">
      <c r="A451" s="73" t="inlineStr">
        <is>
          <t>QA-020</t>
        </is>
      </c>
      <c r="B451" s="73" t="n">
        <v>26</v>
      </c>
      <c r="C451" s="73" t="inlineStr">
        <is>
          <t>Local service health</t>
        </is>
      </c>
      <c r="D451" s="73" t="inlineStr">
        <is>
          <t>PASS</t>
        </is>
      </c>
      <c r="E451" s="73" t="inlineStr">
        <is>
          <t>Frontend 200; backend and dedicated Python sandbox report `ok`</t>
        </is>
      </c>
    </row>
    <row r="452" ht="30" customHeight="1" s="78">
      <c r="A452" s="73" t="inlineStr">
        <is>
          <t>QA-020</t>
        </is>
      </c>
      <c r="B452" s="73" t="n">
        <v>27</v>
      </c>
      <c r="C452" s="73" t="inlineStr">
        <is>
          <t>Authenticated Assignment 5 API</t>
        </is>
      </c>
      <c r="D452" s="73" t="inlineStr">
        <is>
          <t>PASS</t>
        </is>
      </c>
      <c r="E452" s="73" t="inlineStr">
        <is>
          <t>Demo student loads Assignment 5 and its safe project-file payload</t>
        </is>
      </c>
    </row>
    <row r="453" ht="39.95" customHeight="1" s="78">
      <c r="A453" s="73" t="inlineStr">
        <is>
          <t>QA-020</t>
        </is>
      </c>
      <c r="B453" s="73" t="n">
        <v>28</v>
      </c>
      <c r="C453" s="73" t="inlineStr">
        <is>
          <t>Docker readiness</t>
        </is>
      </c>
      <c r="D453" s="73" t="inlineStr">
        <is>
          <t>PASS</t>
        </is>
      </c>
      <c r="E453" s="73" t="inlineStr">
        <is>
          <t>Docker Desktop 4.86.0; Linux engine 29.7.2; project readiness script locates PATH or standard Windows installation</t>
        </is>
      </c>
    </row>
    <row r="454" ht="30" customHeight="1" s="78">
      <c r="A454" s="73" t="inlineStr">
        <is>
          <t>QA-020</t>
        </is>
      </c>
      <c r="B454" s="73" t="n">
        <v>29</v>
      </c>
      <c r="C454" s="73" t="inlineStr">
        <is>
          <t>Real ROS 2 Jazzy image build</t>
        </is>
      </c>
      <c r="D454" s="73" t="inlineStr">
        <is>
          <t>PASS</t>
        </is>
      </c>
      <c r="E454" s="73" t="inlineStr">
        <is>
          <t>Pinned official Jazzy base built as `robotics-lab-ros2-grader:jazzy-v1`</t>
        </is>
      </c>
    </row>
    <row r="455" ht="30" customHeight="1" s="78">
      <c r="A455" s="73" t="inlineStr">
        <is>
          <t>QA-020</t>
        </is>
      </c>
      <c r="B455" s="73" t="n">
        <v>30</v>
      </c>
      <c r="C455" s="73" t="inlineStr">
        <is>
          <t>Correct answer in real ROS runtime</t>
        </is>
      </c>
      <c r="D455" s="73" t="inlineStr">
        <is>
          <t>PASS</t>
        </is>
      </c>
      <c r="E455" s="73" t="inlineStr">
        <is>
          <t>Seven of seven tests pass; approximately 58 messages at 10 Hz</t>
        </is>
      </c>
    </row>
    <row r="456" ht="30" customHeight="1" s="78">
      <c r="A456" s="73" t="inlineStr">
        <is>
          <t>QA-020</t>
        </is>
      </c>
      <c r="B456" s="73" t="n">
        <v>31</v>
      </c>
      <c r="C456" s="73" t="inlineStr">
        <is>
          <t>Authenticated real ROS API</t>
        </is>
      </c>
      <c r="D456" s="73" t="inlineStr">
        <is>
          <t>PASS</t>
        </is>
      </c>
      <c r="E456" s="73" t="inlineStr">
        <is>
          <t>Correct controller returns execution success, score 100 and seven passing evidence rows in 9.03 seconds</t>
        </is>
      </c>
    </row>
    <row r="457" ht="39.95" customHeight="1" s="78">
      <c r="A457" s="73" t="inlineStr">
        <is>
          <t>QA-020</t>
        </is>
      </c>
      <c r="B457" s="73" t="n">
        <v>32</v>
      </c>
      <c r="C457" s="73" t="inlineStr">
        <is>
          <t>Adversarial real ROS matrix</t>
        </is>
      </c>
      <c r="D457" s="73" t="inlineStr">
        <is>
          <t>PASS</t>
        </is>
      </c>
      <c r="E457" s="73" t="inlineStr">
        <is>
          <t>Wrong velocity, syntax error, runtime crash, unsafe import, infinite loop, excessive output and oversized code all produced the expected bounded result</t>
        </is>
      </c>
    </row>
    <row r="458" ht="39.95" customHeight="1" s="78">
      <c r="A458" s="73" t="inlineStr">
        <is>
          <t>QA-020</t>
        </is>
      </c>
      <c r="B458" s="73" t="n">
        <v>33</v>
      </c>
      <c r="C458" s="73" t="inlineStr">
        <is>
          <t>Container isolation</t>
        </is>
      </c>
      <c r="D458" s="73" t="inlineStr">
        <is>
          <t>PASS</t>
        </is>
      </c>
      <c r="E458" s="73" t="inlineStr">
        <is>
          <t>Non-root worker, network disabled, read-only root, capability drop, no-new-privileges, resource limits, executable workspace and non-executable `/tmp`</t>
        </is>
      </c>
    </row>
    <row r="459" ht="54" customHeight="1" s="78">
      <c r="A459" s="73" t="inlineStr">
        <is>
          <t>QA-020</t>
        </is>
      </c>
      <c r="B459" s="73" t="n">
        <v>34</v>
      </c>
      <c r="C459" s="73" t="inlineStr">
        <is>
          <t>Manual functional QA</t>
        </is>
      </c>
      <c r="D459" s="73" t="inlineStr">
        <is>
          <t>PASS</t>
        </is>
      </c>
      <c r="E459" s="73" t="inlineStr">
        <is>
          <t>Exact staging-folder run passed health, invalid login, both roles, role isolation, instructor validation, seven-file safe project tree with one editable file, correct score 100 with seven evidence rows in 9.03 seconds, and wrong velocity rejected at score 80 in 8.98 seconds</t>
        </is>
      </c>
    </row>
    <row r="460" ht="39.95" customHeight="1" s="78">
      <c r="A460" s="73" t="inlineStr">
        <is>
          <t>QA-020</t>
        </is>
      </c>
      <c r="B460" s="73" t="n">
        <v>35</v>
      </c>
      <c r="C460" s="73" t="inlineStr">
        <is>
          <t>Student solution boundary</t>
        </is>
      </c>
      <c r="D460" s="73" t="inlineStr">
        <is>
          <t>PASS</t>
        </is>
      </c>
      <c r="E460" s="73" t="inlineStr">
        <is>
          <t>The compatibility `solution_html` field is empty (length 0); no grader configuration, reference-solution path or private project file is returned</t>
        </is>
      </c>
    </row>
    <row r="461" ht="30" customHeight="1" s="78">
      <c r="A461" s="73" t="inlineStr">
        <is>
          <t>QA-020</t>
        </is>
      </c>
      <c r="B461" s="73" t="n">
        <v>36</v>
      </c>
      <c r="C461" s="73" t="inlineStr">
        <is>
          <t>AI default</t>
        </is>
      </c>
      <c r="D461" s="73" t="inlineStr">
        <is>
          <t>PASS</t>
        </is>
      </c>
      <c r="E461" s="73" t="inlineStr">
        <is>
          <t>Managed local state records `aiEnabled: false`</t>
        </is>
      </c>
    </row>
    <row r="462" ht="39.95" customHeight="1" s="78">
      <c r="A462" s="73" t="inlineStr">
        <is>
          <t>QA-020</t>
        </is>
      </c>
      <c r="B462" s="73" t="n">
        <v>37</v>
      </c>
      <c r="C462" s="73" t="inlineStr">
        <is>
          <t>Local/staging Git consistency</t>
        </is>
      </c>
      <c r="D462" s="73" t="inlineStr">
        <is>
          <t>PASS</t>
        </is>
      </c>
      <c r="E462" s="73" t="inlineStr">
        <is>
          <t>Local staging `main` and `origin/main` resolved to `d4ef4934` before this report-only update; unrelated local artifacts remain excluded from the release commit</t>
        </is>
      </c>
    </row>
    <row r="463" ht="68.09999999999999" customHeight="1" s="78">
      <c r="A463" s="73" t="inlineStr">
        <is>
          <t>QA-020</t>
        </is>
      </c>
      <c r="B463" s="73" t="n">
        <v>38</v>
      </c>
      <c r="C463" s="73" t="inlineStr">
        <is>
          <t>Rendered browser interaction</t>
        </is>
      </c>
      <c r="D463" s="73" t="inlineStr">
        <is>
          <t>PASS</t>
        </is>
      </c>
      <c r="E463" s="73" t="inlineStr">
        <is>
          <t>Codex connected to the local app after switching to the documented Windows `unelevated` sandbox fallback. Verified login, five assignment cards, Assignment 5 file locks, editable `controller.py`, AI off by default, starter score 29%, maintained solution score 100% with seven passing tests, mobile-width results and `Ctrl+Enter` execution.</t>
        </is>
      </c>
    </row>
    <row r="464" ht="30" customHeight="1" s="78">
      <c r="A464" s="73" t="inlineStr">
        <is>
          <t>QA-021</t>
        </is>
      </c>
      <c r="B464" s="73" t="n">
        <v>17</v>
      </c>
      <c r="C464" s="73" t="inlineStr">
        <is>
          <t>Assignment identity</t>
        </is>
      </c>
      <c r="D464" s="73" t="inlineStr">
        <is>
          <t>PASS</t>
        </is>
      </c>
      <c r="E464" s="73" t="inlineStr">
        <is>
          <t>ID `6`, stable ID `ros2-obstacle-stop`, version `1`, published staging seed</t>
        </is>
      </c>
    </row>
    <row r="465" ht="39.95" customHeight="1" s="78">
      <c r="A465" s="73" t="inlineStr">
        <is>
          <t>QA-021</t>
        </is>
      </c>
      <c r="B465" s="73" t="n">
        <v>18</v>
      </c>
      <c r="C465" s="73" t="inlineStr">
        <is>
          <t>Learning design</t>
        </is>
      </c>
      <c r="D465" s="73" t="inlineStr">
        <is>
          <t>PASS</t>
        </is>
      </c>
      <c r="E465" s="73" t="inlineStr">
        <is>
          <t>LaserScan subscription, Twist publisher, clear-path motion, obstacle/invalid-scan stop, and recovery objectives</t>
        </is>
      </c>
    </row>
    <row r="466" ht="30" customHeight="1" s="78">
      <c r="A466" s="73" t="inlineStr">
        <is>
          <t>QA-021</t>
        </is>
      </c>
      <c r="B466" s="73" t="n">
        <v>19</v>
      </c>
      <c r="C466" s="73" t="inlineStr">
        <is>
          <t>Project workspace</t>
        </is>
      </c>
      <c r="D466" s="73" t="inlineStr">
        <is>
          <t>PASS</t>
        </is>
      </c>
      <c r="E466" s="73" t="inlineStr">
        <is>
          <t>Seven visible project files; exactly one editable `src/reactive_navigation/reactive_navigation/controller.py`</t>
        </is>
      </c>
    </row>
    <row r="467" ht="39.95" customHeight="1" s="78">
      <c r="A467" s="73" t="inlineStr">
        <is>
          <t>QA-021</t>
        </is>
      </c>
      <c r="B467" s="73" t="n">
        <v>20</v>
      </c>
      <c r="C467" s="73" t="inlineStr">
        <is>
          <t>Locked-file content</t>
        </is>
      </c>
      <c r="D467" s="73" t="inlineStr">
        <is>
          <t>PASS</t>
        </is>
      </c>
      <c r="E467" s="73" t="inlineStr">
        <is>
          <t>Browser QA confirmed selecting `package.xml` displays its XML and read-only state; shared CodeController defect was fixed and regression-tested</t>
        </is>
      </c>
    </row>
    <row r="468" ht="30" customHeight="1" s="78">
      <c r="A468" s="73" t="inlineStr">
        <is>
          <t>QA-021</t>
        </is>
      </c>
      <c r="B468" s="73" t="n">
        <v>21</v>
      </c>
      <c r="C468" s="73" t="inlineStr">
        <is>
          <t>Student privacy boundary</t>
        </is>
      </c>
      <c r="D468" s="73" t="inlineStr">
        <is>
          <t>PASS</t>
        </is>
      </c>
      <c r="E468" s="73" t="inlineStr">
        <is>
          <t>Student API omits `grader_config`, `reference_solution_path`, and official solution content</t>
        </is>
      </c>
    </row>
    <row r="469" ht="30" customHeight="1" s="78">
      <c r="A469" s="73" t="inlineStr">
        <is>
          <t>QA-021</t>
        </is>
      </c>
      <c r="B469" s="73" t="n">
        <v>22</v>
      </c>
      <c r="C469" s="73" t="inlineStr">
        <is>
          <t>Maintained answer</t>
        </is>
      </c>
      <c r="D469" s="73" t="inlineStr">
        <is>
          <t>PASS</t>
        </is>
      </c>
      <c r="E469" s="73" t="inlineStr">
        <is>
          <t>Rebuilt ROS 2 Jazzy Docker grader returned 9/9 checks, score 100; 44 settled messages at approximately 9.2 Hz</t>
        </is>
      </c>
    </row>
    <row r="470" ht="30" customHeight="1" s="78">
      <c r="A470" s="73" t="inlineStr">
        <is>
          <t>QA-021</t>
        </is>
      </c>
      <c r="B470" s="73" t="n">
        <v>23</v>
      </c>
      <c r="C470" s="73" t="inlineStr">
        <is>
          <t>Assignment 5 regression</t>
        </is>
      </c>
      <c r="D470" s="73" t="inlineStr">
        <is>
          <t>PASS</t>
        </is>
      </c>
      <c r="E470" s="73" t="inlineStr">
        <is>
          <t>Existing maintained answer still passes 7/7 checks in the rebuilt image</t>
        </is>
      </c>
    </row>
    <row r="471" ht="30" customHeight="1" s="78">
      <c r="A471" s="73" t="inlineStr">
        <is>
          <t>QA-021</t>
        </is>
      </c>
      <c r="B471" s="73" t="n">
        <v>24</v>
      </c>
      <c r="C471" s="73" t="inlineStr">
        <is>
          <t>Starter code</t>
        </is>
      </c>
      <c r="D471" s="73" t="inlineStr">
        <is>
          <t>PASS</t>
        </is>
      </c>
      <c r="E471" s="73" t="inlineStr">
        <is>
          <t>Builds but fails the seven incomplete behavior requirements without hanging</t>
        </is>
      </c>
    </row>
    <row r="472" ht="30" customHeight="1" s="78">
      <c r="A472" s="73" t="inlineStr">
        <is>
          <t>QA-021</t>
        </is>
      </c>
      <c r="B472" s="73" t="n">
        <v>25</v>
      </c>
      <c r="C472" s="73" t="inlineStr">
        <is>
          <t>Incorrect threshold</t>
        </is>
      </c>
      <c r="D472" s="73" t="inlineStr">
        <is>
          <t>PASS</t>
        </is>
      </c>
      <c r="E472" s="73" t="inlineStr">
        <is>
          <t>Real grader rejects reversed threshold logic; authenticated API score 40 and `pass=false`</t>
        </is>
      </c>
    </row>
    <row r="473" ht="30" customHeight="1" s="78">
      <c r="A473" s="73" t="inlineStr">
        <is>
          <t>QA-021</t>
        </is>
      </c>
      <c r="B473" s="73" t="n">
        <v>26</v>
      </c>
      <c r="C473" s="73" t="inlineStr">
        <is>
          <t>Syntax error</t>
        </is>
      </c>
      <c r="D473" s="73" t="inlineStr">
        <is>
          <t>PASS</t>
        </is>
      </c>
      <c r="E473" s="73" t="inlineStr">
        <is>
          <t>Rejected safely with a bounded syntax error</t>
        </is>
      </c>
    </row>
    <row r="474" ht="30" customHeight="1" s="78">
      <c r="A474" s="73" t="inlineStr">
        <is>
          <t>QA-021</t>
        </is>
      </c>
      <c r="B474" s="73" t="n">
        <v>27</v>
      </c>
      <c r="C474" s="73" t="inlineStr">
        <is>
          <t>Runtime error</t>
        </is>
      </c>
      <c r="D474" s="73" t="inlineStr">
        <is>
          <t>PASS</t>
        </is>
      </c>
      <c r="E474" s="73" t="inlineStr">
        <is>
          <t>Node crash is bounded and returned as execution failure</t>
        </is>
      </c>
    </row>
    <row r="475" ht="30" customHeight="1" s="78">
      <c r="A475" s="73" t="inlineStr">
        <is>
          <t>QA-021</t>
        </is>
      </c>
      <c r="B475" s="73" t="n">
        <v>28</v>
      </c>
      <c r="C475" s="73" t="inlineStr">
        <is>
          <t>Unsafe import</t>
        </is>
      </c>
      <c r="D475" s="73" t="inlineStr">
        <is>
          <t>PASS</t>
        </is>
      </c>
      <c r="E475" s="73" t="inlineStr">
        <is>
          <t>`import os` rejected before package execution</t>
        </is>
      </c>
    </row>
    <row r="476" ht="30" customHeight="1" s="78">
      <c r="A476" s="73" t="inlineStr">
        <is>
          <t>QA-021</t>
        </is>
      </c>
      <c r="B476" s="73" t="n">
        <v>29</v>
      </c>
      <c r="C476" s="73" t="inlineStr">
        <is>
          <t>Infinite loop</t>
        </is>
      </c>
      <c r="D476" s="73" t="inlineStr">
        <is>
          <t>PASS</t>
        </is>
      </c>
      <c r="E476" s="73" t="inlineStr">
        <is>
          <t>Container execution terminated within the configured bound</t>
        </is>
      </c>
    </row>
    <row r="477" ht="30" customHeight="1" s="78">
      <c r="A477" s="73" t="inlineStr">
        <is>
          <t>QA-021</t>
        </is>
      </c>
      <c r="B477" s="73" t="n">
        <v>30</v>
      </c>
      <c r="C477" s="73" t="inlineStr">
        <is>
          <t>Excessive output</t>
        </is>
      </c>
      <c r="D477" s="73" t="inlineStr">
        <is>
          <t>PASS</t>
        </is>
      </c>
      <c r="E477" s="73" t="inlineStr">
        <is>
          <t>Execution remained bounded and behavior tests failed without exposing unbounded output</t>
        </is>
      </c>
    </row>
    <row r="478" ht="30" customHeight="1" s="78">
      <c r="A478" s="73" t="inlineStr">
        <is>
          <t>QA-021</t>
        </is>
      </c>
      <c r="B478" s="73" t="n">
        <v>31</v>
      </c>
      <c r="C478" s="73" t="inlineStr">
        <is>
          <t>Oversized submission</t>
        </is>
      </c>
      <c r="D478" s="73" t="inlineStr">
        <is>
          <t>PASS</t>
        </is>
      </c>
      <c r="E478" s="73" t="inlineStr">
        <is>
          <t>Assignment 6 API returns HTTP 413 before execution</t>
        </is>
      </c>
    </row>
    <row r="479" ht="39.95" customHeight="1" s="78">
      <c r="A479" s="73" t="inlineStr">
        <is>
          <t>QA-021</t>
        </is>
      </c>
      <c r="B479" s="73" t="n">
        <v>32</v>
      </c>
      <c r="C479" s="73" t="inlineStr">
        <is>
          <t>Container isolation</t>
        </is>
      </c>
      <c r="D479" s="73" t="inlineStr">
        <is>
          <t>PASS</t>
        </is>
      </c>
      <c r="E479" s="73" t="inlineStr">
        <is>
          <t>Reuses the networkless, read-only, non-root Docker executor with CPU, memory, PID, capability, and privilege limits</t>
        </is>
      </c>
    </row>
    <row r="480" ht="30" customHeight="1" s="78">
      <c r="A480" s="73" t="inlineStr">
        <is>
          <t>QA-021</t>
        </is>
      </c>
      <c r="B480" s="73" t="n">
        <v>33</v>
      </c>
      <c r="C480" s="73" t="inlineStr">
        <is>
          <t>Focused backend tests</t>
        </is>
      </c>
      <c r="D480" s="73" t="inlineStr">
        <is>
          <t>PASS</t>
        </is>
      </c>
      <c r="E480" s="73" t="inlineStr">
        <is>
          <t>13 ROS-specific tests passed, including both ROS-discovery timing regressions</t>
        </is>
      </c>
    </row>
    <row r="481" ht="30" customHeight="1" s="78">
      <c r="A481" s="73" t="inlineStr">
        <is>
          <t>QA-021</t>
        </is>
      </c>
      <c r="B481" s="73" t="n">
        <v>34</v>
      </c>
      <c r="C481" s="73" t="inlineStr">
        <is>
          <t>Full backend regression</t>
        </is>
      </c>
      <c r="D481" s="73" t="inlineStr">
        <is>
          <t>PASS</t>
        </is>
      </c>
      <c r="E481" s="73" t="inlineStr">
        <is>
          <t>115 tests passed</t>
        </is>
      </c>
    </row>
    <row r="482" ht="30" customHeight="1" s="78">
      <c r="A482" s="73" t="inlineStr">
        <is>
          <t>QA-021</t>
        </is>
      </c>
      <c r="B482" s="73" t="n">
        <v>35</v>
      </c>
      <c r="C482" s="73" t="inlineStr">
        <is>
          <t>Python integrity</t>
        </is>
      </c>
      <c r="D482" s="73" t="inlineStr">
        <is>
          <t>PASS</t>
        </is>
      </c>
      <c r="E482" s="73" t="inlineStr">
        <is>
          <t>`pip check` and backend `compileall` passed</t>
        </is>
      </c>
    </row>
    <row r="483" ht="30" customHeight="1" s="78">
      <c r="A483" s="73" t="inlineStr">
        <is>
          <t>QA-021</t>
        </is>
      </c>
      <c r="B483" s="73" t="n">
        <v>36</v>
      </c>
      <c r="C483" s="73" t="inlineStr">
        <is>
          <t>Flutter analysis</t>
        </is>
      </c>
      <c r="D483" s="73" t="inlineStr">
        <is>
          <t>PASS</t>
        </is>
      </c>
      <c r="E483" s="73" t="inlineStr">
        <is>
          <t>No issues found</t>
        </is>
      </c>
    </row>
    <row r="484" ht="30" customHeight="1" s="78">
      <c r="A484" s="73" t="inlineStr">
        <is>
          <t>QA-021</t>
        </is>
      </c>
      <c r="B484" s="73" t="n">
        <v>37</v>
      </c>
      <c r="C484" s="73" t="inlineStr">
        <is>
          <t>Flutter regression</t>
        </is>
      </c>
      <c r="D484" s="73" t="inlineStr">
        <is>
          <t>PASS</t>
        </is>
      </c>
      <c r="E484" s="73" t="inlineStr">
        <is>
          <t>43 tests passed, including complete project-file content replacement and persistent-student analytics access</t>
        </is>
      </c>
    </row>
    <row r="485" ht="30" customHeight="1" s="78">
      <c r="A485" s="73" t="inlineStr">
        <is>
          <t>QA-021</t>
        </is>
      </c>
      <c r="B485" s="73" t="n">
        <v>38</v>
      </c>
      <c r="C485" s="73" t="inlineStr">
        <is>
          <t>Flutter release build</t>
        </is>
      </c>
      <c r="D485" s="73" t="inlineStr">
        <is>
          <t>PASS</t>
        </is>
      </c>
      <c r="E485" s="73" t="inlineStr">
        <is>
          <t>OneDrive-safe release web build succeeded with configured API base URL</t>
        </is>
      </c>
    </row>
    <row r="486" ht="30" customHeight="1" s="78">
      <c r="A486" s="73" t="inlineStr">
        <is>
          <t>QA-021</t>
        </is>
      </c>
      <c r="B486" s="73" t="n">
        <v>39</v>
      </c>
      <c r="C486" s="73" t="inlineStr">
        <is>
          <t>Local services</t>
        </is>
      </c>
      <c r="D486" s="73" t="inlineStr">
        <is>
          <t>PASS</t>
        </is>
      </c>
      <c r="E486" s="73" t="inlineStr">
        <is>
          <t>Frontend HTTP 200; backend and dedicated sandbox health returned `ok`</t>
        </is>
      </c>
    </row>
    <row r="487" ht="30" customHeight="1" s="78">
      <c r="A487" s="73" t="inlineStr">
        <is>
          <t>QA-021</t>
        </is>
      </c>
      <c r="B487" s="73" t="n">
        <v>40</v>
      </c>
      <c r="C487" s="73" t="inlineStr">
        <is>
          <t>Authenticated local API</t>
        </is>
      </c>
      <c r="D487" s="73" t="inlineStr">
        <is>
          <t>PASS</t>
        </is>
      </c>
      <c r="E487" s="73" t="inlineStr">
        <is>
          <t>Catalog returned IDs 1-6; maintained answer score 100 with nine evidence rows; wrong answer failed</t>
        </is>
      </c>
    </row>
    <row r="488" ht="39.95" customHeight="1" s="78">
      <c r="A488" s="73" t="inlineStr">
        <is>
          <t>QA-021</t>
        </is>
      </c>
      <c r="B488" s="73" t="n">
        <v>41</v>
      </c>
      <c r="C488" s="73" t="inlineStr">
        <is>
          <t>Instructor publish validation</t>
        </is>
      </c>
      <c r="D488" s="73" t="inlineStr">
        <is>
          <t>PASS</t>
        </is>
      </c>
      <c r="E488" s="73" t="inlineStr">
        <is>
          <t>Authenticated `/admin/assignments/6/validate` returned `valid=true` with no errors after running the maintained answer</t>
        </is>
      </c>
    </row>
    <row r="489" ht="39.95" customHeight="1" s="78">
      <c r="A489" s="73" t="inlineStr">
        <is>
          <t>QA-021</t>
        </is>
      </c>
      <c r="B489" s="73" t="n">
        <v>42</v>
      </c>
      <c r="C489" s="73" t="inlineStr">
        <is>
          <t>Desktop browser</t>
        </is>
      </c>
      <c r="D489" s="73" t="inlineStr">
        <is>
          <t>PASS</t>
        </is>
      </c>
      <c r="E489" s="73" t="inlineStr">
        <is>
          <t>Card 06, instructions, seven-file tree, read-only files, editable controller, and AI-off state rendered correctly</t>
        </is>
      </c>
    </row>
    <row r="490" ht="30" customHeight="1" s="78">
      <c r="A490" s="73" t="inlineStr">
        <is>
          <t>QA-021</t>
        </is>
      </c>
      <c r="B490" s="73" t="n">
        <v>43</v>
      </c>
      <c r="C490" s="73" t="inlineStr">
        <is>
          <t>Mobile browser</t>
        </is>
      </c>
      <c r="D490" s="73" t="inlineStr">
        <is>
          <t>PASS</t>
        </is>
      </c>
      <c r="E490" s="73" t="inlineStr">
        <is>
          <t>Assignment workspace rendered at 390 x 844 without browser errors</t>
        </is>
      </c>
    </row>
    <row r="491" ht="54" customHeight="1" s="78">
      <c r="A491" s="73" t="inlineStr">
        <is>
          <t>QA-021</t>
        </is>
      </c>
      <c r="B491" s="73" t="n">
        <v>44</v>
      </c>
      <c r="C491" s="73" t="inlineStr">
        <is>
          <t>CI protection</t>
        </is>
      </c>
      <c r="D491" s="73" t="inlineStr">
        <is>
          <t>PASS</t>
        </is>
      </c>
      <c r="E491" s="73" t="inlineStr">
        <is>
          <t>Assignment 6 waits for end-to-end ROS discovery before scoring. Assignment 5 warms the monitor before launch and measures stop timing from process start with bounded startup allowance. Three consecutive rebuilt-image runs passed Assignment 5 at 7/7 and Assignment 6 at 9/9.</t>
        </is>
      </c>
    </row>
    <row r="492" ht="39.95" customHeight="1" s="78">
      <c r="A492" s="73" t="inlineStr">
        <is>
          <t>QA-021</t>
        </is>
      </c>
      <c r="B492" s="73" t="n">
        <v>45</v>
      </c>
      <c r="C492" s="73" t="inlineStr">
        <is>
          <t>Master Excel SQA checklist</t>
        </is>
      </c>
      <c r="D492" s="73" t="inlineStr">
        <is>
          <t>BLOCKED</t>
        </is>
      </c>
      <c r="E492" s="73" t="inlineStr">
        <is>
          <t>The required bundled spreadsheet dependency loader was unavailable in this session; the existing workbook was not modified with an unsupported library</t>
        </is>
      </c>
    </row>
    <row r="493" ht="30" customHeight="1" s="78">
      <c r="A493" s="73" t="inlineStr">
        <is>
          <t>QA-021</t>
        </is>
      </c>
      <c r="B493" s="73" t="n">
        <v>51</v>
      </c>
      <c r="C493" s="73" t="inlineStr">
        <is>
          <t>Live deployment</t>
        </is>
      </c>
      <c r="D493" s="73" t="inlineStr">
        <is>
          <t>NOT RUN</t>
        </is>
      </c>
      <c r="E493" s="73" t="inlineStr">
        <is>
          <t>The owner requested staging only. Production still intentionally contains Assignments 1-4.</t>
        </is>
      </c>
    </row>
    <row r="494" ht="39.95" customHeight="1" s="78">
      <c r="A494" s="73" t="inlineStr">
        <is>
          <t>QA-021</t>
        </is>
      </c>
      <c r="B494" s="73" t="n">
        <v>52</v>
      </c>
      <c r="C494" s="73" t="inlineStr">
        <is>
          <t>Hosted ROS worker</t>
        </is>
      </c>
      <c r="D494" s="73" t="inlineStr">
        <is>
          <t>BLOCKED</t>
        </is>
      </c>
      <c r="E494" s="73" t="inlineStr">
        <is>
          <t>Local Docker execution is not the approved production architecture. Deploy and secure a private Linux ROS worker before promotion.</t>
        </is>
      </c>
    </row>
    <row r="495" ht="30" customHeight="1" s="78">
      <c r="A495" s="73" t="inlineStr">
        <is>
          <t>QA-021</t>
        </is>
      </c>
      <c r="B495" s="73" t="n">
        <v>53</v>
      </c>
      <c r="C495" s="73" t="inlineStr">
        <is>
          <t>External computer/network</t>
        </is>
      </c>
      <c r="D495" s="73" t="inlineStr">
        <is>
          <t>NOT RUN</t>
        </is>
      </c>
      <c r="E495" s="73" t="inlineStr">
        <is>
          <t>Localhost was tested in a clean browser session and mobile viewport, not from a second physical device.</t>
        </is>
      </c>
    </row>
    <row r="496" ht="30" customHeight="1" s="78">
      <c r="A496" s="73" t="inlineStr">
        <is>
          <t>QA-021</t>
        </is>
      </c>
      <c r="B496" s="73" t="n">
        <v>54</v>
      </c>
      <c r="C496" s="73" t="inlineStr">
        <is>
          <t>Physical robot or simulator</t>
        </is>
      </c>
      <c r="D496" s="73" t="inlineStr">
        <is>
          <t>NOT RUN</t>
        </is>
      </c>
      <c r="E496" s="73" t="inlineStr">
        <is>
          <t>Assignment 6 intentionally uses synthetic LaserScan messages and observable topic grading without simulation.</t>
        </is>
      </c>
    </row>
    <row r="497" ht="39.95" customHeight="1" s="78">
      <c r="A497" s="73" t="inlineStr">
        <is>
          <t>QA-021</t>
        </is>
      </c>
      <c r="B497" s="73" t="n">
        <v>55</v>
      </c>
      <c r="C497" s="73" t="inlineStr">
        <is>
          <t>Excel evidence synchronization</t>
        </is>
      </c>
      <c r="D497" s="73" t="inlineStr">
        <is>
          <t>BLOCKED</t>
        </is>
      </c>
      <c r="E497" s="73" t="inlineStr">
        <is>
          <t>Copy this report into the [master SQA checklist](../../sqa/Robotics_Programming_Lab_Master_SQA_Checklist.xlsx) when the approved spreadsheet runtime is available.</t>
        </is>
      </c>
    </row>
    <row r="498" ht="39.95" customHeight="1" s="78">
      <c r="A498" s="73" t="inlineStr">
        <is>
          <t>QA-022</t>
        </is>
      </c>
      <c r="B498" s="73" t="n">
        <v>32</v>
      </c>
      <c r="C498" s="73" t="inlineStr">
        <is>
          <t>P0</t>
        </is>
      </c>
      <c r="D498" s="73" t="inlineStr">
        <is>
          <t>PASS</t>
        </is>
      </c>
      <c r="E498" s="73" t="inlineStr">
        <is>
          <t>Assignment 4 was under-specified | Version 3 now defines every LIDAR reading, inverse-square density, the inclusive 80-100 degree search, and tie behavior. Focused classroom tests pass.</t>
        </is>
      </c>
    </row>
    <row r="499" ht="39.95" customHeight="1" s="78">
      <c r="A499" s="73" t="inlineStr">
        <is>
          <t>QA-022</t>
        </is>
      </c>
      <c r="B499" s="73" t="n">
        <v>33</v>
      </c>
      <c r="C499" s="73" t="inlineStr">
        <is>
          <t>P0</t>
        </is>
      </c>
      <c r="D499" s="73" t="inlineStr">
        <is>
          <t>PASS</t>
        </is>
      </c>
      <c r="E499" s="73" t="inlineStr">
        <is>
          <t>Assignment 2 had conflicting geometry | Version 3 now defines O, G, H, L, all rectangle corners, and the right-turn H-A-B-L route. Maintained answer passes 4/4 with a 12-unit total.</t>
        </is>
      </c>
    </row>
    <row r="500" ht="39.95" customHeight="1" s="78">
      <c r="A500" s="73" t="inlineStr">
        <is>
          <t>QA-022</t>
        </is>
      </c>
      <c r="B500" s="73" t="n">
        <v>34</v>
      </c>
      <c r="C500" s="73" t="inlineStr">
        <is>
          <t>P1</t>
        </is>
      </c>
      <c r="D500" s="73" t="inlineStr">
        <is>
          <t>PASS</t>
        </is>
      </c>
      <c r="E500" s="73" t="inlineStr">
        <is>
          <t>Assignment 3 was mathematically incomplete | Version 4 now defines both floor-5 routes, both floor-10 routes, wait/ride times, and the complete comparison. Maintained answer passes 8/8.</t>
        </is>
      </c>
    </row>
    <row r="501" ht="39.95" customHeight="1" s="78">
      <c r="A501" s="73" t="inlineStr">
        <is>
          <t>QA-022</t>
        </is>
      </c>
      <c r="B501" s="73" t="n">
        <v>35</v>
      </c>
      <c r="C501" s="73" t="inlineStr">
        <is>
          <t>P1</t>
        </is>
      </c>
      <c r="D501" s="73" t="inlineStr">
        <is>
          <t>PASS</t>
        </is>
      </c>
      <c r="E501" s="73" t="inlineStr">
        <is>
          <t>Assignment 1 used an invalid Bug2 leave point | Version 4 now uses H(4,11/3) and L(23/4,6), both on the S-to-G m-line, with L closer to G. Maintained answer passes 4/4.</t>
        </is>
      </c>
    </row>
    <row r="502" ht="54" customHeight="1" s="78">
      <c r="A502" s="73" t="inlineStr">
        <is>
          <t>QA-022</t>
        </is>
      </c>
      <c r="B502" s="73" t="n">
        <v>36</v>
      </c>
      <c r="C502" s="73" t="inlineStr">
        <is>
          <t>P1</t>
        </is>
      </c>
      <c r="D502" s="73" t="inlineStr">
        <is>
          <t>PASS</t>
        </is>
      </c>
      <c r="E502" s="73" t="inlineStr">
        <is>
          <t>Assignments 1-4 used generated generic learning metadata | Each assignment now has tailored objectives, a 100-point rubric, misconception tags, execution settings, and non-solution tutor rules. Metadata regression tests pass.</t>
        </is>
      </c>
    </row>
    <row r="503" ht="39.95" customHeight="1" s="78">
      <c r="A503" s="73" t="inlineStr">
        <is>
          <t>QA-022</t>
        </is>
      </c>
      <c r="B503" s="73" t="n">
        <v>37</v>
      </c>
      <c r="C503" s="73" t="inlineStr">
        <is>
          <t>P2</t>
        </is>
      </c>
      <c r="D503" s="73" t="inlineStr">
        <is>
          <t>BLOCKED</t>
        </is>
      </c>
      <c r="E503" s="73" t="inlineStr">
        <is>
          <t>Excel SQA workbook was behind Markdown | The required spreadsheet dependency loader was unavailable. The `.xlsx` was left unchanged to prevent corruption; this report records current results.</t>
        </is>
      </c>
    </row>
    <row r="504" ht="39.95" customHeight="1" s="78">
      <c r="A504" s="73" t="inlineStr">
        <is>
          <t>QA-022</t>
        </is>
      </c>
      <c r="B504" s="73" t="n">
        <v>38</v>
      </c>
      <c r="C504" s="73" t="inlineStr">
        <is>
          <t>P2</t>
        </is>
      </c>
      <c r="D504" s="73" t="inlineStr">
        <is>
          <t>PASS</t>
        </is>
      </c>
      <c r="E504" s="73" t="inlineStr">
        <is>
          <t>Obsolete Monaco editor files and dependency remained | Removed the unused iframe widget, JS bridge, CDN page, loader script, stale web code copies, and `code_editor` dependency. Flutter analyzer and 48 tests pass.</t>
        </is>
      </c>
    </row>
    <row r="505" ht="30" customHeight="1" s="78">
      <c r="A505" s="73" t="inlineStr">
        <is>
          <t>QA-022</t>
        </is>
      </c>
      <c r="B505" s="73" t="n">
        <v>39</v>
      </c>
      <c r="C505" s="73" t="inlineStr">
        <is>
          <t>P3</t>
        </is>
      </c>
      <c r="D505" s="73" t="inlineStr">
        <is>
          <t>PASS</t>
        </is>
      </c>
      <c r="E505" s="73" t="inlineStr">
        <is>
          <t>README contained a command typo | The AI-enabled local command is now `.\scripts\run-local.ps1 -EnableAi`.</t>
        </is>
      </c>
    </row>
    <row r="506" ht="30" customHeight="1" s="78">
      <c r="A506" s="73" t="inlineStr">
        <is>
          <t>QA-022</t>
        </is>
      </c>
      <c r="B506" s="73" t="n">
        <v>45</v>
      </c>
      <c r="C506" s="73" t="inlineStr">
        <is>
          <t>1</t>
        </is>
      </c>
      <c r="D506" s="73" t="inlineStr">
        <is>
          <t>PASS</t>
        </is>
      </c>
      <c r="E506" s="73" t="inlineStr">
        <is>
          <t>4 | 100%, 4/4 checks</t>
        </is>
      </c>
    </row>
    <row r="507" ht="30" customHeight="1" s="78">
      <c r="A507" s="73" t="inlineStr">
        <is>
          <t>QA-022</t>
        </is>
      </c>
      <c r="B507" s="73" t="n">
        <v>46</v>
      </c>
      <c r="C507" s="73" t="inlineStr">
        <is>
          <t>2</t>
        </is>
      </c>
      <c r="D507" s="73" t="inlineStr">
        <is>
          <t>PASS</t>
        </is>
      </c>
      <c r="E507" s="73" t="inlineStr">
        <is>
          <t>3 | 100%, 4/4 checks</t>
        </is>
      </c>
    </row>
    <row r="508" ht="30" customHeight="1" s="78">
      <c r="A508" s="73" t="inlineStr">
        <is>
          <t>QA-022</t>
        </is>
      </c>
      <c r="B508" s="73" t="n">
        <v>47</v>
      </c>
      <c r="C508" s="73" t="inlineStr">
        <is>
          <t>3</t>
        </is>
      </c>
      <c r="D508" s="73" t="inlineStr">
        <is>
          <t>PASS</t>
        </is>
      </c>
      <c r="E508" s="73" t="inlineStr">
        <is>
          <t>4 | 100%, 8/8 checks</t>
        </is>
      </c>
    </row>
    <row r="509" ht="30" customHeight="1" s="78">
      <c r="A509" s="73" t="inlineStr">
        <is>
          <t>QA-022</t>
        </is>
      </c>
      <c r="B509" s="73" t="n">
        <v>48</v>
      </c>
      <c r="C509" s="73" t="inlineStr">
        <is>
          <t>4</t>
        </is>
      </c>
      <c r="D509" s="73" t="inlineStr">
        <is>
          <t>PASS</t>
        </is>
      </c>
      <c r="E509" s="73" t="inlineStr">
        <is>
          <t>3 | 100%, 2/2 checks</t>
        </is>
      </c>
    </row>
    <row r="510" ht="30" customHeight="1" s="78">
      <c r="A510" s="73" t="inlineStr">
        <is>
          <t>QA-022</t>
        </is>
      </c>
      <c r="B510" s="73" t="n">
        <v>49</v>
      </c>
      <c r="C510" s="73" t="inlineStr">
        <is>
          <t>5</t>
        </is>
      </c>
      <c r="D510" s="73" t="inlineStr">
        <is>
          <t>PASS</t>
        </is>
      </c>
      <c r="E510" s="73" t="inlineStr">
        <is>
          <t>1 | ROS 2 Jazzy Docker grader, 7/7 checks</t>
        </is>
      </c>
    </row>
    <row r="511" ht="30" customHeight="1" s="78">
      <c r="A511" s="73" t="inlineStr">
        <is>
          <t>QA-022</t>
        </is>
      </c>
      <c r="B511" s="73" t="n">
        <v>50</v>
      </c>
      <c r="C511" s="73" t="inlineStr">
        <is>
          <t>6</t>
        </is>
      </c>
      <c r="D511" s="73" t="inlineStr">
        <is>
          <t>PASS</t>
        </is>
      </c>
      <c r="E511" s="73" t="inlineStr">
        <is>
          <t>1 | ROS 2 Jazzy Docker grader, 9/9 checks</t>
        </is>
      </c>
    </row>
    <row r="512" ht="30" customHeight="1" s="78">
      <c r="A512" s="73" t="inlineStr">
        <is>
          <t>QA-022</t>
        </is>
      </c>
      <c r="B512" s="73" t="n">
        <v>56</v>
      </c>
      <c r="C512" s="73" t="inlineStr">
        <is>
          <t>Backend regression suite</t>
        </is>
      </c>
      <c r="D512" s="73" t="inlineStr">
        <is>
          <t>PASS</t>
        </is>
      </c>
      <c r="E512" s="73" t="inlineStr">
        <is>
          <t>171 pytest tests passed</t>
        </is>
      </c>
    </row>
    <row r="513" ht="30" customHeight="1" s="78">
      <c r="A513" s="73" t="inlineStr">
        <is>
          <t>QA-022</t>
        </is>
      </c>
      <c r="B513" s="73" t="n">
        <v>57</v>
      </c>
      <c r="C513" s="73" t="inlineStr">
        <is>
          <t>Python dependency integrity</t>
        </is>
      </c>
      <c r="D513" s="73" t="inlineStr">
        <is>
          <t>PASS</t>
        </is>
      </c>
      <c r="E513" s="73" t="inlineStr">
        <is>
          <t>`pip check` found no broken requirements</t>
        </is>
      </c>
    </row>
    <row r="514" ht="30" customHeight="1" s="78">
      <c r="A514" s="73" t="inlineStr">
        <is>
          <t>QA-022</t>
        </is>
      </c>
      <c r="B514" s="73" t="n">
        <v>58</v>
      </c>
      <c r="C514" s="73" t="inlineStr">
        <is>
          <t>Python compilation</t>
        </is>
      </c>
      <c r="D514" s="73" t="inlineStr">
        <is>
          <t>PASS</t>
        </is>
      </c>
      <c r="E514" s="73" t="inlineStr">
        <is>
          <t>Backend `compileall` completed</t>
        </is>
      </c>
    </row>
    <row r="515" ht="30" customHeight="1" s="78">
      <c r="A515" s="73" t="inlineStr">
        <is>
          <t>QA-022</t>
        </is>
      </c>
      <c r="B515" s="73" t="n">
        <v>59</v>
      </c>
      <c r="C515" s="73" t="inlineStr">
        <is>
          <t>Flutter analysis</t>
        </is>
      </c>
      <c r="D515" s="73" t="inlineStr">
        <is>
          <t>PASS</t>
        </is>
      </c>
      <c r="E515" s="73" t="inlineStr">
        <is>
          <t>No issues found</t>
        </is>
      </c>
    </row>
    <row r="516" ht="30" customHeight="1" s="78">
      <c r="A516" s="73" t="inlineStr">
        <is>
          <t>QA-022</t>
        </is>
      </c>
      <c r="B516" s="73" t="n">
        <v>60</v>
      </c>
      <c r="C516" s="73" t="inlineStr">
        <is>
          <t>Flutter tests</t>
        </is>
      </c>
      <c r="D516" s="73" t="inlineStr">
        <is>
          <t>PASS</t>
        </is>
      </c>
      <c r="E516" s="73" t="inlineStr">
        <is>
          <t>48 tests passed</t>
        </is>
      </c>
    </row>
    <row r="517" ht="30" customHeight="1" s="78">
      <c r="A517" s="73" t="inlineStr">
        <is>
          <t>QA-022</t>
        </is>
      </c>
      <c r="B517" s="73" t="n">
        <v>61</v>
      </c>
      <c r="C517" s="73" t="inlineStr">
        <is>
          <t>Flutter web release build</t>
        </is>
      </c>
      <c r="D517" s="73" t="inlineStr">
        <is>
          <t>PASS</t>
        </is>
      </c>
      <c r="E517" s="73" t="inlineStr">
        <is>
          <t>OneDrive-safe release build completed</t>
        </is>
      </c>
    </row>
    <row r="518" ht="30" customHeight="1" s="78">
      <c r="A518" s="73" t="inlineStr">
        <is>
          <t>QA-022</t>
        </is>
      </c>
      <c r="B518" s="73" t="n">
        <v>62</v>
      </c>
      <c r="C518" s="73" t="inlineStr">
        <is>
          <t>Git whitespace</t>
        </is>
      </c>
      <c r="D518" s="73" t="inlineStr">
        <is>
          <t>PASS</t>
        </is>
      </c>
      <c r="E518" s="73" t="inlineStr">
        <is>
          <t>`git diff --check` completed without defects</t>
        </is>
      </c>
    </row>
    <row r="519" ht="30" customHeight="1" s="78">
      <c r="A519" s="73" t="inlineStr">
        <is>
          <t>QA-022</t>
        </is>
      </c>
      <c r="B519" s="73" t="n">
        <v>63</v>
      </c>
      <c r="C519" s="73" t="inlineStr">
        <is>
          <t>Backend health</t>
        </is>
      </c>
      <c r="D519" s="73" t="inlineStr">
        <is>
          <t>PASS</t>
        </is>
      </c>
      <c r="E519" s="73" t="inlineStr">
        <is>
          <t>API 5.0.0, SQLite, remote dedicated sandbox mode</t>
        </is>
      </c>
    </row>
    <row r="520" ht="30" customHeight="1" s="78">
      <c r="A520" s="73" t="inlineStr">
        <is>
          <t>QA-022</t>
        </is>
      </c>
      <c r="B520" s="73" t="n">
        <v>64</v>
      </c>
      <c r="C520" s="73" t="inlineStr">
        <is>
          <t>Sandbox health</t>
        </is>
      </c>
      <c r="D520" s="73" t="inlineStr">
        <is>
          <t>PASS</t>
        </is>
      </c>
      <c r="E520" s="73" t="inlineStr">
        <is>
          <t>Dedicated service returned `status: ok`</t>
        </is>
      </c>
    </row>
    <row r="521" ht="39.95" customHeight="1" s="78">
      <c r="A521" s="73" t="inlineStr">
        <is>
          <t>QA-022</t>
        </is>
      </c>
      <c r="B521" s="73" t="n">
        <v>65</v>
      </c>
      <c r="C521" s="73" t="inlineStr">
        <is>
          <t>Manual demo student flow</t>
        </is>
      </c>
      <c r="D521" s="73" t="inlineStr">
        <is>
          <t>PASS</t>
        </is>
      </c>
      <c r="E521" s="73" t="inlineStr">
        <is>
          <t>Login page, temporary demo, six-assignment catalog, corrected Assignment 1 instructions, starter run, structured 0/4 feedback, and AI-off default rendered correctly</t>
        </is>
      </c>
    </row>
    <row r="522" ht="30" customHeight="1" s="78">
      <c r="A522" s="73" t="inlineStr">
        <is>
          <t>QA-022</t>
        </is>
      </c>
      <c r="B522" s="73" t="n">
        <v>66</v>
      </c>
      <c r="C522" s="73" t="inlineStr">
        <is>
          <t>Manual instructor flow</t>
        </is>
      </c>
      <c r="D522" s="73" t="inlineStr">
        <is>
          <t>PASS</t>
        </is>
      </c>
      <c r="E522" s="73" t="inlineStr">
        <is>
          <t>Instructor login and six published assignment versions rendered in the assignment studio</t>
        </is>
      </c>
    </row>
    <row r="523" ht="30" customHeight="1" s="78">
      <c r="A523" s="73" t="inlineStr">
        <is>
          <t>QA-022</t>
        </is>
      </c>
      <c r="B523" s="73" t="n">
        <v>67</v>
      </c>
      <c r="C523" s="73" t="inlineStr">
        <is>
          <t>Assignment 2 notebook consistency</t>
        </is>
      </c>
      <c r="D523" s="73" t="inlineStr">
        <is>
          <t>PASS</t>
        </is>
      </c>
      <c r="E523" s="73" t="inlineStr">
        <is>
          <t>Stale perimeter name and retired route description were replaced; notebook JSON validates</t>
        </is>
      </c>
    </row>
    <row r="524" ht="39.95" customHeight="1" s="78">
      <c r="A524" s="73" t="inlineStr">
        <is>
          <t>QA-022</t>
        </is>
      </c>
      <c r="B524" s="73" t="n">
        <v>73</v>
      </c>
      <c r="C524" s="73" t="inlineStr">
        <is>
          <t>QA-CONTENT-01</t>
        </is>
      </c>
      <c r="D524" s="73" t="inlineStr">
        <is>
          <t>PASS, 44/44 focused API tests</t>
        </is>
      </c>
      <c r="E524" s="73" t="inlineStr">
        <is>
          <t>Four API tests expected retired answer/version values | Updated assertions to the new published assignment versions and 12-unit Assignment 2 result</t>
        </is>
      </c>
    </row>
    <row r="525" ht="30" customHeight="1" s="78">
      <c r="A525" s="73" t="inlineStr">
        <is>
          <t>QA-022</t>
        </is>
      </c>
      <c r="B525" s="73" t="n">
        <v>74</v>
      </c>
      <c r="C525" s="73" t="inlineStr">
        <is>
          <t>QA-CONTENT-02</t>
        </is>
      </c>
      <c r="D525" s="73" t="inlineStr">
        <is>
          <t>PASS, complete verification gate</t>
        </is>
      </c>
      <c r="E525" s="73" t="inlineStr">
        <is>
          <t>Seven edited teaching files failed whitespace validation | Removed trailing spaces and extra EOF blank lines</t>
        </is>
      </c>
    </row>
    <row r="526" ht="39.95" customHeight="1" s="78">
      <c r="A526" s="73" t="inlineStr">
        <is>
          <t>QA-022</t>
        </is>
      </c>
      <c r="B526" s="73" t="n">
        <v>75</v>
      </c>
      <c r="C526" s="73" t="inlineStr">
        <is>
          <t>QA-CONTENT-03</t>
        </is>
      </c>
      <c r="D526" s="73" t="inlineStr">
        <is>
          <t>PASS, JSON and stale-text scan</t>
        </is>
      </c>
      <c r="E526" s="73" t="inlineStr">
        <is>
          <t>Assignment 2 notebook still described a full-perimeter route | Added hit/leave points and aligned the variable/route with H-A-B-L</t>
        </is>
      </c>
    </row>
    <row r="527" ht="39.95" customHeight="1" s="78">
      <c r="A527" s="73" t="inlineStr">
        <is>
          <t>QA-023</t>
        </is>
      </c>
      <c r="B527" s="73" t="n">
        <v>17</v>
      </c>
      <c r="C527" s="73" t="inlineStr">
        <is>
          <t>Assignment JSON validation</t>
        </is>
      </c>
      <c r="D527" s="73" t="inlineStr">
        <is>
          <t>PASS</t>
        </is>
      </c>
      <c r="E527" s="73" t="inlineStr">
        <is>
          <t>Valid and malformed contract tests | Assignments use versioned structured fields; duplicate test IDs and invalid rubric weights are rejected</t>
        </is>
      </c>
    </row>
    <row r="528" ht="39.95" customHeight="1" s="78">
      <c r="A528" s="73" t="inlineStr">
        <is>
          <t>QA-023</t>
        </is>
      </c>
      <c r="B528" s="73" t="n">
        <v>18</v>
      </c>
      <c r="C528" s="73" t="inlineStr">
        <is>
          <t>Assignments 1-6 compatibility</t>
        </is>
      </c>
      <c r="D528" s="73" t="inlineStr">
        <is>
          <t>PASS</t>
        </is>
      </c>
      <c r="E528" s="73" t="inlineStr">
        <is>
          <t>Seed repository test | All six assignments loaded with their existing content versions and data schema version `1`</t>
        </is>
      </c>
    </row>
    <row r="529" ht="39.95" customHeight="1" s="78">
      <c r="A529" s="73" t="inlineStr">
        <is>
          <t>QA-023</t>
        </is>
      </c>
      <c r="B529" s="73" t="n">
        <v>19</v>
      </c>
      <c r="C529" s="73" t="inlineStr">
        <is>
          <t>Execution status vocabulary</t>
        </is>
      </c>
      <c r="D529" s="73" t="inlineStr">
        <is>
          <t>PASS</t>
        </is>
      </c>
      <c r="E529" s="73" t="inlineStr">
        <is>
          <t>Classification unit tests and local Assignment 1 run | Stable statuses cover completed, syntax, runtime, timeout, rejection, grader unavailable, internal, and legacy errors</t>
        </is>
      </c>
    </row>
    <row r="530" ht="39.95" customHeight="1" s="78">
      <c r="A530" s="73" t="inlineStr">
        <is>
          <t>QA-023</t>
        </is>
      </c>
      <c r="B530" s="73" t="n">
        <v>20</v>
      </c>
      <c r="C530" s="73" t="inlineStr">
        <is>
          <t>Learning-event vocabulary</t>
        </is>
      </c>
      <c r="D530" s="73" t="inlineStr">
        <is>
          <t>PASS</t>
        </is>
      </c>
      <c r="E530" s="73" t="inlineStr">
        <is>
          <t>Contract and research API tests | Only eight documented event types and their approved metadata fields are accepted</t>
        </is>
      </c>
    </row>
    <row r="531" ht="39.95" customHeight="1" s="78">
      <c r="A531" s="73" t="inlineStr">
        <is>
          <t>QA-023</t>
        </is>
      </c>
      <c r="B531" s="73" t="n">
        <v>21</v>
      </c>
      <c r="C531" s="73" t="inlineStr">
        <is>
          <t>Assignment-version integrity</t>
        </is>
      </c>
      <c r="D531" s="73" t="inlineStr">
        <is>
          <t>PASS</t>
        </is>
      </c>
      <c r="E531" s="73" t="inlineStr">
        <is>
          <t>Request, service, database, and migration tests | Assignment ID/version pairs are required and positive-version constraints are present</t>
        </is>
      </c>
    </row>
    <row r="532" ht="39.95" customHeight="1" s="78">
      <c r="A532" s="73" t="inlineStr">
        <is>
          <t>QA-023</t>
        </is>
      </c>
      <c r="B532" s="73" t="n">
        <v>22</v>
      </c>
      <c r="C532" s="73" t="inlineStr">
        <is>
          <t>Existing-data migration</t>
        </is>
      </c>
      <c r="D532" s="73" t="inlineStr">
        <is>
          <t>PASS</t>
        </is>
      </c>
      <c r="E532" s="73" t="inlineStr">
        <is>
          <t>Alembic fresh, previous-head upgrade, downgrade, and recovery tests | Migration `0003_standardize_existing_data` backfills without deleting research rows</t>
        </is>
      </c>
    </row>
    <row r="533" ht="30" customHeight="1" s="78">
      <c r="A533" s="73" t="inlineStr">
        <is>
          <t>QA-023</t>
        </is>
      </c>
      <c r="B533" s="73" t="n">
        <v>23</v>
      </c>
      <c r="C533" s="73" t="inlineStr">
        <is>
          <t>Safe validation errors</t>
        </is>
      </c>
      <c r="D533" s="73" t="inlineStr">
        <is>
          <t>PASS</t>
        </is>
      </c>
      <c r="E533" s="73" t="inlineStr">
        <is>
          <t>Invalid cross-field request test | API returns serializable details without echoing submitted values</t>
        </is>
      </c>
    </row>
    <row r="534" ht="39.95" customHeight="1" s="78">
      <c r="A534" s="73" t="inlineStr">
        <is>
          <t>QA-023</t>
        </is>
      </c>
      <c r="B534" s="73" t="n">
        <v>24</v>
      </c>
      <c r="C534" s="73" t="inlineStr">
        <is>
          <t>Research privacy</t>
        </is>
      </c>
      <c r="D534" s="73" t="inlineStr">
        <is>
          <t>PASS</t>
        </is>
      </c>
      <c r="E534" s="73" t="inlineStr">
        <is>
          <t>Research regression tests | Code, login IDs, passwords, and arbitrary event metadata remain absent from exports/events</t>
        </is>
      </c>
    </row>
    <row r="535" ht="30" customHeight="1" s="78">
      <c r="A535" s="73" t="inlineStr">
        <is>
          <t>QA-023</t>
        </is>
      </c>
      <c r="B535" s="73" t="n">
        <v>25</v>
      </c>
      <c r="C535" s="73" t="inlineStr">
        <is>
          <t>Backend regression</t>
        </is>
      </c>
      <c r="D535" s="73" t="inlineStr">
        <is>
          <t>PASS</t>
        </is>
      </c>
      <c r="E535" s="73" t="inlineStr">
        <is>
          <t>Complete backend suite | 127 pytest tests passed</t>
        </is>
      </c>
    </row>
    <row r="536" ht="30" customHeight="1" s="78">
      <c r="A536" s="73" t="inlineStr">
        <is>
          <t>QA-023</t>
        </is>
      </c>
      <c r="B536" s="73" t="n">
        <v>26</v>
      </c>
      <c r="C536" s="73" t="inlineStr">
        <is>
          <t>Python dependencies</t>
        </is>
      </c>
      <c r="D536" s="73" t="inlineStr">
        <is>
          <t>PASS</t>
        </is>
      </c>
      <c r="E536" s="73" t="inlineStr">
        <is>
          <t>`pip check` | No broken requirements found</t>
        </is>
      </c>
    </row>
    <row r="537" ht="30" customHeight="1" s="78">
      <c r="A537" s="73" t="inlineStr">
        <is>
          <t>QA-023</t>
        </is>
      </c>
      <c r="B537" s="73" t="n">
        <v>27</v>
      </c>
      <c r="C537" s="73" t="inlineStr">
        <is>
          <t>Python compilation</t>
        </is>
      </c>
      <c r="D537" s="73" t="inlineStr">
        <is>
          <t>PASS</t>
        </is>
      </c>
      <c r="E537" s="73" t="inlineStr">
        <is>
          <t>`compileall` | Backend compiled successfully</t>
        </is>
      </c>
    </row>
    <row r="538" ht="30" customHeight="1" s="78">
      <c r="A538" s="73" t="inlineStr">
        <is>
          <t>QA-023</t>
        </is>
      </c>
      <c r="B538" s="73" t="n">
        <v>28</v>
      </c>
      <c r="C538" s="73" t="inlineStr">
        <is>
          <t>Flutter static analysis</t>
        </is>
      </c>
      <c r="D538" s="73" t="inlineStr">
        <is>
          <t>PASS</t>
        </is>
      </c>
      <c r="E538" s="73" t="inlineStr">
        <is>
          <t>OneDrive-safe analyzer | No issues found</t>
        </is>
      </c>
    </row>
    <row r="539" ht="30" customHeight="1" s="78">
      <c r="A539" s="73" t="inlineStr">
        <is>
          <t>QA-023</t>
        </is>
      </c>
      <c r="B539" s="73" t="n">
        <v>29</v>
      </c>
      <c r="C539" s="73" t="inlineStr">
        <is>
          <t>Flutter regression</t>
        </is>
      </c>
      <c r="D539" s="73" t="inlineStr">
        <is>
          <t>PASS</t>
        </is>
      </c>
      <c r="E539" s="73" t="inlineStr">
        <is>
          <t>Complete Flutter suite | 43 tests passed</t>
        </is>
      </c>
    </row>
    <row r="540" ht="30" customHeight="1" s="78">
      <c r="A540" s="73" t="inlineStr">
        <is>
          <t>QA-023</t>
        </is>
      </c>
      <c r="B540" s="73" t="n">
        <v>30</v>
      </c>
      <c r="C540" s="73" t="inlineStr">
        <is>
          <t>Flutter release build</t>
        </is>
      </c>
      <c r="D540" s="73" t="inlineStr">
        <is>
          <t>PASS</t>
        </is>
      </c>
      <c r="E540" s="73" t="inlineStr">
        <is>
          <t>Production-style web compilation | Release web build completed successfully</t>
        </is>
      </c>
    </row>
    <row r="541" ht="30" customHeight="1" s="78">
      <c r="A541" s="73" t="inlineStr">
        <is>
          <t>QA-023</t>
        </is>
      </c>
      <c r="B541" s="73" t="n">
        <v>31</v>
      </c>
      <c r="C541" s="73" t="inlineStr">
        <is>
          <t>Local migration</t>
        </is>
      </c>
      <c r="D541" s="73" t="inlineStr">
        <is>
          <t>PASS</t>
        </is>
      </c>
      <c r="E541" s="73" t="inlineStr">
        <is>
          <t>Started managed local stack | Existing local SQLite upgraded from `0002` to `0003`</t>
        </is>
      </c>
    </row>
    <row r="542" ht="30" customHeight="1" s="78">
      <c r="A542" s="73" t="inlineStr">
        <is>
          <t>QA-023</t>
        </is>
      </c>
      <c r="B542" s="73" t="n">
        <v>32</v>
      </c>
      <c r="C542" s="73" t="inlineStr">
        <is>
          <t>Local frontend/API/sandbox</t>
        </is>
      </c>
      <c r="D542" s="73" t="inlineStr">
        <is>
          <t>PASS</t>
        </is>
      </c>
      <c r="E542" s="73" t="inlineStr">
        <is>
          <t>HTTP and managed health checks | Frontend returned 200; backend and sandbox returned `ok`</t>
        </is>
      </c>
    </row>
    <row r="543" ht="30" customHeight="1" s="78">
      <c r="A543" s="73" t="inlineStr">
        <is>
          <t>QA-023</t>
        </is>
      </c>
      <c r="B543" s="73" t="n">
        <v>33</v>
      </c>
      <c r="C543" s="73" t="inlineStr">
        <is>
          <t>AI default</t>
        </is>
      </c>
      <c r="D543" s="73" t="inlineStr">
        <is>
          <t>PASS</t>
        </is>
      </c>
      <c r="E543" s="73" t="inlineStr">
        <is>
          <t>Managed launcher and Assignment 1 run | AI remained disabled and grading completed normally</t>
        </is>
      </c>
    </row>
    <row r="544" ht="54" customHeight="1" s="78">
      <c r="A544" s="73" t="inlineStr">
        <is>
          <t>QA-023</t>
        </is>
      </c>
      <c r="B544" s="73" t="n">
        <v>34</v>
      </c>
      <c r="C544" s="73" t="inlineStr">
        <is>
          <t>Manual rendered browser walkthrough</t>
        </is>
      </c>
      <c r="D544" s="73" t="inlineStr">
        <is>
          <t>PASS</t>
        </is>
      </c>
      <c r="E544" s="73" t="inlineStr">
        <is>
          <t>Desktop and mobile demo plus authenticated student/instructor roles | Login, six-assignment catalog, grading, saved student progress, assignment studio, account management, research dashboard, and assignment editor rendered and responded correctly</t>
        </is>
      </c>
    </row>
    <row r="545" ht="30" customHeight="1" s="78">
      <c r="A545" s="73" t="inlineStr">
        <is>
          <t>QA-023</t>
        </is>
      </c>
      <c r="B545" s="73" t="n">
        <v>35</v>
      </c>
      <c r="C545" s="73" t="inlineStr">
        <is>
          <t>Git whitespace</t>
        </is>
      </c>
      <c r="D545" s="73" t="inlineStr">
        <is>
          <t>PASS</t>
        </is>
      </c>
      <c r="E545" s="73" t="inlineStr">
        <is>
          <t>`git diff --check` | No whitespace errors; Windows line-ending notices are informational</t>
        </is>
      </c>
    </row>
    <row r="546" ht="39.95" customHeight="1" s="78">
      <c r="A546" s="73" t="inlineStr">
        <is>
          <t>QA-023</t>
        </is>
      </c>
      <c r="B546" s="73" t="n">
        <v>49</v>
      </c>
      <c r="C546" s="73" t="inlineStr">
        <is>
          <t>Separate staging PostgreSQL parity test</t>
        </is>
      </c>
      <c r="D546" s="73" t="inlineStr">
        <is>
          <t>NOT RUN</t>
        </is>
      </c>
      <c r="E546" s="73" t="inlineStr">
        <is>
          <t>This implementation used the ordinary ignored local SQLite database. Run the same Alembic migration and persistence checks against the approved separate staging PostgreSQL database before a release candidate is promoted.</t>
        </is>
      </c>
    </row>
    <row r="547" ht="30" customHeight="1" s="78">
      <c r="A547" s="73" t="inlineStr">
        <is>
          <t>QA-023</t>
        </is>
      </c>
      <c r="B547" s="73" t="n">
        <v>50</v>
      </c>
      <c r="C547" s="73" t="inlineStr">
        <is>
          <t>Production deployment or live SQA</t>
        </is>
      </c>
      <c r="D547" s="73" t="inlineStr">
        <is>
          <t>NOT RUN</t>
        </is>
      </c>
      <c r="E547" s="73" t="inlineStr">
        <is>
          <t>The user restricted this work to staging. Production was intentionally untouched.</t>
        </is>
      </c>
    </row>
    <row r="548" ht="30" customHeight="1" s="78">
      <c r="A548" s="73" t="inlineStr">
        <is>
          <t>QA-023</t>
        </is>
      </c>
      <c r="B548" s="73" t="n">
        <v>51</v>
      </c>
      <c r="C548" s="73" t="inlineStr">
        <is>
          <t>Paid OpenAI response</t>
        </is>
      </c>
      <c r="D548" s="73" t="inlineStr">
        <is>
          <t>NOT RUN</t>
        </is>
      </c>
      <c r="E548" s="73" t="inlineStr">
        <is>
          <t>Stage 1 standardizes existing data; AI remains optional and disabled by default.</t>
        </is>
      </c>
    </row>
    <row r="549" ht="39.95" customHeight="1" s="78">
      <c r="A549" s="73" t="inlineStr">
        <is>
          <t>QA-024</t>
        </is>
      </c>
      <c r="B549" s="73" t="n">
        <v>29</v>
      </c>
      <c r="C549" s="73" t="inlineStr">
        <is>
          <t>DEMO-001</t>
        </is>
      </c>
      <c r="D549" s="73" t="inlineStr">
        <is>
          <t>PASS</t>
        </is>
      </c>
      <c r="E549" s="73" t="inlineStr">
        <is>
          <t>Public demo entry | A visitor can start without credentials | Rendered login shows **Try the student demo** and no credential values</t>
        </is>
      </c>
    </row>
    <row r="550" ht="39.95" customHeight="1" s="78">
      <c r="A550" s="73" t="inlineStr">
        <is>
          <t>QA-024</t>
        </is>
      </c>
      <c r="B550" s="73" t="n">
        <v>30</v>
      </c>
      <c r="C550" s="73" t="inlineStr">
        <is>
          <t>DEMO-002</t>
        </is>
      </c>
      <c r="D550" s="73" t="inlineStr">
        <is>
          <t>PASS</t>
        </is>
      </c>
      <c r="E550" s="73" t="inlineStr">
        <is>
          <t>Student capability parity | Demo can list, open, edit, run, submit, request hints, and unlock solutions | API workflow and rendered Assignment 2 run completed normally</t>
        </is>
      </c>
    </row>
    <row r="551" ht="39.95" customHeight="1" s="78">
      <c r="A551" s="73" t="inlineStr">
        <is>
          <t>QA-024</t>
        </is>
      </c>
      <c r="B551" s="73" t="n">
        <v>31</v>
      </c>
      <c r="C551" s="73" t="inlineStr">
        <is>
          <t>DEMO-003</t>
        </is>
      </c>
      <c r="D551" s="73" t="inlineStr">
        <is>
          <t>PASS</t>
        </is>
      </c>
      <c r="E551" s="73" t="inlineStr">
        <is>
          <t>Assignment inventory | Staging retains Assignments 1–6, including ROS Assignments 5 and 6 | Rendered catalog and backend inventory matched</t>
        </is>
      </c>
    </row>
    <row r="552" ht="39.95" customHeight="1" s="78">
      <c r="A552" s="73" t="inlineStr">
        <is>
          <t>QA-024</t>
        </is>
      </c>
      <c r="B552" s="73" t="n">
        <v>32</v>
      </c>
      <c r="C552" s="73" t="inlineStr">
        <is>
          <t>DEMO-004</t>
        </is>
      </c>
      <c r="D552" s="73" t="inlineStr">
        <is>
          <t>PASS</t>
        </is>
      </c>
      <c r="E552" s="73" t="inlineStr">
        <is>
          <t>Authentication persistence | No demo token is stored in browser preferences | Flutter policy test passed; restore rejects legacy demo tokens</t>
        </is>
      </c>
    </row>
    <row r="553" ht="39.95" customHeight="1" s="78">
      <c r="A553" s="73" t="inlineStr">
        <is>
          <t>QA-024</t>
        </is>
      </c>
      <c r="B553" s="73" t="n">
        <v>33</v>
      </c>
      <c r="C553" s="73" t="inlineStr">
        <is>
          <t>DEMO-005</t>
        </is>
      </c>
      <c r="D553" s="73" t="inlineStr">
        <is>
          <t>PASS</t>
        </is>
      </c>
      <c r="E553" s="73" t="inlineStr">
        <is>
          <t>Learning-progress persistence | Demo drafts, scores, attempts, submission IDs, and solution state stay in memory | Flutter store test proved saved student data is unchanged and demo data disappears on reload</t>
        </is>
      </c>
    </row>
    <row r="554" ht="39.95" customHeight="1" s="78">
      <c r="A554" s="73" t="inlineStr">
        <is>
          <t>QA-024</t>
        </is>
      </c>
      <c r="B554" s="73" t="n">
        <v>34</v>
      </c>
      <c r="C554" s="73" t="inlineStr">
        <is>
          <t>DEMO-006</t>
        </is>
      </c>
      <c r="D554" s="73" t="inlineStr">
        <is>
          <t>PASS</t>
        </is>
      </c>
      <c r="E554" s="73" t="inlineStr">
        <is>
          <t>Server persistence | Demo creates no auth-session, submission, hint, research-session, or audit rows | Focused API test compared all five database table counts before and after a run/hint/solution workflow</t>
        </is>
      </c>
    </row>
    <row r="555" ht="30" customHeight="1" s="78">
      <c r="A555" s="73" t="inlineStr">
        <is>
          <t>QA-024</t>
        </is>
      </c>
      <c r="B555" s="73" t="n">
        <v>35</v>
      </c>
      <c r="C555" s="73" t="inlineStr">
        <is>
          <t>DEMO-007</t>
        </is>
      </c>
      <c r="D555" s="73" t="inlineStr">
        <is>
          <t>PASS</t>
        </is>
      </c>
      <c r="E555" s="73" t="inlineStr">
        <is>
          <t>Browser refresh | Refresh resets the demo | Rendered `/app` refresh returned to login with no restored attempt</t>
        </is>
      </c>
    </row>
    <row r="556" ht="39.95" customHeight="1" s="78">
      <c r="A556" s="73" t="inlineStr">
        <is>
          <t>QA-024</t>
        </is>
      </c>
      <c r="B556" s="73" t="n">
        <v>36</v>
      </c>
      <c r="C556" s="73" t="inlineStr">
        <is>
          <t>DEMO-008</t>
        </is>
      </c>
      <c r="D556" s="73" t="inlineStr">
        <is>
          <t>PASS</t>
        </is>
      </c>
      <c r="E556" s="73" t="inlineStr">
        <is>
          <t>Cross-session isolation | One demo session cannot access another session's submission | Foreign hint returned 404 and foreign solution returned 403</t>
        </is>
      </c>
    </row>
    <row r="557" ht="39.95" customHeight="1" s="78">
      <c r="A557" s="73" t="inlineStr">
        <is>
          <t>QA-024</t>
        </is>
      </c>
      <c r="B557" s="73" t="n">
        <v>37</v>
      </c>
      <c r="C557" s="73" t="inlineStr">
        <is>
          <t>DEMO-009</t>
        </is>
      </c>
      <c r="D557" s="73" t="inlineStr">
        <is>
          <t>PASS</t>
        </is>
      </c>
      <c r="E557" s="73" t="inlineStr">
        <is>
          <t>Logout | Logout revokes the in-memory token and session data | Logout returned 200; subsequent `/auth/me` returned 401</t>
        </is>
      </c>
    </row>
    <row r="558" ht="39.95" customHeight="1" s="78">
      <c r="A558" s="73" t="inlineStr">
        <is>
          <t>QA-024</t>
        </is>
      </c>
      <c r="B558" s="73" t="n">
        <v>38</v>
      </c>
      <c r="C558" s="73" t="inlineStr">
        <is>
          <t>DEMO-010</t>
        </is>
      </c>
      <c r="D558" s="73" t="inlineStr">
        <is>
          <t>PASS</t>
        </is>
      </c>
      <c r="E558" s="73" t="inlineStr">
        <is>
          <t>Research integrity | Demo activity is excluded from permanent study capture | Demo research-session creation returned 409; frontend does not start the tracker</t>
        </is>
      </c>
    </row>
    <row r="559" ht="30" customHeight="1" s="78">
      <c r="A559" s="73" t="inlineStr">
        <is>
          <t>QA-024</t>
        </is>
      </c>
      <c r="B559" s="73" t="n">
        <v>39</v>
      </c>
      <c r="C559" s="73" t="inlineStr">
        <is>
          <t>DEMO-011</t>
        </is>
      </c>
      <c r="D559" s="73" t="inlineStr">
        <is>
          <t>PASS</t>
        </is>
      </c>
      <c r="E559" s="73" t="inlineStr">
        <is>
          <t>AI default | AI is available but off by default | Rendered assignment toolbar showed the AI toggle off</t>
        </is>
      </c>
    </row>
    <row r="560" ht="30" customHeight="1" s="78">
      <c r="A560" s="73" t="inlineStr">
        <is>
          <t>QA-024</t>
        </is>
      </c>
      <c r="B560" s="73" t="n">
        <v>40</v>
      </c>
      <c r="C560" s="73" t="inlineStr">
        <is>
          <t>DEMO-012</t>
        </is>
      </c>
      <c r="D560" s="73" t="inlineStr">
        <is>
          <t>PASS</t>
        </is>
      </c>
      <c r="E560" s="73" t="inlineStr">
        <is>
          <t>Backend regression | Existing backend behavior remains green | 115 backend tests passed</t>
        </is>
      </c>
    </row>
    <row r="561" ht="39.95" customHeight="1" s="78">
      <c r="A561" s="73" t="inlineStr">
        <is>
          <t>QA-024</t>
        </is>
      </c>
      <c r="B561" s="73" t="n">
        <v>41</v>
      </c>
      <c r="C561" s="73" t="inlineStr">
        <is>
          <t>DEMO-013</t>
        </is>
      </c>
      <c r="D561" s="73" t="inlineStr">
        <is>
          <t>PASS</t>
        </is>
      </c>
      <c r="E561" s="73" t="inlineStr">
        <is>
          <t>Frontend regression | Analyzer, all Flutter tests, and release web build pass | Zero analyzer findings, 43 Flutter tests passed, release build succeeded</t>
        </is>
      </c>
    </row>
    <row r="562" ht="39.95" customHeight="1" s="78">
      <c r="A562" s="73" t="inlineStr">
        <is>
          <t>QA-024</t>
        </is>
      </c>
      <c r="B562" s="73" t="n">
        <v>42</v>
      </c>
      <c r="C562" s="73" t="inlineStr">
        <is>
          <t>DEMO-014</t>
        </is>
      </c>
      <c r="D562" s="73" t="inlineStr">
        <is>
          <t>PASS</t>
        </is>
      </c>
      <c r="E562" s="73" t="inlineStr">
        <is>
          <t>Dependency integrity | Installed backend dependencies are consistent | `pip check` reported no broken requirements</t>
        </is>
      </c>
    </row>
    <row r="563" ht="54" customHeight="1" s="78">
      <c r="A563" s="73" t="inlineStr">
        <is>
          <t>QA-024</t>
        </is>
      </c>
      <c r="B563" s="73" t="n">
        <v>43</v>
      </c>
      <c r="C563" s="73" t="inlineStr">
        <is>
          <t>DEMO-015</t>
        </is>
      </c>
      <c r="D563" s="73" t="inlineStr">
        <is>
          <t>PASS</t>
        </is>
      </c>
      <c r="E563" s="73" t="inlineStr">
        <is>
          <t>Password student classification | Logging in with the default student ID and password creates a persistent student session, not a demo | Local API login and `/auth/me` both returned `is_demo=false`; an auth-session row was created</t>
        </is>
      </c>
    </row>
    <row r="564" ht="39.95" customHeight="1" s="78">
      <c r="A564" s="73" t="inlineStr">
        <is>
          <t>QA-024</t>
        </is>
      </c>
      <c r="B564" s="73" t="n">
        <v>44</v>
      </c>
      <c r="C564" s="73" t="inlineStr">
        <is>
          <t>DEMO-016</t>
        </is>
      </c>
      <c r="D564" s="73" t="inlineStr">
        <is>
          <t>PASS</t>
        </is>
      </c>
      <c r="E564" s="73" t="inlineStr">
        <is>
          <t>Student analytics availability | A password-authenticated student can open saved study analytics | Local `/research/me` returned HTTP 200; Flutter account-menu test displayed **My study progress**</t>
        </is>
      </c>
    </row>
    <row r="565" ht="54" customHeight="1" s="78">
      <c r="A565" s="73" t="inlineStr">
        <is>
          <t>QA-024</t>
        </is>
      </c>
      <c r="B565" s="73" t="n">
        <v>45</v>
      </c>
      <c r="C565" s="73" t="inlineStr">
        <is>
          <t>DEMO-017</t>
        </is>
      </c>
      <c r="D565" s="73" t="inlineStr">
        <is>
          <t>PASS</t>
        </is>
      </c>
      <c r="E565" s="73" t="inlineStr">
        <is>
          <t>Existing-database correction | Restarting an older database removes the obsolete demo flag from password accounts | Startup migration test corrected both default accounts; the real staging database returned `is_demo=false` after restart</t>
        </is>
      </c>
    </row>
    <row r="566" ht="39.95" customHeight="1" s="78">
      <c r="A566" s="73" t="inlineStr">
        <is>
          <t>QA-024</t>
        </is>
      </c>
      <c r="B566" s="73" t="n">
        <v>46</v>
      </c>
      <c r="C566" s="73" t="inlineStr">
        <is>
          <t>DEMO-018</t>
        </is>
      </c>
      <c r="D566" s="73" t="inlineStr">
        <is>
          <t>PASS</t>
        </is>
      </c>
      <c r="E566" s="73" t="inlineStr">
        <is>
          <t>Demo analytics isolation | A temporary demo must not read the password student's saved analytics | Demo `/auth/me` returned `is_demo=true`; demo `/research/me` returned HTTP 409</t>
        </is>
      </c>
    </row>
    <row r="567" ht="54" customHeight="1" s="78">
      <c r="A567" s="73" t="inlineStr">
        <is>
          <t>QA-024</t>
        </is>
      </c>
      <c r="B567" s="73" t="n">
        <v>64</v>
      </c>
      <c r="C567" s="73" t="inlineStr">
        <is>
          <t>Excel master SQA workbook update</t>
        </is>
      </c>
      <c r="D567" s="73" t="inlineStr">
        <is>
          <t>BLOCKED</t>
        </is>
      </c>
      <c r="E567" s="73" t="inlineStr">
        <is>
          <t>The required bundled spreadsheet authoring runtime is not exposed in this Codex session. This Markdown report contains the current evidence; the `.xlsx` remains unchanged rather than being rewritten through an unsupported library.</t>
        </is>
      </c>
    </row>
    <row r="568" ht="30" customHeight="1" s="78">
      <c r="A568" s="73" t="inlineStr">
        <is>
          <t>QA-024</t>
        </is>
      </c>
      <c r="B568" s="73" t="n">
        <v>65</v>
      </c>
      <c r="C568" s="73" t="inlineStr">
        <is>
          <t>Git commit and remote push</t>
        </is>
      </c>
      <c r="D568" s="73" t="inlineStr">
        <is>
          <t>PENDING</t>
        </is>
      </c>
      <c r="E568" s="73" t="inlineStr">
        <is>
          <t>Perform only after final diff, secret, generated-file, and assignment-separation review.</t>
        </is>
      </c>
    </row>
    <row r="569" ht="30" customHeight="1" s="78">
      <c r="A569" s="73" t="inlineStr">
        <is>
          <t>QA-024</t>
        </is>
      </c>
      <c r="B569" s="73" t="n">
        <v>66</v>
      </c>
      <c r="C569" s="73" t="inlineStr">
        <is>
          <t>Deployed production smoke test</t>
        </is>
      </c>
      <c r="D569" s="73" t="inlineStr">
        <is>
          <t>NOT RUN</t>
        </is>
      </c>
      <c r="E569" s="73" t="inlineStr">
        <is>
          <t>Run after the live repository commit is intentionally pushed and Render/Vercel finish deployment.</t>
        </is>
      </c>
    </row>
    <row r="570" ht="30" customHeight="1" s="78">
      <c r="A570" s="73" t="inlineStr">
        <is>
          <t>QA-025</t>
        </is>
      </c>
      <c r="B570" s="73" t="n">
        <v>25</v>
      </c>
      <c r="C570" s="73" t="inlineStr">
        <is>
          <t>PY314-001</t>
        </is>
      </c>
      <c r="D570" s="73" t="inlineStr">
        <is>
          <t>PASS</t>
        </is>
      </c>
      <c r="E570" s="73" t="inlineStr">
        <is>
          <t>Official Python 3.14 is installed | `py -3.14 --version` returned `Python 3.14.7`.</t>
        </is>
      </c>
    </row>
    <row r="571" ht="30" customHeight="1" s="78">
      <c r="A571" s="73" t="inlineStr">
        <is>
          <t>QA-025</t>
        </is>
      </c>
      <c r="B571" s="73" t="n">
        <v>26</v>
      </c>
      <c r="C571" s="73" t="inlineStr">
        <is>
          <t>PY314-002</t>
        </is>
      </c>
      <c r="D571" s="73" t="inlineStr">
        <is>
          <t>PASS</t>
        </is>
      </c>
      <c r="E571" s="73" t="inlineStr">
        <is>
          <t>Shared environment uses Python 3.14 | `venv/Scripts/python.exe` returned Python 3.14.7, AMD64.</t>
        </is>
      </c>
    </row>
    <row r="572" ht="39.95" customHeight="1" s="78">
      <c r="A572" s="73" t="inlineStr">
        <is>
          <t>QA-025</t>
        </is>
      </c>
      <c r="B572" s="73" t="n">
        <v>27</v>
      </c>
      <c r="C572" s="73" t="inlineStr">
        <is>
          <t>PY314-003</t>
        </is>
      </c>
      <c r="D572" s="73" t="inlineStr">
        <is>
          <t>PASS</t>
        </is>
      </c>
      <c r="E572" s="73" t="inlineStr">
        <is>
          <t>New-device setup is repeatable | `scripts/setup-local.ps1 -Repair` recreated `venv/`; a second normal setup detected the valid signature without rebuilding.</t>
        </is>
      </c>
    </row>
    <row r="573" ht="39.95" customHeight="1" s="78">
      <c r="A573" s="73" t="inlineStr">
        <is>
          <t>QA-025</t>
        </is>
      </c>
      <c r="B573" s="73" t="n">
        <v>28</v>
      </c>
      <c r="C573" s="73" t="inlineStr">
        <is>
          <t>PY314-004</t>
        </is>
      </c>
      <c r="D573" s="73" t="inlineStr">
        <is>
          <t>PASS</t>
        </is>
      </c>
      <c r="E573" s="73" t="inlineStr">
        <is>
          <t>Device switch is detected | Environment signature includes requirements hash, computer name, base interpreter path/version, and architecture; the setup helper rebinds and reinstalls when these change.</t>
        </is>
      </c>
    </row>
    <row r="574" ht="39.95" customHeight="1" s="78">
      <c r="A574" s="73" t="inlineStr">
        <is>
          <t>QA-025</t>
        </is>
      </c>
      <c r="B574" s="73" t="n">
        <v>29</v>
      </c>
      <c r="C574" s="73" t="inlineStr">
        <is>
          <t>PY314-005</t>
        </is>
      </c>
      <c r="D574" s="73" t="inlineStr">
        <is>
          <t>PASS</t>
        </is>
      </c>
      <c r="E574" s="73" t="inlineStr">
        <is>
          <t>Python dependencies support 3.14 | Clean pinned install completed; native imports for Pydantic Core, CFFI, NumPy, SciPy, and psycopg succeeded.</t>
        </is>
      </c>
    </row>
    <row r="575" ht="30" customHeight="1" s="78">
      <c r="A575" s="73" t="inlineStr">
        <is>
          <t>QA-025</t>
        </is>
      </c>
      <c r="B575" s="73" t="n">
        <v>30</v>
      </c>
      <c r="C575" s="73" t="inlineStr">
        <is>
          <t>PY314-006</t>
        </is>
      </c>
      <c r="D575" s="73" t="inlineStr">
        <is>
          <t>PASS</t>
        </is>
      </c>
      <c r="E575" s="73" t="inlineStr">
        <is>
          <t>Dependency graph is consistent | `python -m pip check` returned `No broken requirements found.`</t>
        </is>
      </c>
    </row>
    <row r="576" ht="39.95" customHeight="1" s="78">
      <c r="A576" s="73" t="inlineStr">
        <is>
          <t>QA-025</t>
        </is>
      </c>
      <c r="B576" s="73" t="n">
        <v>31</v>
      </c>
      <c r="C576" s="73" t="inlineStr">
        <is>
          <t>PY314-007</t>
        </is>
      </c>
      <c r="D576" s="73" t="inlineStr">
        <is>
          <t>PASS</t>
        </is>
      </c>
      <c r="E576" s="73" t="inlineStr">
        <is>
          <t>Backend regression suite | `python -m pytest tests -q`: 171 passed with no warnings after adding the supported `httpx2` test-client dependency.</t>
        </is>
      </c>
    </row>
    <row r="577" ht="30" customHeight="1" s="78">
      <c r="A577" s="73" t="inlineStr">
        <is>
          <t>QA-025</t>
        </is>
      </c>
      <c r="B577" s="73" t="n">
        <v>32</v>
      </c>
      <c r="C577" s="73" t="inlineStr">
        <is>
          <t>PY314-008</t>
        </is>
      </c>
      <c r="D577" s="73" t="inlineStr">
        <is>
          <t>PASS</t>
        </is>
      </c>
      <c r="E577" s="73" t="inlineStr">
        <is>
          <t>Python source compiles | `python -m compileall -q .` completed without error.</t>
        </is>
      </c>
    </row>
    <row r="578" ht="39.95" customHeight="1" s="78">
      <c r="A578" s="73" t="inlineStr">
        <is>
          <t>QA-025</t>
        </is>
      </c>
      <c r="B578" s="73" t="n">
        <v>33</v>
      </c>
      <c r="C578" s="73" t="inlineStr">
        <is>
          <t>PY314-009</t>
        </is>
      </c>
      <c r="D578" s="73" t="inlineStr">
        <is>
          <t>PASS</t>
        </is>
      </c>
      <c r="E578" s="73" t="inlineStr">
        <is>
          <t>Assignment runtime metadata is current | Assignments 1–4 declare `python3.14`; their versions are 5, 4, 5, and 4. ROS assignments retain `ros2-jazzy-python`.</t>
        </is>
      </c>
    </row>
    <row r="579" ht="39.95" customHeight="1" s="78">
      <c r="A579" s="73" t="inlineStr">
        <is>
          <t>QA-025</t>
        </is>
      </c>
      <c r="B579" s="73" t="n">
        <v>34</v>
      </c>
      <c r="C579" s="73" t="inlineStr">
        <is>
          <t>PY314-010</t>
        </is>
      </c>
      <c r="D579" s="73" t="inlineStr">
        <is>
          <t>PASS</t>
        </is>
      </c>
      <c r="E579" s="73" t="inlineStr">
        <is>
          <t>Maintained Python answers grade correctly | Local authenticated submissions for Assignments 1–4 returned 100%, completed execution, and all test checks true.</t>
        </is>
      </c>
    </row>
    <row r="580" ht="54" customHeight="1" s="78">
      <c r="A580" s="73" t="inlineStr">
        <is>
          <t>QA-025</t>
        </is>
      </c>
      <c r="B580" s="73" t="n">
        <v>35</v>
      </c>
      <c r="C580" s="73" t="inlineStr">
        <is>
          <t>PY314-011</t>
        </is>
      </c>
      <c r="D580" s="73" t="inlineStr">
        <is>
          <t>PASS</t>
        </is>
      </c>
      <c r="E580" s="73" t="inlineStr">
        <is>
          <t>Incorrect and hostile submissions are bounded | Incorrect, syntax-error, runtime-error, infinite-loop, unsafe-import, excessive-output, and oversized cases returned safe controlled outcomes; oversized input returned HTTP 413.</t>
        </is>
      </c>
    </row>
    <row r="581" ht="39.95" customHeight="1" s="78">
      <c r="A581" s="73" t="inlineStr">
        <is>
          <t>QA-025</t>
        </is>
      </c>
      <c r="B581" s="73" t="n">
        <v>36</v>
      </c>
      <c r="C581" s="73" t="inlineStr">
        <is>
          <t>PY314-012</t>
        </is>
      </c>
      <c r="D581" s="73" t="inlineStr">
        <is>
          <t>PASS</t>
        </is>
      </c>
      <c r="E581" s="73" t="inlineStr">
        <is>
          <t>Local services start through one command | `run-local.ps1` migrated SQLite and started frontend 8180, API 5100, and sandbox 5101. All health checks passed.</t>
        </is>
      </c>
    </row>
    <row r="582" ht="30" customHeight="1" s="78">
      <c r="A582" s="73" t="inlineStr">
        <is>
          <t>QA-025</t>
        </is>
      </c>
      <c r="B582" s="73" t="n">
        <v>37</v>
      </c>
      <c r="C582" s="73" t="inlineStr">
        <is>
          <t>PY314-013</t>
        </is>
      </c>
      <c r="D582" s="73" t="inlineStr">
        <is>
          <t>PASS</t>
        </is>
      </c>
      <c r="E582" s="73" t="inlineStr">
        <is>
          <t>Flutter static analysis | OneDrive-safe `flutter analyze`: no issues found.</t>
        </is>
      </c>
    </row>
    <row r="583" ht="30" customHeight="1" s="78">
      <c r="A583" s="73" t="inlineStr">
        <is>
          <t>QA-025</t>
        </is>
      </c>
      <c r="B583" s="73" t="n">
        <v>38</v>
      </c>
      <c r="C583" s="73" t="inlineStr">
        <is>
          <t>PY314-014</t>
        </is>
      </c>
      <c r="D583" s="73" t="inlineStr">
        <is>
          <t>PASS</t>
        </is>
      </c>
      <c r="E583" s="73" t="inlineStr">
        <is>
          <t>Flutter regression tests | 48 tests passed.</t>
        </is>
      </c>
    </row>
    <row r="584" ht="30" customHeight="1" s="78">
      <c r="A584" s="73" t="inlineStr">
        <is>
          <t>QA-025</t>
        </is>
      </c>
      <c r="B584" s="73" t="n">
        <v>39</v>
      </c>
      <c r="C584" s="73" t="inlineStr">
        <is>
          <t>PY314-015</t>
        </is>
      </c>
      <c r="D584" s="73" t="inlineStr">
        <is>
          <t>PASS</t>
        </is>
      </c>
      <c r="E584" s="73" t="inlineStr">
        <is>
          <t>Flutter release web build | Release build completed from the LocalAppData verification copy.</t>
        </is>
      </c>
    </row>
    <row r="585" ht="39.95" customHeight="1" s="78">
      <c r="A585" s="73" t="inlineStr">
        <is>
          <t>QA-025</t>
        </is>
      </c>
      <c r="B585" s="73" t="n">
        <v>40</v>
      </c>
      <c r="C585" s="73" t="inlineStr">
        <is>
          <t>PY314-016</t>
        </is>
      </c>
      <c r="D585" s="73" t="inlineStr">
        <is>
          <t>PASS</t>
        </is>
      </c>
      <c r="E585" s="73" t="inlineStr">
        <is>
          <t>Browser desktop flow | Login page rendered; temporary student demo opened; catalog displayed all six assignments. No browser errors were recorded.</t>
        </is>
      </c>
    </row>
    <row r="586" ht="39.95" customHeight="1" s="78">
      <c r="A586" s="73" t="inlineStr">
        <is>
          <t>QA-025</t>
        </is>
      </c>
      <c r="B586" s="73" t="n">
        <v>41</v>
      </c>
      <c r="C586" s="73" t="inlineStr">
        <is>
          <t>PY314-017</t>
        </is>
      </c>
      <c r="D586" s="73" t="inlineStr">
        <is>
          <t>PASS</t>
        </is>
      </c>
      <c r="E586" s="73" t="inlineStr">
        <is>
          <t>Browser mobile-width flow | 390 x 844 viewport displayed responsive single-column cards with readable controls and no visible overflow.</t>
        </is>
      </c>
    </row>
    <row r="587" ht="30" customHeight="1" s="78">
      <c r="A587" s="73" t="inlineStr">
        <is>
          <t>QA-025</t>
        </is>
      </c>
      <c r="B587" s="73" t="n">
        <v>42</v>
      </c>
      <c r="C587" s="73" t="inlineStr">
        <is>
          <t>PY314-018</t>
        </is>
      </c>
      <c r="D587" s="73" t="inlineStr">
        <is>
          <t>PASS</t>
        </is>
      </c>
      <c r="E587" s="73" t="inlineStr">
        <is>
          <t>ROS 2 maintained answers | Assignment 5 passed 7/7 grader checks; Assignment 6 passed 9/9 grader checks.</t>
        </is>
      </c>
    </row>
    <row r="588" ht="30" customHeight="1" s="78">
      <c r="A588" s="73" t="inlineStr">
        <is>
          <t>QA-025</t>
        </is>
      </c>
      <c r="B588" s="73" t="n">
        <v>43</v>
      </c>
      <c r="C588" s="73" t="inlineStr">
        <is>
          <t>PY314-019</t>
        </is>
      </c>
      <c r="D588" s="73" t="inlineStr">
        <is>
          <t>PASS</t>
        </is>
      </c>
      <c r="E588" s="73" t="inlineStr">
        <is>
          <t>Python sandbox image | `python:3.14-slim` sandbox image built with NumPy 2.5.2 and SciPy 1.18.1.</t>
        </is>
      </c>
    </row>
    <row r="589" ht="39.95" customHeight="1" s="78">
      <c r="A589" s="73" t="inlineStr">
        <is>
          <t>QA-025</t>
        </is>
      </c>
      <c r="B589" s="73" t="n">
        <v>44</v>
      </c>
      <c r="C589" s="73" t="inlineStr">
        <is>
          <t>PY314-020</t>
        </is>
      </c>
      <c r="D589" s="73" t="inlineStr">
        <is>
          <t>PASS</t>
        </is>
      </c>
      <c r="E589" s="73" t="inlineStr">
        <is>
          <t>Dedicated sandbox service | Python 3.14.7 image built; health passed, missing token returned 401, authorized execution returned answer 4.</t>
        </is>
      </c>
    </row>
    <row r="590" ht="39.95" customHeight="1" s="78">
      <c r="A590" s="73" t="inlineStr">
        <is>
          <t>QA-025</t>
        </is>
      </c>
      <c r="B590" s="73" t="n">
        <v>45</v>
      </c>
      <c r="C590" s="73" t="inlineStr">
        <is>
          <t>PY314-021</t>
        </is>
      </c>
      <c r="D590" s="73" t="inlineStr">
        <is>
          <t>PASS</t>
        </is>
      </c>
      <c r="E590" s="73" t="inlineStr">
        <is>
          <t>Backend container compatibility | Backend image built; direct imports reported Python 3.14.7, FastAPI 0.141.1, NumPy 2.5.2, SciPy 1.18.1, and psycopg 3.2.13.</t>
        </is>
      </c>
    </row>
    <row r="591" ht="39.95" customHeight="1" s="78">
      <c r="A591" s="73" t="inlineStr">
        <is>
          <t>QA-025</t>
        </is>
      </c>
      <c r="B591" s="73" t="n">
        <v>46</v>
      </c>
      <c r="C591" s="73" t="inlineStr">
        <is>
          <t>PY314-022</t>
        </is>
      </c>
      <c r="D591" s="73" t="inlineStr">
        <is>
          <t>PASS</t>
        </is>
      </c>
      <c r="E591" s="73" t="inlineStr">
        <is>
          <t>Repository safety | `venv/`, secrets, databases, logs, and generated Flutter output remain ignored; `git diff --check` passed.</t>
        </is>
      </c>
    </row>
    <row r="592" ht="39.95" customHeight="1" s="78">
      <c r="A592" s="73" t="inlineStr">
        <is>
          <t>QA-025</t>
        </is>
      </c>
      <c r="B592" s="73" t="n">
        <v>47</v>
      </c>
      <c r="C592" s="73" t="inlineStr">
        <is>
          <t>PY314-023</t>
        </is>
      </c>
      <c r="D592" s="73" t="inlineStr">
        <is>
          <t>PASS</t>
        </is>
      </c>
      <c r="E592" s="73" t="inlineStr">
        <is>
          <t>README is usable on a new device | README begins with setup/start/stop, then documents Python 3.14, Flutter, optional Docker, OneDrive switching, repair, and environment limitations.</t>
        </is>
      </c>
    </row>
    <row r="593" ht="39.95" customHeight="1" s="78">
      <c r="A593" s="73" t="inlineStr">
        <is>
          <t>QA-025</t>
        </is>
      </c>
      <c r="B593" s="73" t="n">
        <v>48</v>
      </c>
      <c r="C593" s="73" t="inlineStr">
        <is>
          <t>PY314-024</t>
        </is>
      </c>
      <c r="D593" s="73" t="inlineStr">
        <is>
          <t>BLOCKED</t>
        </is>
      </c>
      <c r="E593" s="73" t="inlineStr">
        <is>
          <t>Master Excel SQA workbook | The required standalone spreadsheet authoring runtime was unavailable in this session, so the workbook could not be edited using the mandated verified workflow.</t>
        </is>
      </c>
    </row>
    <row r="594" ht="39.95" customHeight="1" s="78">
      <c r="A594" s="73" t="inlineStr">
        <is>
          <t>QA-025</t>
        </is>
      </c>
      <c r="B594" s="73" t="n">
        <v>49</v>
      </c>
      <c r="C594" s="73" t="inlineStr">
        <is>
          <t>PY314-025</t>
        </is>
      </c>
      <c r="D594" s="73" t="inlineStr">
        <is>
          <t>PASS</t>
        </is>
      </c>
      <c r="E594" s="73" t="inlineStr">
        <is>
          <t>Repair cannot corrupt a running environment | With the local stack running, `setup-local.ps1 -Repair` stopped before changing files and instructed the user to run `stop-local.ps1`; backend and sandbox remained healthy.</t>
        </is>
      </c>
    </row>
    <row r="595" ht="39.95" customHeight="1" s="78">
      <c r="A595" s="73" t="inlineStr">
        <is>
          <t>QA-026</t>
        </is>
      </c>
      <c r="B595" s="73" t="n">
        <v>17</v>
      </c>
      <c r="C595" s="73" t="inlineStr">
        <is>
          <t>Transient sandbox startup recovery</t>
        </is>
      </c>
      <c r="D595" s="73" t="inlineStr">
        <is>
          <t>PASS</t>
        </is>
      </c>
      <c r="E595" s="73" t="inlineStr">
        <is>
          <t>Automated unit test, both repositories | Sandbox returns HTTP 503 before succeeding | Client retries within its bounded deadline | Request retried and succeeded</t>
        </is>
      </c>
    </row>
    <row r="596" ht="39.95" customHeight="1" s="78">
      <c r="A596" s="73" t="inlineStr">
        <is>
          <t>QA-026</t>
        </is>
      </c>
      <c r="B596" s="73" t="n">
        <v>18</v>
      </c>
      <c r="C596" s="73" t="inlineStr">
        <is>
          <t>Invalid sandbox credentials</t>
        </is>
      </c>
      <c r="D596" s="73" t="inlineStr">
        <is>
          <t>PASS</t>
        </is>
      </c>
      <c r="E596" s="73" t="inlineStr">
        <is>
          <t>Automated unit test, both repositories | Sandbox returns HTTP 401 | No retry; instructor-facing configuration message | Correct safe message returned once</t>
        </is>
      </c>
    </row>
    <row r="597" ht="39.95" customHeight="1" s="78">
      <c r="A597" s="73" t="inlineStr">
        <is>
          <t>QA-026</t>
        </is>
      </c>
      <c r="B597" s="73" t="n">
        <v>19</v>
      </c>
      <c r="C597" s="73" t="inlineStr">
        <is>
          <t>Persistent sandbox outage</t>
        </is>
      </c>
      <c r="D597" s="73" t="inlineStr">
        <is>
          <t>PASS</t>
        </is>
      </c>
      <c r="E597" s="73" t="inlineStr">
        <is>
          <t>Automated unit test, both repositories | Sandbox remains HTTP 503 | Bounded retry; temporary/busy message | Retries stopped at deadline with safe message</t>
        </is>
      </c>
    </row>
    <row r="598" ht="39.95" customHeight="1" s="78">
      <c r="A598" s="73" t="inlineStr">
        <is>
          <t>QA-026</t>
        </is>
      </c>
      <c r="B598" s="73" t="n">
        <v>20</v>
      </c>
      <c r="C598" s="73" t="inlineStr">
        <is>
          <t>Portable timeout contract</t>
        </is>
      </c>
      <c r="D598" s="73" t="inlineStr">
        <is>
          <t>PASS</t>
        </is>
      </c>
      <c r="E598" s="73" t="inlineStr">
        <is>
          <t>GitHub-hosted Linux CI | Deadline-derived timeout is marginally below 20 seconds | Test accepts clock precision without weakening the limit | Tolerance-based assertion passed</t>
        </is>
      </c>
    </row>
    <row r="599" ht="30" customHeight="1" s="78">
      <c r="A599" s="73" t="inlineStr">
        <is>
          <t>QA-026</t>
        </is>
      </c>
      <c r="B599" s="73" t="n">
        <v>21</v>
      </c>
      <c r="C599" s="73" t="inlineStr">
        <is>
          <t>Backend regression</t>
        </is>
      </c>
      <c r="D599" s="73" t="inlineStr">
        <is>
          <t>PASS</t>
        </is>
      </c>
      <c r="E599" s="73" t="inlineStr">
        <is>
          <t>Staging local | `pytest tests -q` | All tests pass | 107 passed</t>
        </is>
      </c>
    </row>
    <row r="600" ht="30" customHeight="1" s="78">
      <c r="A600" s="73" t="inlineStr">
        <is>
          <t>QA-026</t>
        </is>
      </c>
      <c r="B600" s="73" t="n">
        <v>22</v>
      </c>
      <c r="C600" s="73" t="inlineStr">
        <is>
          <t>Backend regression</t>
        </is>
      </c>
      <c r="D600" s="73" t="inlineStr">
        <is>
          <t>PASS</t>
        </is>
      </c>
      <c r="E600" s="73" t="inlineStr">
        <is>
          <t>Production local | `pytest tests -q` | All tests pass | 98 passed</t>
        </is>
      </c>
    </row>
    <row r="601" ht="39.95" customHeight="1" s="78">
      <c r="A601" s="73" t="inlineStr">
        <is>
          <t>QA-026</t>
        </is>
      </c>
      <c r="B601" s="73" t="n">
        <v>23</v>
      </c>
      <c r="C601" s="73" t="inlineStr">
        <is>
          <t>Frontend regression</t>
        </is>
      </c>
      <c r="D601" s="73" t="inlineStr">
        <is>
          <t>PASS</t>
        </is>
      </c>
      <c r="E601" s="73" t="inlineStr">
        <is>
          <t>Staging local | Flutter analyzer, tests, release web build | All gates pass | Analyzer clean; 41 tests passed; release build passed</t>
        </is>
      </c>
    </row>
    <row r="602" ht="39.95" customHeight="1" s="78">
      <c r="A602" s="73" t="inlineStr">
        <is>
          <t>QA-026</t>
        </is>
      </c>
      <c r="B602" s="73" t="n">
        <v>24</v>
      </c>
      <c r="C602" s="73" t="inlineStr">
        <is>
          <t>Frontend regression</t>
        </is>
      </c>
      <c r="D602" s="73" t="inlineStr">
        <is>
          <t>PASS</t>
        </is>
      </c>
      <c r="E602" s="73" t="inlineStr">
        <is>
          <t>Production local | Flutter analyzer, tests, release web build | All gates pass | Analyzer clean; 38 tests passed; release build passed</t>
        </is>
      </c>
    </row>
    <row r="603" ht="39.95" customHeight="1" s="78">
      <c r="A603" s="73" t="inlineStr">
        <is>
          <t>QA-026</t>
        </is>
      </c>
      <c r="B603" s="73" t="n">
        <v>25</v>
      </c>
      <c r="C603" s="73" t="inlineStr">
        <is>
          <t>Hosted CI gate</t>
        </is>
      </c>
      <c r="D603" s="73" t="inlineStr">
        <is>
          <t>PASS</t>
        </is>
      </c>
      <c r="E603" s="73" t="inlineStr">
        <is>
          <t>Staging GitHub Actions run `32011216945` | Backend, frontend, repository safety, sandbox image | All jobs pass | Four jobs passed</t>
        </is>
      </c>
    </row>
    <row r="604" ht="39.95" customHeight="1" s="78">
      <c r="A604" s="73" t="inlineStr">
        <is>
          <t>QA-026</t>
        </is>
      </c>
      <c r="B604" s="73" t="n">
        <v>26</v>
      </c>
      <c r="C604" s="73" t="inlineStr">
        <is>
          <t>Hosted CI gate</t>
        </is>
      </c>
      <c r="D604" s="73" t="inlineStr">
        <is>
          <t>PASS</t>
        </is>
      </c>
      <c r="E604" s="73" t="inlineStr">
        <is>
          <t>Production GitHub Actions run `32011217908` | Backend, frontend, repository safety, sandbox image | All jobs pass | Four jobs passed</t>
        </is>
      </c>
    </row>
    <row r="605" ht="30" customHeight="1" s="78">
      <c r="A605" s="73" t="inlineStr">
        <is>
          <t>QA-026</t>
        </is>
      </c>
      <c r="B605" s="73" t="n">
        <v>27</v>
      </c>
      <c r="C605" s="73" t="inlineStr">
        <is>
          <t>Exact production deployment</t>
        </is>
      </c>
      <c r="D605" s="73" t="inlineStr">
        <is>
          <t>PASS</t>
        </is>
      </c>
      <c r="E605" s="73" t="inlineStr">
        <is>
          <t>Render API health | Release identifies approved production behavior commit | `9fa6c2482c7a` | `9fa6c2482c7a`</t>
        </is>
      </c>
    </row>
    <row r="606" ht="39.95" customHeight="1" s="78">
      <c r="A606" s="73" t="inlineStr">
        <is>
          <t>QA-026</t>
        </is>
      </c>
      <c r="B606" s="73" t="n">
        <v>28</v>
      </c>
      <c r="C606" s="73" t="inlineStr">
        <is>
          <t>Production assignment inventory</t>
        </is>
      </c>
      <c r="D606" s="73" t="inlineStr">
        <is>
          <t>PASS</t>
        </is>
      </c>
      <c r="E606" s="73" t="inlineStr">
        <is>
          <t>Live authenticated API | Only approved live assignments are exposed | IDs 1-4; no ROS Assignment 5 | IDs 1, 2, 3, 4</t>
        </is>
      </c>
    </row>
    <row r="607" ht="39.95" customHeight="1" s="78">
      <c r="A607" s="73" t="inlineStr">
        <is>
          <t>QA-026</t>
        </is>
      </c>
      <c r="B607" s="73" t="n">
        <v>29</v>
      </c>
      <c r="C607" s="73" t="inlineStr">
        <is>
          <t>Official answers</t>
        </is>
      </c>
      <c r="D607" s="73" t="inlineStr">
        <is>
          <t>PASS</t>
        </is>
      </c>
      <c r="E607" s="73" t="inlineStr">
        <is>
          <t>Live demo API | Maintained answers for Assignments 1-4 pass hidden grading | 100% for each | All four returned 100%</t>
        </is>
      </c>
    </row>
    <row r="608" ht="39.95" customHeight="1" s="78">
      <c r="A608" s="73" t="inlineStr">
        <is>
          <t>QA-026</t>
        </is>
      </c>
      <c r="B608" s="73" t="n">
        <v>30</v>
      </c>
      <c r="C608" s="73" t="inlineStr">
        <is>
          <t>Reported Assignment 1 flow</t>
        </is>
      </c>
      <c r="D608" s="73" t="inlineStr">
        <is>
          <t>PASS</t>
        </is>
      </c>
      <c r="E608" s="73" t="inlineStr">
        <is>
          <t>Live Vercel UI | Paste maintained answer and select **Run tests** | Completed result; no execution error | 100%, 4/4 passed</t>
        </is>
      </c>
    </row>
    <row r="609" ht="39.95" customHeight="1" s="78">
      <c r="A609" s="73" t="inlineStr">
        <is>
          <t>QA-026</t>
        </is>
      </c>
      <c r="B609" s="73" t="n">
        <v>31</v>
      </c>
      <c r="C609" s="73" t="inlineStr">
        <is>
          <t>Incorrect answer</t>
        </is>
      </c>
      <c r="D609" s="73" t="inlineStr">
        <is>
          <t>PASS</t>
        </is>
      </c>
      <c r="E609" s="73" t="inlineStr">
        <is>
          <t>Live `/submit`, Assignment 2 | Hidden grader rejects `total_path_length = 0` | Failing score | 0%, 4/4 hidden checks failed</t>
        </is>
      </c>
    </row>
    <row r="610" ht="39.95" customHeight="1" s="78">
      <c r="A610" s="73" t="inlineStr">
        <is>
          <t>QA-026</t>
        </is>
      </c>
      <c r="B610" s="73" t="n">
        <v>32</v>
      </c>
      <c r="C610" s="73" t="inlineStr">
        <is>
          <t>Public-versus-hidden test boundary</t>
        </is>
      </c>
      <c r="D610" s="73" t="inlineStr">
        <is>
          <t>PASS</t>
        </is>
      </c>
      <c r="E610" s="73" t="inlineStr">
        <is>
          <t>Live `/run` and `/submit`, Assignment 2 | Public run may provide partial evidence; submission enforces hidden tests | Incorrect code rejected at submission | Public check passed; hidden submission failed</t>
        </is>
      </c>
    </row>
    <row r="611" ht="30" customHeight="1" s="78">
      <c r="A611" s="73" t="inlineStr">
        <is>
          <t>QA-026</t>
        </is>
      </c>
      <c r="B611" s="73" t="n">
        <v>33</v>
      </c>
      <c r="C611" s="73" t="inlineStr">
        <is>
          <t>Syntax error</t>
        </is>
      </c>
      <c r="D611" s="73" t="inlineStr">
        <is>
          <t>PASS</t>
        </is>
      </c>
      <c r="E611" s="73" t="inlineStr">
        <is>
          <t>Live sandbox | Invalid Python is reported safely | SyntaxError; no stuck request | Safe SyntaxError returned</t>
        </is>
      </c>
    </row>
    <row r="612" ht="39.95" customHeight="1" s="78">
      <c r="A612" s="73" t="inlineStr">
        <is>
          <t>QA-026</t>
        </is>
      </c>
      <c r="B612" s="73" t="n">
        <v>34</v>
      </c>
      <c r="C612" s="73" t="inlineStr">
        <is>
          <t>Runtime error</t>
        </is>
      </c>
      <c r="D612" s="73" t="inlineStr">
        <is>
          <t>PASS</t>
        </is>
      </c>
      <c r="E612" s="73" t="inlineStr">
        <is>
          <t>Live sandbox | Division by zero is reported safely | ZeroDivisionError; no stuck request | Safe ZeroDivisionError returned</t>
        </is>
      </c>
    </row>
    <row r="613" ht="30" customHeight="1" s="78">
      <c r="A613" s="73" t="inlineStr">
        <is>
          <t>QA-026</t>
        </is>
      </c>
      <c r="B613" s="73" t="n">
        <v>35</v>
      </c>
      <c r="C613" s="73" t="inlineStr">
        <is>
          <t>Infinite loop</t>
        </is>
      </c>
      <c r="D613" s="73" t="inlineStr">
        <is>
          <t>PASS</t>
        </is>
      </c>
      <c r="E613" s="73" t="inlineStr">
        <is>
          <t>Live sandbox | Execution is bounded | Timeout near assignment limit | TimeoutError after about 5.5 seconds</t>
        </is>
      </c>
    </row>
    <row r="614" ht="30" customHeight="1" s="78">
      <c r="A614" s="73" t="inlineStr">
        <is>
          <t>QA-026</t>
        </is>
      </c>
      <c r="B614" s="73" t="n">
        <v>36</v>
      </c>
      <c r="C614" s="73" t="inlineStr">
        <is>
          <t>Unsafe import</t>
        </is>
      </c>
      <c r="D614" s="73" t="inlineStr">
        <is>
          <t>PASS</t>
        </is>
      </c>
      <c r="E614" s="73" t="inlineStr">
        <is>
          <t>Live sandbox | `import os` is denied | Safe rejection | ImportError: import not allowed</t>
        </is>
      </c>
    </row>
    <row r="615" ht="30" customHeight="1" s="78">
      <c r="A615" s="73" t="inlineStr">
        <is>
          <t>QA-026</t>
        </is>
      </c>
      <c r="B615" s="73" t="n">
        <v>37</v>
      </c>
      <c r="C615" s="73" t="inlineStr">
        <is>
          <t>Oversized submission</t>
        </is>
      </c>
      <c r="D615" s="73" t="inlineStr">
        <is>
          <t>PASS</t>
        </is>
      </c>
      <c r="E615" s="73" t="inlineStr">
        <is>
          <t>Live API | More than 50,000 code characters is rejected | HTTP 413 | HTTP 413</t>
        </is>
      </c>
    </row>
    <row r="616" ht="39.95" customHeight="1" s="78">
      <c r="A616" s="73" t="inlineStr">
        <is>
          <t>QA-026</t>
        </is>
      </c>
      <c r="B616" s="73" t="n">
        <v>38</v>
      </c>
      <c r="C616" s="73" t="inlineStr">
        <is>
          <t>Demo privacy behavior</t>
        </is>
      </c>
      <c r="D616" s="73" t="inlineStr">
        <is>
          <t>PASS</t>
        </is>
      </c>
      <c r="E616" s="73" t="inlineStr">
        <is>
          <t>Live Vercel UI | Demo work resets on refresh | Return to login; no retained progress | Returned to login after refresh</t>
        </is>
      </c>
    </row>
    <row r="617" ht="30" customHeight="1" s="78">
      <c r="A617" s="73" t="inlineStr">
        <is>
          <t>QA-026</t>
        </is>
      </c>
      <c r="B617" s="73" t="n">
        <v>39</v>
      </c>
      <c r="C617" s="73" t="inlineStr">
        <is>
          <t>AI default</t>
        </is>
      </c>
      <c r="D617" s="73" t="inlineStr">
        <is>
          <t>PASS</t>
        </is>
      </c>
      <c r="E617" s="73" t="inlineStr">
        <is>
          <t>Live Assignment 1 UI | AI tutoring remains available but off by default | Toggle off | Toggle off</t>
        </is>
      </c>
    </row>
    <row r="618" ht="39.95" customHeight="1" s="78">
      <c r="A618" s="73" t="inlineStr">
        <is>
          <t>QA-026</t>
        </is>
      </c>
      <c r="B618" s="73" t="n">
        <v>40</v>
      </c>
      <c r="C618" s="73" t="inlineStr">
        <is>
          <t>Staging Assignment 5 separation</t>
        </is>
      </c>
      <c r="D618" s="73" t="inlineStr">
        <is>
          <t>PASS</t>
        </is>
      </c>
      <c r="E618" s="73" t="inlineStr">
        <is>
          <t>Local staging | ROS Assignment 5 remains staging-only | Staging has 1-5; production has 1-4 | Inventory preserved</t>
        </is>
      </c>
    </row>
    <row r="619" ht="54" customHeight="1" s="78">
      <c r="A619" s="73" t="inlineStr">
        <is>
          <t>QA-026</t>
        </is>
      </c>
      <c r="B619" s="73" t="n">
        <v>52</v>
      </c>
      <c r="C619" s="73" t="inlineStr">
        <is>
          <t>Forced real Render cold-start retry</t>
        </is>
      </c>
      <c r="D619" s="73" t="inlineStr">
        <is>
          <t>NOT RUN</t>
        </is>
      </c>
      <c r="E619" s="73" t="inlineStr">
        <is>
          <t>Render does not provide a safe command to intentionally suspend the sandbox. The exact 503-to-success sequence is protected by automated tests, and the live grader was exercised after deployment. Recheck after a natural idle period before a classroom session.</t>
        </is>
      </c>
    </row>
    <row r="620" ht="39.95" customHeight="1" s="78">
      <c r="A620" s="73" t="inlineStr">
        <is>
          <t>QA-026</t>
        </is>
      </c>
      <c r="B620" s="73" t="n">
        <v>53</v>
      </c>
      <c r="C620" s="73" t="inlineStr">
        <is>
          <t>Paid OpenAI response</t>
        </is>
      </c>
      <c r="D620" s="73" t="inlineStr">
        <is>
          <t>NOT RUN</t>
        </is>
      </c>
      <c r="E620" s="73" t="inlineStr">
        <is>
          <t>AI is intentionally off by default and no paid call was authorized. Deterministic grading and built-in feedback passed without AI.</t>
        </is>
      </c>
    </row>
    <row r="621" ht="39.95" customHeight="1" s="78">
      <c r="A621" s="73" t="inlineStr">
        <is>
          <t>QA-026</t>
        </is>
      </c>
      <c r="B621" s="73" t="n">
        <v>54</v>
      </c>
      <c r="C621" s="73" t="inlineStr">
        <is>
          <t>Physical second computer/network</t>
        </is>
      </c>
      <c r="D621" s="73" t="inlineStr">
        <is>
          <t>NOT RUN</t>
        </is>
      </c>
      <c r="E621" s="73" t="inlineStr">
        <is>
          <t>The deployed URL and hosted APIs were tested from the current external network and a clean browser tab, but not from a second physical device. Complete this before a classroom-wide release.</t>
        </is>
      </c>
    </row>
    <row r="622" ht="39.95" customHeight="1" s="78">
      <c r="A622" s="73" t="inlineStr">
        <is>
          <t>QA-026</t>
        </is>
      </c>
      <c r="B622" s="73" t="n">
        <v>55</v>
      </c>
      <c r="C622" s="73" t="inlineStr">
        <is>
          <t>Hosted restart persistence rehearsal</t>
        </is>
      </c>
      <c r="D622" s="73" t="inlineStr">
        <is>
          <t>NOT RUN</t>
        </is>
      </c>
      <c r="E622" s="73" t="inlineStr">
        <is>
          <t>No data or persistence code changed. Existing automated persistence coverage passed, but Render/Neon was not deliberately restarted during this repair.</t>
        </is>
      </c>
    </row>
    <row r="623" ht="39.95" customHeight="1" s="78">
      <c r="A623" s="73" t="inlineStr">
        <is>
          <t>QA-027</t>
        </is>
      </c>
      <c r="B623" s="73" t="n">
        <v>15</v>
      </c>
      <c r="C623" s="73" t="inlineStr">
        <is>
          <t>Backend regression</t>
        </is>
      </c>
      <c r="D623" s="73" t="inlineStr">
        <is>
          <t>PASS</t>
        </is>
      </c>
      <c r="E623" s="73" t="inlineStr">
        <is>
          <t>Full API, authentication, assignments, grading, sandbox rules, migrations and research tests | 91 pytest tests passed</t>
        </is>
      </c>
    </row>
    <row r="624" ht="30" customHeight="1" s="78">
      <c r="A624" s="73" t="inlineStr">
        <is>
          <t>QA-027</t>
        </is>
      </c>
      <c r="B624" s="73" t="n">
        <v>16</v>
      </c>
      <c r="C624" s="73" t="inlineStr">
        <is>
          <t>Python environment</t>
        </is>
      </c>
      <c r="D624" s="73" t="inlineStr">
        <is>
          <t>PASS</t>
        </is>
      </c>
      <c r="E624" s="73" t="inlineStr">
        <is>
          <t>Installed dependency consistency and bytecode compilation | `pip check`; `compileall`</t>
        </is>
      </c>
    </row>
    <row r="625" ht="30" customHeight="1" s="78">
      <c r="A625" s="73" t="inlineStr">
        <is>
          <t>QA-027</t>
        </is>
      </c>
      <c r="B625" s="73" t="n">
        <v>17</v>
      </c>
      <c r="C625" s="73" t="inlineStr">
        <is>
          <t>Database migration</t>
        </is>
      </c>
      <c r="D625" s="73" t="inlineStr">
        <is>
          <t>PASS</t>
        </is>
      </c>
      <c r="E625" s="73" t="inlineStr">
        <is>
          <t>Baseline-to-head upgrade, downgrade and existing-database column migration | Alembic migration tests</t>
        </is>
      </c>
    </row>
    <row r="626" ht="39.95" customHeight="1" s="78">
      <c r="A626" s="73" t="inlineStr">
        <is>
          <t>QA-027</t>
        </is>
      </c>
      <c r="B626" s="73" t="n">
        <v>18</v>
      </c>
      <c r="C626" s="73" t="inlineStr">
        <is>
          <t>Study sessions</t>
        </is>
      </c>
      <c r="D626" s="73" t="inlineStr">
        <is>
          <t>PASS</t>
        </is>
      </c>
      <c r="E626" s="73" t="inlineStr">
        <is>
          <t>Start, heartbeat, end, duration cap and idempotent session handling | Backend research tests and browser session</t>
        </is>
      </c>
    </row>
    <row r="627" ht="30" customHeight="1" s="78">
      <c r="A627" s="73" t="inlineStr">
        <is>
          <t>QA-027</t>
        </is>
      </c>
      <c r="B627" s="73" t="n">
        <v>19</v>
      </c>
      <c r="C627" s="73" t="inlineStr">
        <is>
          <t>Learning events</t>
        </is>
      </c>
      <c r="D627" s="73" t="inlineStr">
        <is>
          <t>PASS</t>
        </is>
      </c>
      <c r="E627" s="73" t="inlineStr">
        <is>
          <t>Assignment open, submit, hint, solution, tab and AI-toggle event capture | API tests and browser timeline</t>
        </is>
      </c>
    </row>
    <row r="628" ht="30" customHeight="1" s="78">
      <c r="A628" s="73" t="inlineStr">
        <is>
          <t>QA-027</t>
        </is>
      </c>
      <c r="B628" s="73" t="n">
        <v>20</v>
      </c>
      <c r="C628" s="73" t="inlineStr">
        <is>
          <t>Student privacy</t>
        </is>
      </c>
      <c r="D628" s="73" t="inlineStr">
        <is>
          <t>PASS</t>
        </is>
      </c>
      <c r="E628" s="73" t="inlineStr">
        <is>
          <t>Student receives only their participant-level progress | Authorization/API tests and student dashboard</t>
        </is>
      </c>
    </row>
    <row r="629" ht="30" customHeight="1" s="78">
      <c r="A629" s="73" t="inlineStr">
        <is>
          <t>QA-027</t>
        </is>
      </c>
      <c r="B629" s="73" t="n">
        <v>21</v>
      </c>
      <c r="C629" s="73" t="inlineStr">
        <is>
          <t>Instructor authorization</t>
        </is>
      </c>
      <c r="D629" s="73" t="inlineStr">
        <is>
          <t>PASS</t>
        </is>
      </c>
      <c r="E629" s="73" t="inlineStr">
        <is>
          <t>Research summary, participant detail and exports require instructor role | Role-isolation API tests</t>
        </is>
      </c>
    </row>
    <row r="630" ht="30" customHeight="1" s="78">
      <c r="A630" s="73" t="inlineStr">
        <is>
          <t>QA-027</t>
        </is>
      </c>
      <c r="B630" s="73" t="n">
        <v>22</v>
      </c>
      <c r="C630" s="73" t="inlineStr">
        <is>
          <t>Participant identifiers</t>
        </is>
      </c>
      <c r="D630" s="73" t="inlineStr">
        <is>
          <t>PASS</t>
        </is>
      </c>
      <c r="E630" s="73" t="inlineStr">
        <is>
          <t>Duplicate participant codes are rejected on create, update and account sync | Focused backend tests</t>
        </is>
      </c>
    </row>
    <row r="631" ht="30" customHeight="1" s="78">
      <c r="A631" s="73" t="inlineStr">
        <is>
          <t>QA-027</t>
        </is>
      </c>
      <c r="B631" s="73" t="n">
        <v>23</v>
      </c>
      <c r="C631" s="73" t="inlineStr">
        <is>
          <t>CSV export</t>
        </is>
      </c>
      <c r="D631" s="73" t="inlineStr">
        <is>
          <t>PASS</t>
        </is>
      </c>
      <c r="E631" s="73" t="inlineStr">
        <is>
          <t>UTF-8 CSV downloads without passwords, login IDs or submitted code | HTTP 200 and sensitive-field scan</t>
        </is>
      </c>
    </row>
    <row r="632" ht="39.95" customHeight="1" s="78">
      <c r="A632" s="73" t="inlineStr">
        <is>
          <t>QA-027</t>
        </is>
      </c>
      <c r="B632" s="73" t="n">
        <v>24</v>
      </c>
      <c r="C632" s="73" t="inlineStr">
        <is>
          <t>Excel export</t>
        </is>
      </c>
      <c r="D632" s="73" t="inlineStr">
        <is>
          <t>PASS</t>
        </is>
      </c>
      <c r="E632" s="73" t="inlineStr">
        <is>
          <t>Complete workbook downloads with valid XLSX signature and three research datasets | HTTP 200; `PK` XLSX signature</t>
        </is>
      </c>
    </row>
    <row r="633" ht="30" customHeight="1" s="78">
      <c r="A633" s="73" t="inlineStr">
        <is>
          <t>QA-027</t>
        </is>
      </c>
      <c r="B633" s="73" t="n">
        <v>25</v>
      </c>
      <c r="C633" s="73" t="inlineStr">
        <is>
          <t>Spreadsheet safety</t>
        </is>
      </c>
      <c r="D633" s="73" t="inlineStr">
        <is>
          <t>PASS</t>
        </is>
      </c>
      <c r="E633" s="73" t="inlineStr">
        <is>
          <t>Exported cells neutralize spreadsheet-formula prefixes | Export unit tests</t>
        </is>
      </c>
    </row>
    <row r="634" ht="30" customHeight="1" s="78">
      <c r="A634" s="73" t="inlineStr">
        <is>
          <t>QA-027</t>
        </is>
      </c>
      <c r="B634" s="73" t="n">
        <v>26</v>
      </c>
      <c r="C634" s="73" t="inlineStr">
        <is>
          <t>Student UI</t>
        </is>
      </c>
      <c r="D634" s="73" t="inlineStr">
        <is>
          <t>PASS</t>
        </is>
      </c>
      <c r="E634" s="73" t="inlineStr">
        <is>
          <t>Study-progress summary and recent-attempt view | Flutter widget tests and browser check</t>
        </is>
      </c>
    </row>
    <row r="635" ht="30" customHeight="1" s="78">
      <c r="A635" s="73" t="inlineStr">
        <is>
          <t>QA-027</t>
        </is>
      </c>
      <c r="B635" s="73" t="n">
        <v>27</v>
      </c>
      <c r="C635" s="73" t="inlineStr">
        <is>
          <t>Instructor UI</t>
        </is>
      </c>
      <c r="D635" s="73" t="inlineStr">
        <is>
          <t>PASS</t>
        </is>
      </c>
      <c r="E635" s="73" t="inlineStr">
        <is>
          <t>Summary, participant table, detail timeline and export menu | Flutter widget tests and browser check</t>
        </is>
      </c>
    </row>
    <row r="636" ht="30" customHeight="1" s="78">
      <c r="A636" s="73" t="inlineStr">
        <is>
          <t>QA-027</t>
        </is>
      </c>
      <c r="B636" s="73" t="n">
        <v>28</v>
      </c>
      <c r="C636" s="73" t="inlineStr">
        <is>
          <t>Responsive UI</t>
        </is>
      </c>
      <c r="D636" s="73" t="inlineStr">
        <is>
          <t>PASS</t>
        </is>
      </c>
      <c r="E636" s="73" t="inlineStr">
        <is>
          <t>Dashboard and results at 390 x 844 mobile viewport | Widget overflow test and browser check</t>
        </is>
      </c>
    </row>
    <row r="637" ht="30" customHeight="1" s="78">
      <c r="A637" s="73" t="inlineStr">
        <is>
          <t>QA-027</t>
        </is>
      </c>
      <c r="B637" s="73" t="n">
        <v>29</v>
      </c>
      <c r="C637" s="73" t="inlineStr">
        <is>
          <t>Keyboard/accessibility baseline</t>
        </is>
      </c>
      <c r="D637" s="73" t="inlineStr">
        <is>
          <t>PASS</t>
        </is>
      </c>
      <c r="E637" s="73" t="inlineStr">
        <is>
          <t>Existing keyboard run flow and semantic controls remain working | Flutter regression tests</t>
        </is>
      </c>
    </row>
    <row r="638" ht="30" customHeight="1" s="78">
      <c r="A638" s="73" t="inlineStr">
        <is>
          <t>QA-027</t>
        </is>
      </c>
      <c r="B638" s="73" t="n">
        <v>30</v>
      </c>
      <c r="C638" s="73" t="inlineStr">
        <is>
          <t>AI behavior</t>
        </is>
      </c>
      <c r="D638" s="73" t="inlineStr">
        <is>
          <t>PASS</t>
        </is>
      </c>
      <c r="E638" s="73" t="inlineStr">
        <is>
          <t>AI tutor remains available but disabled by default | Browser check and existing widget behavior</t>
        </is>
      </c>
    </row>
    <row r="639" ht="30" customHeight="1" s="78">
      <c r="A639" s="73" t="inlineStr">
        <is>
          <t>QA-027</t>
        </is>
      </c>
      <c r="B639" s="73" t="n">
        <v>31</v>
      </c>
      <c r="C639" s="73" t="inlineStr">
        <is>
          <t>Frontend static analysis</t>
        </is>
      </c>
      <c r="D639" s="73" t="inlineStr">
        <is>
          <t>PASS</t>
        </is>
      </c>
      <c r="E639" s="73" t="inlineStr">
        <is>
          <t>Flutter analyzer | No issues found</t>
        </is>
      </c>
    </row>
    <row r="640" ht="30" customHeight="1" s="78">
      <c r="A640" s="73" t="inlineStr">
        <is>
          <t>QA-027</t>
        </is>
      </c>
      <c r="B640" s="73" t="n">
        <v>32</v>
      </c>
      <c r="C640" s="73" t="inlineStr">
        <is>
          <t>Frontend regression</t>
        </is>
      </c>
      <c r="D640" s="73" t="inlineStr">
        <is>
          <t>PASS</t>
        </is>
      </c>
      <c r="E640" s="73" t="inlineStr">
        <is>
          <t>Full Flutter widget/unit suite | 36 tests passed</t>
        </is>
      </c>
    </row>
    <row r="641" ht="30" customHeight="1" s="78">
      <c r="A641" s="73" t="inlineStr">
        <is>
          <t>QA-027</t>
        </is>
      </c>
      <c r="B641" s="73" t="n">
        <v>33</v>
      </c>
      <c r="C641" s="73" t="inlineStr">
        <is>
          <t>Production-equivalent frontend</t>
        </is>
      </c>
      <c r="D641" s="73" t="inlineStr">
        <is>
          <t>PASS</t>
        </is>
      </c>
      <c r="E641" s="73" t="inlineStr">
        <is>
          <t>Flutter release web compilation with configured API base URL | Release web build succeeded</t>
        </is>
      </c>
    </row>
    <row r="642" ht="30" customHeight="1" s="78">
      <c r="A642" s="73" t="inlineStr">
        <is>
          <t>QA-027</t>
        </is>
      </c>
      <c r="B642" s="73" t="n">
        <v>34</v>
      </c>
      <c r="C642" s="73" t="inlineStr">
        <is>
          <t>Local service health</t>
        </is>
      </c>
      <c r="D642" s="73" t="inlineStr">
        <is>
          <t>PASS</t>
        </is>
      </c>
      <c r="E642" s="73" t="inlineStr">
        <is>
          <t>API and sandbox health endpoints | Both returned `ok`; API version `4.1.0`</t>
        </is>
      </c>
    </row>
    <row r="643" ht="30" customHeight="1" s="78">
      <c r="A643" s="73" t="inlineStr">
        <is>
          <t>QA-027</t>
        </is>
      </c>
      <c r="B643" s="73" t="n">
        <v>35</v>
      </c>
      <c r="C643" s="73" t="inlineStr">
        <is>
          <t>Browser console</t>
        </is>
      </c>
      <c r="D643" s="73" t="inlineStr">
        <is>
          <t>PASS</t>
        </is>
      </c>
      <c r="E643" s="73" t="inlineStr">
        <is>
          <t>Student and instructor desktop/mobile flows | No console errors or warnings observed</t>
        </is>
      </c>
    </row>
    <row r="644" ht="30" customHeight="1" s="78">
      <c r="A644" s="73" t="inlineStr">
        <is>
          <t>QA-027</t>
        </is>
      </c>
      <c r="B644" s="73" t="n">
        <v>36</v>
      </c>
      <c r="C644" s="73" t="inlineStr">
        <is>
          <t>Git hygiene</t>
        </is>
      </c>
      <c r="D644" s="73" t="inlineStr">
        <is>
          <t>PASS</t>
        </is>
      </c>
      <c r="E644" s="73" t="inlineStr">
        <is>
          <t>Whitespace/error-marker validation | `git diff --check` before commit</t>
        </is>
      </c>
    </row>
    <row r="645" ht="39.95" customHeight="1" s="78">
      <c r="A645" s="73" t="inlineStr">
        <is>
          <t>QA-027</t>
        </is>
      </c>
      <c r="B645" s="73" t="n">
        <v>52</v>
      </c>
      <c r="C645" s="73" t="inlineStr">
        <is>
          <t>Physical second-device/network check</t>
        </is>
      </c>
      <c r="D645" s="73" t="inlineStr">
        <is>
          <t>NOT RUN</t>
        </is>
      </c>
      <c r="E645" s="73" t="inlineStr">
        <is>
          <t>Local staging was verified in a clean browser origin and mobile viewport, but not from another physical computer/network. Run this after a staging URL is deployed.</t>
        </is>
      </c>
    </row>
    <row r="646" ht="39.95" customHeight="1" s="78">
      <c r="A646" s="73" t="inlineStr">
        <is>
          <t>QA-027</t>
        </is>
      </c>
      <c r="B646" s="73" t="n">
        <v>53</v>
      </c>
      <c r="C646" s="73" t="inlineStr">
        <is>
          <t>OpenAI paid response</t>
        </is>
      </c>
      <c r="D646" s="73" t="inlineStr">
        <is>
          <t>NOT RUN</t>
        </is>
      </c>
      <c r="E646" s="73" t="inlineStr">
        <is>
          <t>AI is intentionally off by default and the configured account currently has no required credit. The non-AI grading workflow is unaffected.</t>
        </is>
      </c>
    </row>
    <row r="647" ht="39.95" customHeight="1" s="78">
      <c r="A647" s="73" t="inlineStr">
        <is>
          <t>QA-027</t>
        </is>
      </c>
      <c r="B647" s="73" t="n">
        <v>54</v>
      </c>
      <c r="C647" s="73" t="inlineStr">
        <is>
          <t>Master Excel SQA checklist update</t>
        </is>
      </c>
      <c r="D647" s="73" t="inlineStr">
        <is>
          <t>BLOCKED BY TOOLING</t>
        </is>
      </c>
      <c r="E647" s="73" t="inlineStr">
        <is>
          <t>The approved spreadsheet artifact runtime was unavailable in this Codex session. This Markdown report is the committed V4.1 evidence record; copy these rows into the master workbook when that runtime is available.</t>
        </is>
      </c>
    </row>
    <row r="648" ht="30" customHeight="1" s="78">
      <c r="A648" s="73" t="inlineStr">
        <is>
          <t>QA-028</t>
        </is>
      </c>
      <c r="B648" s="73" t="n">
        <v>33</v>
      </c>
      <c r="C648" s="73" t="inlineStr">
        <is>
          <t>1, Bug2 m-line route</t>
        </is>
      </c>
      <c r="D648" s="73" t="inlineStr">
        <is>
          <t>PASS</t>
        </is>
      </c>
      <c r="E648" s="73" t="inlineStr">
        <is>
          <t>5 | 100%, 4/4 checks | 0%, 0/4 checks</t>
        </is>
      </c>
    </row>
    <row r="649" ht="30" customHeight="1" s="78">
      <c r="A649" s="73" t="inlineStr">
        <is>
          <t>QA-028</t>
        </is>
      </c>
      <c r="B649" s="73" t="n">
        <v>34</v>
      </c>
      <c r="C649" s="73" t="inlineStr">
        <is>
          <t>2, Bug2 rectangular detour</t>
        </is>
      </c>
      <c r="D649" s="73" t="inlineStr">
        <is>
          <t>PASS</t>
        </is>
      </c>
      <c r="E649" s="73" t="inlineStr">
        <is>
          <t>4 | 100%, 4/4 checks | 0%, 0/4 checks</t>
        </is>
      </c>
    </row>
    <row r="650" ht="30" customHeight="1" s="78">
      <c r="A650" s="73" t="inlineStr">
        <is>
          <t>QA-028</t>
        </is>
      </c>
      <c r="B650" s="73" t="n">
        <v>35</v>
      </c>
      <c r="C650" s="73" t="inlineStr">
        <is>
          <t>3, multi-floor route</t>
        </is>
      </c>
      <c r="D650" s="73" t="inlineStr">
        <is>
          <t>PASS</t>
        </is>
      </c>
      <c r="E650" s="73" t="inlineStr">
        <is>
          <t>5 | 100%, 8/8 checks | 0%, 0/8 checks</t>
        </is>
      </c>
    </row>
    <row r="651" ht="30" customHeight="1" s="78">
      <c r="A651" s="73" t="inlineStr">
        <is>
          <t>QA-028</t>
        </is>
      </c>
      <c r="B651" s="73" t="n">
        <v>36</v>
      </c>
      <c r="C651" s="73" t="inlineStr">
        <is>
          <t>4, VFH safe sector</t>
        </is>
      </c>
      <c r="D651" s="73" t="inlineStr">
        <is>
          <t>PASS</t>
        </is>
      </c>
      <c r="E651" s="73" t="inlineStr">
        <is>
          <t>4 | 100%, 2/2 checks | 0%, 0/2 checks</t>
        </is>
      </c>
    </row>
    <row r="652" ht="30" customHeight="1" s="78">
      <c r="A652" s="73" t="inlineStr">
        <is>
          <t>QA-028</t>
        </is>
      </c>
      <c r="B652" s="73" t="n">
        <v>37</v>
      </c>
      <c r="C652" s="73" t="inlineStr">
        <is>
          <t>5, ROS 2 drive and stop</t>
        </is>
      </c>
      <c r="D652" s="73" t="inlineStr">
        <is>
          <t>PASS</t>
        </is>
      </c>
      <c r="E652" s="73" t="inlineStr">
        <is>
          <t>1 | 100%, 7/7 checks | 20%, 2/7 checks</t>
        </is>
      </c>
    </row>
    <row r="653" ht="30" customHeight="1" s="78">
      <c r="A653" s="73" t="inlineStr">
        <is>
          <t>QA-028</t>
        </is>
      </c>
      <c r="B653" s="73" t="n">
        <v>38</v>
      </c>
      <c r="C653" s="73" t="inlineStr">
        <is>
          <t>6, ROS 2 obstacle stop</t>
        </is>
      </c>
      <c r="D653" s="73" t="inlineStr">
        <is>
          <t>PASS</t>
        </is>
      </c>
      <c r="E653" s="73" t="inlineStr">
        <is>
          <t>1 | 100%, 9/9 checks | 10%, 1/9 checks</t>
        </is>
      </c>
    </row>
    <row r="654" ht="30" customHeight="1" s="78">
      <c r="A654" s="73" t="inlineStr">
        <is>
          <t>QA-028</t>
        </is>
      </c>
      <c r="B654" s="73" t="n">
        <v>47</v>
      </c>
      <c r="C654" s="73" t="inlineStr">
        <is>
          <t>Syntax error</t>
        </is>
      </c>
      <c r="D654" s="73" t="inlineStr">
        <is>
          <t>PASS</t>
        </is>
      </c>
      <c r="E654" s="73" t="inlineStr">
        <is>
          <t>Safe syntax status | HTTP 200, `syntax_error`</t>
        </is>
      </c>
    </row>
    <row r="655" ht="30" customHeight="1" s="78">
      <c r="A655" s="73" t="inlineStr">
        <is>
          <t>QA-028</t>
        </is>
      </c>
      <c r="B655" s="73" t="n">
        <v>48</v>
      </c>
      <c r="C655" s="73" t="inlineStr">
        <is>
          <t>Runtime exception</t>
        </is>
      </c>
      <c r="D655" s="73" t="inlineStr">
        <is>
          <t>PASS</t>
        </is>
      </c>
      <c r="E655" s="73" t="inlineStr">
        <is>
          <t>Safe runtime status | HTTP 200, `runtime_error`</t>
        </is>
      </c>
    </row>
    <row r="656" ht="30" customHeight="1" s="78">
      <c r="A656" s="73" t="inlineStr">
        <is>
          <t>QA-028</t>
        </is>
      </c>
      <c r="B656" s="73" t="n">
        <v>49</v>
      </c>
      <c r="C656" s="73" t="inlineStr">
        <is>
          <t>Infinite loop</t>
        </is>
      </c>
      <c r="D656" s="73" t="inlineStr">
        <is>
          <t>PASS</t>
        </is>
      </c>
      <c r="E656" s="73" t="inlineStr">
        <is>
          <t>Bounded timeout | HTTP 200, `timeout`</t>
        </is>
      </c>
    </row>
    <row r="657" ht="30" customHeight="1" s="78">
      <c r="A657" s="73" t="inlineStr">
        <is>
          <t>QA-028</t>
        </is>
      </c>
      <c r="B657" s="73" t="n">
        <v>50</v>
      </c>
      <c r="C657" s="73" t="inlineStr">
        <is>
          <t>Unsafe import</t>
        </is>
      </c>
      <c r="D657" s="73" t="inlineStr">
        <is>
          <t>PASS</t>
        </is>
      </c>
      <c r="E657" s="73" t="inlineStr">
        <is>
          <t>Rejected before unsafe execution | HTTP 200, `rejected`</t>
        </is>
      </c>
    </row>
    <row r="658" ht="30" customHeight="1" s="78">
      <c r="A658" s="73" t="inlineStr">
        <is>
          <t>QA-028</t>
        </is>
      </c>
      <c r="B658" s="73" t="n">
        <v>51</v>
      </c>
      <c r="C658" s="73" t="inlineStr">
        <is>
          <t>Excessive output</t>
        </is>
      </c>
      <c r="D658" s="73" t="inlineStr">
        <is>
          <t>PASS</t>
        </is>
      </c>
      <c r="E658" s="73" t="inlineStr">
        <is>
          <t>Bounded, non-passing result | HTTP 200, non-passing `completed` result</t>
        </is>
      </c>
    </row>
    <row r="659" ht="30" customHeight="1" s="78">
      <c r="A659" s="73" t="inlineStr">
        <is>
          <t>QA-028</t>
        </is>
      </c>
      <c r="B659" s="73" t="n">
        <v>52</v>
      </c>
      <c r="C659" s="73" t="inlineStr">
        <is>
          <t>Oversized submission</t>
        </is>
      </c>
      <c r="D659" s="73" t="inlineStr">
        <is>
          <t>PASS</t>
        </is>
      </c>
      <c r="E659" s="73" t="inlineStr">
        <is>
          <t>Request rejected | HTTP 413</t>
        </is>
      </c>
    </row>
    <row r="660" ht="30" customHeight="1" s="78">
      <c r="A660" s="73" t="inlineStr">
        <is>
          <t>QA-028</t>
        </is>
      </c>
      <c r="B660" s="73" t="n">
        <v>53</v>
      </c>
      <c r="C660" s="73" t="inlineStr">
        <is>
          <t>Missing code</t>
        </is>
      </c>
      <c r="D660" s="73" t="inlineStr">
        <is>
          <t>PASS</t>
        </is>
      </c>
      <c r="E660" s="73" t="inlineStr">
        <is>
          <t>Request rejected | HTTP 400</t>
        </is>
      </c>
    </row>
    <row r="661" ht="30" customHeight="1" s="78">
      <c r="A661" s="73" t="inlineStr">
        <is>
          <t>QA-028</t>
        </is>
      </c>
      <c r="B661" s="73" t="n">
        <v>54</v>
      </c>
      <c r="C661" s="73" t="inlineStr">
        <is>
          <t>Unknown assignment</t>
        </is>
      </c>
      <c r="D661" s="73" t="inlineStr">
        <is>
          <t>PASS</t>
        </is>
      </c>
      <c r="E661" s="73" t="inlineStr">
        <is>
          <t>Not found | HTTP 404</t>
        </is>
      </c>
    </row>
    <row r="662" ht="30" customHeight="1" s="78">
      <c r="A662" s="73" t="inlineStr">
        <is>
          <t>QA-028</t>
        </is>
      </c>
      <c r="B662" s="73" t="n">
        <v>63</v>
      </c>
      <c r="C662" s="73" t="inlineStr">
        <is>
          <t>Student authentication and session restore</t>
        </is>
      </c>
      <c r="D662" s="73" t="inlineStr">
        <is>
          <t>PASS</t>
        </is>
      </c>
      <c r="E662" s="73" t="inlineStr">
        <is>
          <t>`/auth/login` and `/auth/me` returned the student role</t>
        </is>
      </c>
    </row>
    <row r="663" ht="30" customHeight="1" s="78">
      <c r="A663" s="73" t="inlineStr">
        <is>
          <t>QA-028</t>
        </is>
      </c>
      <c r="B663" s="73" t="n">
        <v>64</v>
      </c>
      <c r="C663" s="73" t="inlineStr">
        <is>
          <t>Instructor authentication and session restore</t>
        </is>
      </c>
      <c r="D663" s="73" t="inlineStr">
        <is>
          <t>PASS</t>
        </is>
      </c>
      <c r="E663" s="73" t="inlineStr">
        <is>
          <t>`/auth/login` and `/auth/me` returned the instructor role</t>
        </is>
      </c>
    </row>
    <row r="664" ht="30" customHeight="1" s="78">
      <c r="A664" s="73" t="inlineStr">
        <is>
          <t>QA-028</t>
        </is>
      </c>
      <c r="B664" s="73" t="n">
        <v>65</v>
      </c>
      <c r="C664" s="73" t="inlineStr">
        <is>
          <t>Invalid login</t>
        </is>
      </c>
      <c r="D664" s="73" t="inlineStr">
        <is>
          <t>PASS</t>
        </is>
      </c>
      <c r="E664" s="73" t="inlineStr">
        <is>
          <t>Invalid account returned HTTP 401</t>
        </is>
      </c>
    </row>
    <row r="665" ht="30" customHeight="1" s="78">
      <c r="A665" s="73" t="inlineStr">
        <is>
          <t>QA-028</t>
        </is>
      </c>
      <c r="B665" s="73" t="n">
        <v>66</v>
      </c>
      <c r="C665" s="73" t="inlineStr">
        <is>
          <t>Role authorization</t>
        </is>
      </c>
      <c r="D665" s="73" t="inlineStr">
        <is>
          <t>PASS</t>
        </is>
      </c>
      <c r="E665" s="73" t="inlineStr">
        <is>
          <t>Student and demo tokens returned HTTP 403 for instructor routes</t>
        </is>
      </c>
    </row>
    <row r="666" ht="30" customHeight="1" s="78">
      <c r="A666" s="73" t="inlineStr">
        <is>
          <t>QA-028</t>
        </is>
      </c>
      <c r="B666" s="73" t="n">
        <v>67</v>
      </c>
      <c r="C666" s="73" t="inlineStr">
        <is>
          <t>Instructor access</t>
        </is>
      </c>
      <c r="D666" s="73" t="inlineStr">
        <is>
          <t>PASS</t>
        </is>
      </c>
      <c r="E666" s="73" t="inlineStr">
        <is>
          <t>Assignment, student, and research endpoints returned HTTP 200</t>
        </is>
      </c>
    </row>
    <row r="667" ht="30" customHeight="1" s="78">
      <c r="A667" s="73" t="inlineStr">
        <is>
          <t>QA-028</t>
        </is>
      </c>
      <c r="B667" s="73" t="n">
        <v>68</v>
      </c>
      <c r="C667" s="73" t="inlineStr">
        <is>
          <t>Logout revocation</t>
        </is>
      </c>
      <c r="D667" s="73" t="inlineStr">
        <is>
          <t>PASS</t>
        </is>
      </c>
      <c r="E667" s="73" t="inlineStr">
        <is>
          <t>Logout returned 200; reused token returned 401</t>
        </is>
      </c>
    </row>
    <row r="668" ht="30" customHeight="1" s="78">
      <c r="A668" s="73" t="inlineStr">
        <is>
          <t>QA-028</t>
        </is>
      </c>
      <c r="B668" s="73" t="n">
        <v>69</v>
      </c>
      <c r="C668" s="73" t="inlineStr">
        <is>
          <t>Deferred password/email features</t>
        </is>
      </c>
      <c r="D668" s="73" t="inlineStr">
        <is>
          <t>Deferred password/email features</t>
        </is>
      </c>
      <c r="E668" s="73" t="inlineStr">
        <is>
          <t>Local default returned HTTP 404 | PASS</t>
        </is>
      </c>
    </row>
    <row r="669" ht="30" customHeight="1" s="78">
      <c r="A669" s="73" t="inlineStr">
        <is>
          <t>QA-028</t>
        </is>
      </c>
      <c r="B669" s="73" t="n">
        <v>70</v>
      </c>
      <c r="C669" s="73" t="inlineStr">
        <is>
          <t>Instructor assignment validation</t>
        </is>
      </c>
      <c r="D669" s="73" t="inlineStr">
        <is>
          <t>PASS</t>
        </is>
      </c>
      <c r="E669" s="73" t="inlineStr">
        <is>
          <t>Assignments 1-6 returned `valid=true` with zero errors</t>
        </is>
      </c>
    </row>
    <row r="670" ht="30" customHeight="1" s="78">
      <c r="A670" s="73" t="inlineStr">
        <is>
          <t>QA-028</t>
        </is>
      </c>
      <c r="B670" s="73" t="n">
        <v>71</v>
      </c>
      <c r="C670" s="73" t="inlineStr">
        <is>
          <t>Demo learning tools</t>
        </is>
      </c>
      <c r="D670" s="73" t="inlineStr">
        <is>
          <t>PASS</t>
        </is>
      </c>
      <c r="E670" s="73" t="inlineStr">
        <is>
          <t>Demo submission, hint, and tutor question returned HTTP 200</t>
        </is>
      </c>
    </row>
    <row r="671" ht="30" customHeight="1" s="78">
      <c r="A671" s="73" t="inlineStr">
        <is>
          <t>QA-028</t>
        </is>
      </c>
      <c r="B671" s="73" t="n">
        <v>72</v>
      </c>
      <c r="C671" s="73" t="inlineStr">
        <is>
          <t>Demo restrictions</t>
        </is>
      </c>
      <c r="D671" s="73" t="inlineStr">
        <is>
          <t>PASS</t>
        </is>
      </c>
      <c r="E671" s="73" t="inlineStr">
        <is>
          <t>Research persistence returned 409; admin access returned 403</t>
        </is>
      </c>
    </row>
    <row r="672" ht="30" customHeight="1" s="78">
      <c r="A672" s="73" t="inlineStr">
        <is>
          <t>QA-028</t>
        </is>
      </c>
      <c r="B672" s="73" t="n">
        <v>73</v>
      </c>
      <c r="C672" s="73" t="inlineStr">
        <is>
          <t>Demo memory-only behavior</t>
        </is>
      </c>
      <c r="D672" s="73" t="inlineStr">
        <is>
          <t>PASS</t>
        </is>
      </c>
      <c r="E672" s="73" t="inlineStr">
        <is>
          <t>Submission, auth-session, audit, study-session, and learning-event database counts were unchanged</t>
        </is>
      </c>
    </row>
    <row r="673" ht="30" customHeight="1" s="78">
      <c r="A673" s="73" t="inlineStr">
        <is>
          <t>QA-028</t>
        </is>
      </c>
      <c r="B673" s="73" t="n">
        <v>74</v>
      </c>
      <c r="C673" s="73" t="inlineStr">
        <is>
          <t>AI disabled fallback</t>
        </is>
      </c>
      <c r="D673" s="73" t="inlineStr">
        <is>
          <t>PASS</t>
        </is>
      </c>
      <c r="E673" s="73" t="inlineStr">
        <is>
          <t>Requested tutor help returned built-in `fallback`, progressive debugging steps, and no solution</t>
        </is>
      </c>
    </row>
    <row r="674" ht="30" customHeight="1" s="78">
      <c r="A674" s="73" t="inlineStr">
        <is>
          <t>QA-028</t>
        </is>
      </c>
      <c r="B674" s="73" t="n">
        <v>75</v>
      </c>
      <c r="C674" s="73" t="inlineStr">
        <is>
          <t>Research CSV privacy</t>
        </is>
      </c>
      <c r="D674" s="73" t="inlineStr">
        <is>
          <t>PASS</t>
        </is>
      </c>
      <c r="E674" s="73" t="inlineStr">
        <is>
          <t>Three CSV datasets returned 200 and excluded passwords, login IDs, source code, secrets, and grader fields</t>
        </is>
      </c>
    </row>
    <row r="675" ht="30" customHeight="1" s="78">
      <c r="A675" s="73" t="inlineStr">
        <is>
          <t>QA-028</t>
        </is>
      </c>
      <c r="B675" s="73" t="n">
        <v>76</v>
      </c>
      <c r="C675" s="73" t="inlineStr">
        <is>
          <t>Research Excel export</t>
        </is>
      </c>
      <c r="D675" s="73" t="inlineStr">
        <is>
          <t>PASS</t>
        </is>
      </c>
      <c r="E675" s="73" t="inlineStr">
        <is>
          <t>Combined XLSX returned 200, valid ZIP signature, and 14,487 bytes</t>
        </is>
      </c>
    </row>
    <row r="676" ht="30" customHeight="1" s="78">
      <c r="A676" s="73" t="inlineStr">
        <is>
          <t>QA-028</t>
        </is>
      </c>
      <c r="B676" s="73" t="n">
        <v>82</v>
      </c>
      <c r="C676" s="73" t="inlineStr">
        <is>
          <t>Clean login</t>
        </is>
      </c>
      <c r="D676" s="73" t="inlineStr">
        <is>
          <t>PASS</t>
        </is>
      </c>
      <c r="E676" s="73" t="inlineStr">
        <is>
          <t>Login ID, password, sign-in, and temporary-demo controls rendered; credentials were not displayed</t>
        </is>
      </c>
    </row>
    <row r="677" ht="30" customHeight="1" s="78">
      <c r="A677" s="73" t="inlineStr">
        <is>
          <t>QA-028</t>
        </is>
      </c>
      <c r="B677" s="73" t="n">
        <v>83</v>
      </c>
      <c r="C677" s="73" t="inlineStr">
        <is>
          <t>Demo entry and reset</t>
        </is>
      </c>
      <c r="D677" s="73" t="inlineStr">
        <is>
          <t>PASS</t>
        </is>
      </c>
      <c r="E677" s="73" t="inlineStr">
        <is>
          <t>Demo opened without credentials; browser refresh returned to login and reset work</t>
        </is>
      </c>
    </row>
    <row r="678" ht="30" customHeight="1" s="78">
      <c r="A678" s="73" t="inlineStr">
        <is>
          <t>QA-028</t>
        </is>
      </c>
      <c r="B678" s="73" t="n">
        <v>84</v>
      </c>
      <c r="C678" s="73" t="inlineStr">
        <is>
          <t>Catalog</t>
        </is>
      </c>
      <c r="D678" s="73" t="inlineStr">
        <is>
          <t>PASS</t>
        </is>
      </c>
      <c r="E678" s="73" t="inlineStr">
        <is>
          <t>All six assignment cards rendered with correct titles and states</t>
        </is>
      </c>
    </row>
    <row r="679" ht="30" customHeight="1" s="78">
      <c r="A679" s="73" t="inlineStr">
        <is>
          <t>QA-028</t>
        </is>
      </c>
      <c r="B679" s="73" t="n">
        <v>85</v>
      </c>
      <c r="C679" s="73" t="inlineStr">
        <is>
          <t>Python workspace</t>
        </is>
      </c>
      <c r="D679" s="73" t="inlineStr">
        <is>
          <t>PASS</t>
        </is>
      </c>
      <c r="E679" s="73" t="inlineStr">
        <is>
          <t>Assignment 1 instructions/editor/results rendered; starter run completed at 0% without hanging</t>
        </is>
      </c>
    </row>
    <row r="680" ht="30" customHeight="1" s="78">
      <c r="A680" s="73" t="inlineStr">
        <is>
          <t>QA-028</t>
        </is>
      </c>
      <c r="B680" s="73" t="n">
        <v>86</v>
      </c>
      <c r="C680" s="73" t="inlineStr">
        <is>
          <t>ROS workspace</t>
        </is>
      </c>
      <c r="D680" s="73" t="inlineStr">
        <is>
          <t>PASS</t>
        </is>
      </c>
      <c r="E680" s="73" t="inlineStr">
        <is>
          <t>Assignment 5 file tree showed only `controller.py` editable; other project files were locked</t>
        </is>
      </c>
    </row>
    <row r="681" ht="30" customHeight="1" s="78">
      <c r="A681" s="73" t="inlineStr">
        <is>
          <t>QA-028</t>
        </is>
      </c>
      <c r="B681" s="73" t="n">
        <v>87</v>
      </c>
      <c r="C681" s="73" t="inlineStr">
        <is>
          <t>Long ROS run</t>
        </is>
      </c>
      <c r="D681" s="73" t="inlineStr">
        <is>
          <t>PASS</t>
        </is>
      </c>
      <c r="E681" s="73" t="inlineStr">
        <is>
          <t>Starter run completed at 29%, 2/7 checks, with observed-topic evidence</t>
        </is>
      </c>
    </row>
    <row r="682" ht="30" customHeight="1" s="78">
      <c r="A682" s="73" t="inlineStr">
        <is>
          <t>QA-028</t>
        </is>
      </c>
      <c r="B682" s="73" t="n">
        <v>88</v>
      </c>
      <c r="C682" s="73" t="inlineStr">
        <is>
          <t>Responsive layout</t>
        </is>
      </c>
      <c r="D682" s="73" t="inlineStr">
        <is>
          <t>PASS</t>
        </is>
      </c>
      <c r="E682" s="73" t="inlineStr">
        <is>
          <t>Login and catalog rendered at 390 x 844 with readable single-column cards and no visible horizontal overflow</t>
        </is>
      </c>
    </row>
    <row r="683" ht="30" customHeight="1" s="78">
      <c r="A683" s="73" t="inlineStr">
        <is>
          <t>QA-028</t>
        </is>
      </c>
      <c r="B683" s="73" t="n">
        <v>89</v>
      </c>
      <c r="C683" s="73" t="inlineStr">
        <is>
          <t>Keyboard/accessibility regression</t>
        </is>
      </c>
      <c r="D683" s="73" t="inlineStr">
        <is>
          <t>PASS</t>
        </is>
      </c>
      <c r="E683" s="73" t="inlineStr">
        <is>
          <t>Flutter tests covered Ctrl+Enter, semantic roles, responsive results, and navigation</t>
        </is>
      </c>
    </row>
    <row r="684" ht="30" customHeight="1" s="78">
      <c r="A684" s="73" t="inlineStr">
        <is>
          <t>QA-028</t>
        </is>
      </c>
      <c r="B684" s="73" t="n">
        <v>90</v>
      </c>
      <c r="C684" s="73" t="inlineStr">
        <is>
          <t>Browser console</t>
        </is>
      </c>
      <c r="D684" s="73" t="inlineStr">
        <is>
          <t>PASS</t>
        </is>
      </c>
      <c r="E684" s="73" t="inlineStr">
        <is>
          <t>No application errors; only the known Flutter debug-mode DWDS warning appeared</t>
        </is>
      </c>
    </row>
    <row r="685" ht="30" customHeight="1" s="78">
      <c r="A685" s="73" t="inlineStr">
        <is>
          <t>QA-028</t>
        </is>
      </c>
      <c r="B685" s="73" t="n">
        <v>96</v>
      </c>
      <c r="C685" s="73" t="inlineStr">
        <is>
          <t>Backend regression</t>
        </is>
      </c>
      <c r="D685" s="73" t="inlineStr">
        <is>
          <t>PASS, 171 tests</t>
        </is>
      </c>
      <c r="E685" s="73" t="n"/>
    </row>
    <row r="686" ht="30" customHeight="1" s="78">
      <c r="A686" s="73" t="inlineStr">
        <is>
          <t>QA-028</t>
        </is>
      </c>
      <c r="B686" s="73" t="n">
        <v>97</v>
      </c>
      <c r="C686" s="73" t="inlineStr">
        <is>
          <t>Python dependency integrity</t>
        </is>
      </c>
      <c r="D686" s="73" t="inlineStr">
        <is>
          <t>PASS, `pip check` found no broken requirements</t>
        </is>
      </c>
      <c r="E686" s="73" t="n"/>
    </row>
    <row r="687" ht="30" customHeight="1" s="78">
      <c r="A687" s="73" t="inlineStr">
        <is>
          <t>QA-028</t>
        </is>
      </c>
      <c r="B687" s="73" t="n">
        <v>98</v>
      </c>
      <c r="C687" s="73" t="inlineStr">
        <is>
          <t>Python compilation</t>
        </is>
      </c>
      <c r="D687" s="73" t="inlineStr">
        <is>
          <t>PASS</t>
        </is>
      </c>
      <c r="E687" s="73" t="n"/>
    </row>
    <row r="688" ht="30" customHeight="1" s="78">
      <c r="A688" s="73" t="inlineStr">
        <is>
          <t>QA-028</t>
        </is>
      </c>
      <c r="B688" s="73" t="n">
        <v>99</v>
      </c>
      <c r="C688" s="73" t="inlineStr">
        <is>
          <t>Flutter analysis</t>
        </is>
      </c>
      <c r="D688" s="73" t="inlineStr">
        <is>
          <t>PASS, no issues</t>
        </is>
      </c>
      <c r="E688" s="73" t="n"/>
    </row>
    <row r="689" ht="30" customHeight="1" s="78">
      <c r="A689" s="73" t="inlineStr">
        <is>
          <t>QA-028</t>
        </is>
      </c>
      <c r="B689" s="73" t="n">
        <v>100</v>
      </c>
      <c r="C689" s="73" t="inlineStr">
        <is>
          <t>Flutter widget/state tests</t>
        </is>
      </c>
      <c r="D689" s="73" t="inlineStr">
        <is>
          <t>PASS, 48 tests</t>
        </is>
      </c>
      <c r="E689" s="73" t="n"/>
    </row>
    <row r="690" ht="30" customHeight="1" s="78">
      <c r="A690" s="73" t="inlineStr">
        <is>
          <t>QA-028</t>
        </is>
      </c>
      <c r="B690" s="73" t="n">
        <v>101</v>
      </c>
      <c r="C690" s="73" t="inlineStr">
        <is>
          <t>Flutter web release build</t>
        </is>
      </c>
      <c r="D690" s="73" t="inlineStr">
        <is>
          <t>PASS</t>
        </is>
      </c>
      <c r="E690" s="73" t="n"/>
    </row>
    <row r="691" ht="30" customHeight="1" s="78">
      <c r="A691" s="73" t="inlineStr">
        <is>
          <t>QA-028</t>
        </is>
      </c>
      <c r="B691" s="73" t="n">
        <v>102</v>
      </c>
      <c r="C691" s="73" t="inlineStr">
        <is>
          <t>Managed backend and sandbox health</t>
        </is>
      </c>
      <c r="D691" s="73" t="inlineStr">
        <is>
          <t>PASS</t>
        </is>
      </c>
      <c r="E691" s="73" t="n"/>
    </row>
    <row r="692" ht="30" customHeight="1" s="78">
      <c r="A692" s="73" t="inlineStr">
        <is>
          <t>QA-028</t>
        </is>
      </c>
      <c r="B692" s="73" t="n">
        <v>103</v>
      </c>
      <c r="C692" s="73" t="inlineStr">
        <is>
          <t>SQLite student-attempt restart persistence</t>
        </is>
      </c>
      <c r="D692" s="73" t="inlineStr">
        <is>
          <t>PASS, 75 submissions before and after restart</t>
        </is>
      </c>
      <c r="E692" s="73" t="n"/>
    </row>
    <row r="693" ht="30" customHeight="1" s="78">
      <c r="A693" s="73" t="inlineStr">
        <is>
          <t>QA-028</t>
        </is>
      </c>
      <c r="B693" s="73" t="n">
        <v>104</v>
      </c>
      <c r="C693" s="73" t="inlineStr">
        <is>
          <t>Instructor analytics after restart</t>
        </is>
      </c>
      <c r="D693" s="73" t="inlineStr">
        <is>
          <t>PASS, HTTP 200</t>
        </is>
      </c>
      <c r="E693" s="73" t="n"/>
    </row>
    <row r="694" ht="30" customHeight="1" s="78">
      <c r="A694" s="73" t="inlineStr">
        <is>
          <t>QA-028</t>
        </is>
      </c>
      <c r="B694" s="73" t="n">
        <v>105</v>
      </c>
      <c r="C694" s="73" t="inlineStr">
        <is>
          <t>ROS 2 grader image build</t>
        </is>
      </c>
      <c r="D694" s="73" t="inlineStr">
        <is>
          <t>PASS</t>
        </is>
      </c>
      <c r="E694" s="73" t="n"/>
    </row>
    <row r="695" ht="30" customHeight="1" s="78">
      <c r="A695" s="73" t="inlineStr">
        <is>
          <t>QA-028</t>
        </is>
      </c>
      <c r="B695" s="73" t="n">
        <v>106</v>
      </c>
      <c r="C695" s="73" t="inlineStr">
        <is>
          <t>Assignment 5 real ROS behavior</t>
        </is>
      </c>
      <c r="D695" s="73" t="inlineStr">
        <is>
          <t>PASS, 7/7; 78 Twist messages at approximately 10.0 Hz</t>
        </is>
      </c>
      <c r="E695" s="73" t="n"/>
    </row>
    <row r="696" ht="30" customHeight="1" s="78">
      <c r="A696" s="73" t="inlineStr">
        <is>
          <t>QA-028</t>
        </is>
      </c>
      <c r="B696" s="73" t="n">
        <v>107</v>
      </c>
      <c r="C696" s="73" t="inlineStr">
        <is>
          <t>Assignment 6 real ROS behavior</t>
        </is>
      </c>
      <c r="D696" s="73" t="inlineStr">
        <is>
          <t>PASS, 9/9; 44 settled Twist messages at approximately 9.2 Hz</t>
        </is>
      </c>
      <c r="E696" s="73" t="n"/>
    </row>
    <row r="697" ht="30" customHeight="1" s="78">
      <c r="A697" s="73" t="inlineStr">
        <is>
          <t>QA-028</t>
        </is>
      </c>
      <c r="B697" s="73" t="n">
        <v>108</v>
      </c>
      <c r="C697" s="73" t="inlineStr">
        <is>
          <t>Dedicated sandbox-service image</t>
        </is>
      </c>
      <c r="D697" s="73" t="inlineStr">
        <is>
          <t>PASS, Python 3.14.7</t>
        </is>
      </c>
      <c r="E697" s="73" t="n"/>
    </row>
    <row r="698" ht="30" customHeight="1" s="78">
      <c r="A698" s="73" t="inlineStr">
        <is>
          <t>QA-028</t>
        </is>
      </c>
      <c r="B698" s="73" t="n">
        <v>109</v>
      </c>
      <c r="C698" s="73" t="inlineStr">
        <is>
          <t>Sandbox service authentication</t>
        </is>
      </c>
      <c r="D698" s="73" t="inlineStr">
        <is>
          <t>PASS, unauthorized 401 and authorized execution 200</t>
        </is>
      </c>
      <c r="E698" s="73" t="n"/>
    </row>
    <row r="699" ht="30" customHeight="1" s="78">
      <c r="A699" s="73" t="inlineStr">
        <is>
          <t>QA-028</t>
        </is>
      </c>
      <c r="B699" s="73" t="n">
        <v>110</v>
      </c>
      <c r="C699" s="73" t="inlineStr">
        <is>
          <t>Backend Docker image</t>
        </is>
      </c>
      <c r="D699" s="73" t="inlineStr">
        <is>
          <t>PASS, Python 3.14.7 and pinned runtime imports</t>
        </is>
      </c>
      <c r="E699" s="73" t="n"/>
    </row>
    <row r="700" ht="30" customHeight="1" s="78">
      <c r="A700" s="73" t="inlineStr">
        <is>
          <t>QA-028</t>
        </is>
      </c>
      <c r="B700" s="73" t="n">
        <v>111</v>
      </c>
      <c r="C700" s="73" t="inlineStr">
        <is>
          <t>Fresh PostgreSQL migration</t>
        </is>
      </c>
      <c r="D700" s="73" t="inlineStr">
        <is>
          <t>PASS, PostgreSQL 17 through Alembic head `0003_standardize_existing_data`</t>
        </is>
      </c>
      <c r="E700" s="73" t="n"/>
    </row>
    <row r="701" ht="30" customHeight="1" s="78">
      <c r="A701" s="73" t="inlineStr">
        <is>
          <t>QA-028</t>
        </is>
      </c>
      <c r="B701" s="73" t="n">
        <v>112</v>
      </c>
      <c r="C701" s="73" t="inlineStr">
        <is>
          <t>Repository whitespace and generated-file safety</t>
        </is>
      </c>
      <c r="D701" s="73" t="inlineStr">
        <is>
          <t>PASS</t>
        </is>
      </c>
      <c r="E701" s="73" t="n"/>
    </row>
    <row r="702" ht="30" customHeight="1" s="78">
      <c r="A702" s="73" t="inlineStr">
        <is>
          <t>QA-028</t>
        </is>
      </c>
      <c r="B702" s="73" t="n">
        <v>132</v>
      </c>
      <c r="C702" s="73" t="inlineStr">
        <is>
          <t>Paid OpenAI provider request</t>
        </is>
      </c>
      <c r="D702" s="73" t="inlineStr">
        <is>
          <t>NOT RUN</t>
        </is>
      </c>
      <c r="E702" s="73" t="inlineStr">
        <is>
          <t>AI is optional and off by default; no paid provider call was authorized or required for deterministic grading</t>
        </is>
      </c>
    </row>
    <row r="703" ht="30" customHeight="1" s="78">
      <c r="A703" s="73" t="inlineStr">
        <is>
          <t>QA-028</t>
        </is>
      </c>
      <c r="B703" s="73" t="n">
        <v>133</v>
      </c>
      <c r="C703" s="73" t="inlineStr">
        <is>
          <t>Public live deployment</t>
        </is>
      </c>
      <c r="D703" s="73" t="inlineStr">
        <is>
          <t>NOT RUN</t>
        </is>
      </c>
      <c r="E703" s="73" t="inlineStr">
        <is>
          <t>This task authorizes staging `main` only; the production repository remains untouched</t>
        </is>
      </c>
    </row>
    <row r="704" ht="39.95" customHeight="1" s="78">
      <c r="A704" s="73" t="inlineStr">
        <is>
          <t>QA-028</t>
        </is>
      </c>
      <c r="B704" s="73" t="n">
        <v>134</v>
      </c>
      <c r="C704" s="73" t="inlineStr">
        <is>
          <t>Second physical computer/network</t>
        </is>
      </c>
      <c r="D704" s="73" t="inlineStr">
        <is>
          <t>NOT RUN</t>
        </is>
      </c>
      <c r="E704" s="73" t="inlineStr">
        <is>
          <t>The current task ran on the canonical desktop checkout; use the README device-switch procedure for the laptop rehearsal</t>
        </is>
      </c>
    </row>
    <row r="705" ht="30" customHeight="1" s="78">
      <c r="A705" s="73" t="inlineStr">
        <is>
          <t>QA-028</t>
        </is>
      </c>
      <c r="B705" s="73" t="n">
        <v>135</v>
      </c>
      <c r="C705" s="73" t="inlineStr">
        <is>
          <t>Android packaging</t>
        </is>
      </c>
      <c r="D705" s="73" t="inlineStr">
        <is>
          <t>NOT RUN</t>
        </is>
      </c>
      <c r="E705" s="73" t="inlineStr">
        <is>
          <t>Current project priority is the local web application</t>
        </is>
      </c>
    </row>
    <row r="706" ht="39.95" customHeight="1" s="78">
      <c r="A706" s="73" t="inlineStr">
        <is>
          <t>QA-028</t>
        </is>
      </c>
      <c r="B706" s="73" t="n">
        <v>136</v>
      </c>
      <c r="C706" s="73" t="inlineStr">
        <is>
          <t>Master SQA workbook edit</t>
        </is>
      </c>
      <c r="D706" s="73" t="inlineStr">
        <is>
          <t>BLOCKED</t>
        </is>
      </c>
      <c r="E706" s="73" t="inlineStr">
        <is>
          <t>The required standalone spreadsheet artifact runtime was unavailable; this Markdown report is the current authoritative evidence</t>
        </is>
      </c>
    </row>
    <row r="707" ht="39.95" customHeight="1" s="78">
      <c r="A707" s="73" t="inlineStr">
        <is>
          <t>QA-028</t>
        </is>
      </c>
      <c r="B707" s="73" t="n">
        <v>137</v>
      </c>
      <c r="C707" s="73" t="inlineStr">
        <is>
          <t>Flutter dependency upgrades</t>
        </is>
      </c>
      <c r="D707" s="73" t="inlineStr">
        <is>
          <t>DEFERRED</t>
        </is>
      </c>
      <c r="E707" s="73" t="inlineStr">
        <is>
          <t>Flutter reports 80 newer packages outside the validated constraints; upgrading them is separate risk-bearing work</t>
        </is>
      </c>
    </row>
    <row r="708" ht="39.95" customHeight="1" s="78">
      <c r="A708" s="73" t="inlineStr">
        <is>
          <t>QA-029</t>
        </is>
      </c>
      <c r="B708" s="73" t="n">
        <v>24</v>
      </c>
      <c r="C708" s="73" t="inlineStr">
        <is>
          <t>Cold local startup</t>
        </is>
      </c>
      <c r="D708" s="73" t="inlineStr">
        <is>
          <t>PASS</t>
        </is>
      </c>
      <c r="E708" s="73" t="inlineStr">
        <is>
          <t>Managed launcher waited for the Flutter compiler before printing the ready URL; a fresh browser reached the login screen without the earlier entrypoint error</t>
        </is>
      </c>
    </row>
    <row r="709" ht="30" customHeight="1" s="78">
      <c r="A709" s="73" t="inlineStr">
        <is>
          <t>QA-029</t>
        </is>
      </c>
      <c r="B709" s="73" t="n">
        <v>25</v>
      </c>
      <c r="C709" s="73" t="inlineStr">
        <is>
          <t>Login page</t>
        </is>
      </c>
      <c r="D709" s="73" t="inlineStr">
        <is>
          <t>PASS</t>
        </is>
      </c>
      <c r="E709" s="73" t="inlineStr">
        <is>
          <t>Login ID/password controls and student-demo option rendered; default credentials were not displayed</t>
        </is>
      </c>
    </row>
    <row r="710" ht="30" customHeight="1" s="78">
      <c r="A710" s="73" t="inlineStr">
        <is>
          <t>QA-029</t>
        </is>
      </c>
      <c r="B710" s="73" t="n">
        <v>26</v>
      </c>
      <c r="C710" s="73" t="inlineStr">
        <is>
          <t>Student demo</t>
        </is>
      </c>
      <c r="D710" s="73" t="inlineStr">
        <is>
          <t>PASS</t>
        </is>
      </c>
      <c r="E710" s="73" t="inlineStr">
        <is>
          <t>Six assignments opened; demo banner was present; refresh cleared the temporary session</t>
        </is>
      </c>
    </row>
    <row r="711" ht="39.95" customHeight="1" s="78">
      <c r="A711" s="73" t="inlineStr">
        <is>
          <t>QA-029</t>
        </is>
      </c>
      <c r="B711" s="73" t="n">
        <v>27</v>
      </c>
      <c r="C711" s="73" t="inlineStr">
        <is>
          <t>Student account login</t>
        </is>
      </c>
      <c r="D711" s="73" t="inlineStr">
        <is>
          <t>PASS</t>
        </is>
      </c>
      <c r="E711" s="73" t="inlineStr">
        <is>
          <t>Default local student account authenticated and showed the ordinary six-assignment catalog without a demo label</t>
        </is>
      </c>
    </row>
    <row r="712" ht="30" customHeight="1" s="78">
      <c r="A712" s="73" t="inlineStr">
        <is>
          <t>QA-029</t>
        </is>
      </c>
      <c r="B712" s="73" t="n">
        <v>28</v>
      </c>
      <c r="C712" s="73" t="inlineStr">
        <is>
          <t>Student progress</t>
        </is>
      </c>
      <c r="D712" s="73" t="inlineStr">
        <is>
          <t>PASS</t>
        </is>
      </c>
      <c r="E712" s="73" t="inlineStr">
        <is>
          <t>`My study progress` displayed participant-only attempts, completion, best score, and active time</t>
        </is>
      </c>
    </row>
    <row r="713" ht="30" customHeight="1" s="78">
      <c r="A713" s="73" t="inlineStr">
        <is>
          <t>QA-029</t>
        </is>
      </c>
      <c r="B713" s="73" t="n">
        <v>29</v>
      </c>
      <c r="C713" s="73" t="inlineStr">
        <is>
          <t>Instructor login</t>
        </is>
      </c>
      <c r="D713" s="73" t="inlineStr">
        <is>
          <t>PASS</t>
        </is>
      </c>
      <c r="E713" s="73" t="inlineStr">
        <is>
          <t>Default local instructor account authenticated and exposed role-authorized management</t>
        </is>
      </c>
    </row>
    <row r="714" ht="30" customHeight="1" s="78">
      <c r="A714" s="73" t="inlineStr">
        <is>
          <t>QA-029</t>
        </is>
      </c>
      <c r="B714" s="73" t="n">
        <v>30</v>
      </c>
      <c r="C714" s="73" t="inlineStr">
        <is>
          <t>Assignment studio</t>
        </is>
      </c>
      <c r="D714" s="73" t="inlineStr">
        <is>
          <t>PASS</t>
        </is>
      </c>
      <c r="E714" s="73" t="inlineStr">
        <is>
          <t>All six versioned assignments rendered and the Assignment 1 editor opened without changing content</t>
        </is>
      </c>
    </row>
    <row r="715" ht="30" customHeight="1" s="78">
      <c r="A715" s="73" t="inlineStr">
        <is>
          <t>QA-029</t>
        </is>
      </c>
      <c r="B715" s="73" t="n">
        <v>31</v>
      </c>
      <c r="C715" s="73" t="inlineStr">
        <is>
          <t>Student-account management</t>
        </is>
      </c>
      <c r="D715" s="73" t="inlineStr">
        <is>
          <t>PASS</t>
        </is>
      </c>
      <c r="E715" s="73" t="inlineStr">
        <is>
          <t>Existing student account and new-student control rendered; no account was changed or deleted during QA</t>
        </is>
      </c>
    </row>
    <row r="716" ht="39.95" customHeight="1" s="78">
      <c r="A716" s="73" t="inlineStr">
        <is>
          <t>QA-029</t>
        </is>
      </c>
      <c r="B716" s="73" t="n">
        <v>32</v>
      </c>
      <c r="C716" s="73" t="inlineStr">
        <is>
          <t>Research dashboard</t>
        </is>
      </c>
      <c r="D716" s="73" t="inlineStr">
        <is>
          <t>PASS</t>
        </is>
      </c>
      <c r="E716" s="73" t="inlineStr">
        <is>
          <t>Participant-code overview, attempts, completion, and active time rendered without login IDs, passwords, or code</t>
        </is>
      </c>
    </row>
    <row r="717" ht="39.95" customHeight="1" s="78">
      <c r="A717" s="73" t="inlineStr">
        <is>
          <t>QA-029</t>
        </is>
      </c>
      <c r="B717" s="73" t="n">
        <v>33</v>
      </c>
      <c r="C717" s="73" t="inlineStr">
        <is>
          <t>Assignment 1 grading</t>
        </is>
      </c>
      <c r="D717" s="73" t="inlineStr">
        <is>
          <t>PASS</t>
        </is>
      </c>
      <c r="E717" s="73" t="inlineStr">
        <is>
          <t>Starter code completed through the dedicated sandbox and returned structured failing-test evidence without hanging</t>
        </is>
      </c>
    </row>
    <row r="718" ht="39.95" customHeight="1" s="78">
      <c r="A718" s="73" t="inlineStr">
        <is>
          <t>QA-029</t>
        </is>
      </c>
      <c r="B718" s="73" t="n">
        <v>34</v>
      </c>
      <c r="C718" s="73" t="inlineStr">
        <is>
          <t>Optional AI control</t>
        </is>
      </c>
      <c r="D718" s="73" t="inlineStr">
        <is>
          <t>PASS</t>
        </is>
      </c>
      <c r="E718" s="73" t="inlineStr">
        <is>
          <t>AI was off by default; enabling the UI control did not interrupt deterministic grading while server-side AI remained disabled</t>
        </is>
      </c>
    </row>
    <row r="719" ht="39.95" customHeight="1" s="78">
      <c r="A719" s="73" t="inlineStr">
        <is>
          <t>QA-029</t>
        </is>
      </c>
      <c r="B719" s="73" t="n">
        <v>35</v>
      </c>
      <c r="C719" s="73" t="inlineStr">
        <is>
          <t>Mobile layout</t>
        </is>
      </c>
      <c r="D719" s="73" t="inlineStr">
        <is>
          <t>PASS</t>
        </is>
      </c>
      <c r="E719" s="73" t="inlineStr">
        <is>
          <t>At 390 x 844, login, catalog, workspace tabs, results, and ROS project tree remained usable without visible overflow</t>
        </is>
      </c>
    </row>
    <row r="720" ht="30" customHeight="1" s="78">
      <c r="A720" s="73" t="inlineStr">
        <is>
          <t>QA-029</t>
        </is>
      </c>
      <c r="B720" s="73" t="n">
        <v>36</v>
      </c>
      <c r="C720" s="73" t="inlineStr">
        <is>
          <t>Assignment 5 starter run</t>
        </is>
      </c>
      <c r="D720" s="73" t="inlineStr">
        <is>
          <t>PASS</t>
        </is>
      </c>
      <c r="E720" s="73" t="inlineStr">
        <is>
          <t>ROS grader completed and returned 2/7 checks with meaningful feedback</t>
        </is>
      </c>
    </row>
    <row r="721" ht="30" customHeight="1" s="78">
      <c r="A721" s="73" t="inlineStr">
        <is>
          <t>QA-029</t>
        </is>
      </c>
      <c r="B721" s="73" t="n">
        <v>37</v>
      </c>
      <c r="C721" s="73" t="inlineStr">
        <is>
          <t>Assignment 6 starter run</t>
        </is>
      </c>
      <c r="D721" s="73" t="inlineStr">
        <is>
          <t>PASS</t>
        </is>
      </c>
      <c r="E721" s="73" t="inlineStr">
        <is>
          <t>ROS grader completed and returned 1/9 checks with meaningful feedback</t>
        </is>
      </c>
    </row>
    <row r="722" ht="39.95" customHeight="1" s="78">
      <c r="A722" s="73" t="inlineStr">
        <is>
          <t>QA-029</t>
        </is>
      </c>
      <c r="B722" s="73" t="n">
        <v>38</v>
      </c>
      <c r="C722" s="73" t="inlineStr">
        <is>
          <t>Docker unavailable recovery</t>
        </is>
      </c>
      <c r="D722" s="73" t="inlineStr">
        <is>
          <t>PASS</t>
        </is>
      </c>
      <c r="E722" s="73" t="inlineStr">
        <is>
          <t>Executor regression test converts the Windows Docker pipe failure into an actionable `Start Docker Desktop` message without exposing pipe details</t>
        </is>
      </c>
    </row>
    <row r="723" ht="30" customHeight="1" s="78">
      <c r="A723" s="73" t="inlineStr">
        <is>
          <t>QA-029</t>
        </is>
      </c>
      <c r="B723" s="73" t="n">
        <v>44</v>
      </c>
      <c r="C723" s="73" t="inlineStr">
        <is>
          <t>Backend tests</t>
        </is>
      </c>
      <c r="D723" s="73" t="inlineStr">
        <is>
          <t>PASS</t>
        </is>
      </c>
      <c r="E723" s="73" t="inlineStr">
        <is>
          <t>127 pytest tests passed</t>
        </is>
      </c>
    </row>
    <row r="724" ht="30" customHeight="1" s="78">
      <c r="A724" s="73" t="inlineStr">
        <is>
          <t>QA-029</t>
        </is>
      </c>
      <c r="B724" s="73" t="n">
        <v>45</v>
      </c>
      <c r="C724" s="73" t="inlineStr">
        <is>
          <t>Python dependency integrity</t>
        </is>
      </c>
      <c r="D724" s="73" t="inlineStr">
        <is>
          <t>PASS</t>
        </is>
      </c>
      <c r="E724" s="73" t="inlineStr">
        <is>
          <t>`pip check` found no broken requirements</t>
        </is>
      </c>
    </row>
    <row r="725" ht="30" customHeight="1" s="78">
      <c r="A725" s="73" t="inlineStr">
        <is>
          <t>QA-029</t>
        </is>
      </c>
      <c r="B725" s="73" t="n">
        <v>46</v>
      </c>
      <c r="C725" s="73" t="inlineStr">
        <is>
          <t>Flutter analysis</t>
        </is>
      </c>
      <c r="D725" s="73" t="inlineStr">
        <is>
          <t>PASS</t>
        </is>
      </c>
      <c r="E725" s="73" t="inlineStr">
        <is>
          <t>No issues found</t>
        </is>
      </c>
    </row>
    <row r="726" ht="30" customHeight="1" s="78">
      <c r="A726" s="73" t="inlineStr">
        <is>
          <t>QA-029</t>
        </is>
      </c>
      <c r="B726" s="73" t="n">
        <v>47</v>
      </c>
      <c r="C726" s="73" t="inlineStr">
        <is>
          <t>Flutter tests</t>
        </is>
      </c>
      <c r="D726" s="73" t="inlineStr">
        <is>
          <t>PASS</t>
        </is>
      </c>
      <c r="E726" s="73" t="inlineStr">
        <is>
          <t>43 tests passed</t>
        </is>
      </c>
    </row>
    <row r="727" ht="30" customHeight="1" s="78">
      <c r="A727" s="73" t="inlineStr">
        <is>
          <t>QA-029</t>
        </is>
      </c>
      <c r="B727" s="73" t="n">
        <v>48</v>
      </c>
      <c r="C727" s="73" t="inlineStr">
        <is>
          <t>Flutter release web build</t>
        </is>
      </c>
      <c r="D727" s="73" t="inlineStr">
        <is>
          <t>PASS</t>
        </is>
      </c>
      <c r="E727" s="73" t="inlineStr">
        <is>
          <t>Production-style release compilation completed</t>
        </is>
      </c>
    </row>
    <row r="728" ht="30" customHeight="1" s="78">
      <c r="A728" s="73" t="inlineStr">
        <is>
          <t>QA-029</t>
        </is>
      </c>
      <c r="B728" s="73" t="n">
        <v>49</v>
      </c>
      <c r="C728" s="73" t="inlineStr">
        <is>
          <t>Backend health</t>
        </is>
      </c>
      <c r="D728" s="73" t="inlineStr">
        <is>
          <t>PASS</t>
        </is>
      </c>
      <c r="E728" s="73" t="inlineStr">
        <is>
          <t>`/health` returned `status: ok`, API version `5.0.0`, SQLite, and remote sandbox mode</t>
        </is>
      </c>
    </row>
    <row r="729" ht="30" customHeight="1" s="78">
      <c r="A729" s="73" t="inlineStr">
        <is>
          <t>QA-029</t>
        </is>
      </c>
      <c r="B729" s="73" t="n">
        <v>50</v>
      </c>
      <c r="C729" s="73" t="inlineStr">
        <is>
          <t>Sandbox health</t>
        </is>
      </c>
      <c r="D729" s="73" t="inlineStr">
        <is>
          <t>PASS</t>
        </is>
      </c>
      <c r="E729" s="73" t="inlineStr">
        <is>
          <t>Dedicated local sandbox returned `status: ok`</t>
        </is>
      </c>
    </row>
    <row r="730" ht="30" customHeight="1" s="78">
      <c r="A730" s="73" t="inlineStr">
        <is>
          <t>QA-029</t>
        </is>
      </c>
      <c r="B730" s="73" t="n">
        <v>51</v>
      </c>
      <c r="C730" s="73" t="inlineStr">
        <is>
          <t>Assignment 5 official solution</t>
        </is>
      </c>
      <c r="D730" s="73" t="inlineStr">
        <is>
          <t>PASS</t>
        </is>
      </c>
      <c r="E730" s="73" t="inlineStr">
        <is>
          <t>7/7 ROS 2 checks passed in `robotics-lab-ros2-grader:jazzy-v1`</t>
        </is>
      </c>
    </row>
    <row r="731" ht="30" customHeight="1" s="78">
      <c r="A731" s="73" t="inlineStr">
        <is>
          <t>QA-029</t>
        </is>
      </c>
      <c r="B731" s="73" t="n">
        <v>52</v>
      </c>
      <c r="C731" s="73" t="inlineStr">
        <is>
          <t>Assignment 6 official solution</t>
        </is>
      </c>
      <c r="D731" s="73" t="inlineStr">
        <is>
          <t>PASS</t>
        </is>
      </c>
      <c r="E731" s="73" t="inlineStr">
        <is>
          <t>9/9 ROS 2 checks passed in `robotics-lab-ros2-grader:jazzy-v1`</t>
        </is>
      </c>
    </row>
    <row r="732" ht="30" customHeight="1" s="78">
      <c r="A732" s="73" t="inlineStr">
        <is>
          <t>QA-029</t>
        </is>
      </c>
      <c r="B732" s="73" t="n">
        <v>53</v>
      </c>
      <c r="C732" s="73" t="inlineStr">
        <is>
          <t>Data migration</t>
        </is>
      </c>
      <c r="D732" s="73" t="inlineStr">
        <is>
          <t>PASS</t>
        </is>
      </c>
      <c r="E732" s="73" t="inlineStr">
        <is>
          <t>Alembic schema migration and fresh/upgrade/downgrade tests passed</t>
        </is>
      </c>
    </row>
    <row r="733" ht="30" customHeight="1" s="78">
      <c r="A733" s="73" t="inlineStr">
        <is>
          <t>QA-029</t>
        </is>
      </c>
      <c r="B733" s="73" t="n">
        <v>54</v>
      </c>
      <c r="C733" s="73" t="inlineStr">
        <is>
          <t>Data contracts</t>
        </is>
      </c>
      <c r="D733" s="73" t="inlineStr">
        <is>
          <t>PASS</t>
        </is>
      </c>
      <c r="E733" s="73" t="inlineStr">
        <is>
          <t>Assignment, attempt, execution-status, rubric, and learning-event contracts passed validation tests</t>
        </is>
      </c>
    </row>
    <row r="734" ht="30" customHeight="1" s="78">
      <c r="A734" s="73" t="inlineStr">
        <is>
          <t>QA-029</t>
        </is>
      </c>
      <c r="B734" s="73" t="n">
        <v>55</v>
      </c>
      <c r="C734" s="73" t="inlineStr">
        <is>
          <t>Git whitespace</t>
        </is>
      </c>
      <c r="D734" s="73" t="inlineStr">
        <is>
          <t>PASS</t>
        </is>
      </c>
      <c r="E734" s="73" t="inlineStr">
        <is>
          <t>`git diff --check` found no whitespace errors</t>
        </is>
      </c>
    </row>
    <row r="735" ht="30" customHeight="1" s="78">
      <c r="A735" s="73" t="inlineStr">
        <is>
          <t>QA-029</t>
        </is>
      </c>
      <c r="B735" s="73" t="n">
        <v>61</v>
      </c>
      <c r="C735" s="73" t="inlineStr">
        <is>
          <t>Production/live deployment</t>
        </is>
      </c>
      <c r="D735" s="73" t="inlineStr">
        <is>
          <t>NOT RUN</t>
        </is>
      </c>
      <c r="E735" s="73" t="inlineStr">
        <is>
          <t>This release was authorized only for the separate staging repository</t>
        </is>
      </c>
    </row>
    <row r="736" ht="30" customHeight="1" s="78">
      <c r="A736" s="73" t="inlineStr">
        <is>
          <t>QA-029</t>
        </is>
      </c>
      <c r="B736" s="73" t="n">
        <v>62</v>
      </c>
      <c r="C736" s="73" t="inlineStr">
        <is>
          <t>Paid OpenAI response</t>
        </is>
      </c>
      <c r="D736" s="73" t="inlineStr">
        <is>
          <t>NOT RUN</t>
        </is>
      </c>
      <c r="E736" s="73" t="inlineStr">
        <is>
          <t>AI remains optional and disabled by default; deterministic tutoring/grading paths were verified</t>
        </is>
      </c>
    </row>
    <row r="737" ht="30" customHeight="1" s="78">
      <c r="A737" s="73" t="inlineStr">
        <is>
          <t>QA-029</t>
        </is>
      </c>
      <c r="B737" s="73" t="n">
        <v>63</v>
      </c>
      <c r="C737" s="73" t="inlineStr">
        <is>
          <t>Separate staging PostgreSQL</t>
        </is>
      </c>
      <c r="D737" s="73" t="inlineStr">
        <is>
          <t>NOT RUN</t>
        </is>
      </c>
      <c r="E737" s="73" t="inlineStr">
        <is>
          <t>Local QA used the repository's ignored SQLite staging database; PostgreSQL parity remains a promotion check</t>
        </is>
      </c>
    </row>
    <row r="738" ht="72" customHeight="1" s="78">
      <c r="A738" s="73" t="inlineStr">
        <is>
          <t>STUDENT-2026-09-30</t>
        </is>
      </c>
      <c r="B738" s="73" t="n"/>
      <c r="C738" s="73" t="inlineStr">
        <is>
          <t>Student 1 approach only</t>
        </is>
      </c>
      <c r="D738" s="73" t="inlineStr">
        <is>
          <t>PASS</t>
        </is>
      </c>
      <c r="E738" s="73" t="inlineStr">
        <is>
          <t>Expected 25%, actual 25%. Execution: completed. Assignment version 7.</t>
        </is>
      </c>
    </row>
    <row r="739" ht="72" customHeight="1" s="78">
      <c r="A739" s="73" t="inlineStr">
        <is>
          <t>STUDENT-2026-09-30</t>
        </is>
      </c>
      <c r="B739" s="73" t="n"/>
      <c r="C739" s="73" t="inlineStr">
        <is>
          <t>I calculated only start to hit. Why did I get 25 percent, and what should I inspect next?</t>
        </is>
      </c>
      <c r="D739" s="73" t="inlineStr">
        <is>
          <t>PASS</t>
        </is>
      </c>
      <c r="E739" s="73" t="inlineStr">
        <is>
          <t xml:space="preserve">Real AI response source: openai. Reviewed for grading consistency and no completed code. </t>
        </is>
      </c>
    </row>
    <row r="740" ht="72" customHeight="1" s="78">
      <c r="A740" s="73" t="inlineStr">
        <is>
          <t>STUDENT-2026-09-30</t>
        </is>
      </c>
      <c r="B740" s="73" t="n"/>
      <c r="C740" s="73" t="inlineStr">
        <is>
          <t>Student 1 approach and boundary</t>
        </is>
      </c>
      <c r="D740" s="73" t="inlineStr">
        <is>
          <t>PASS</t>
        </is>
      </c>
      <c r="E740" s="73" t="inlineStr">
        <is>
          <t>Expected 50%, actual 50%. Execution: completed. Assignment version 7.</t>
        </is>
      </c>
    </row>
    <row r="741" ht="72" customHeight="1" s="78">
      <c r="A741" s="73" t="inlineStr">
        <is>
          <t>STUDENT-2026-09-30</t>
        </is>
      </c>
      <c r="B741" s="73" t="n"/>
      <c r="C741" s="73" t="inlineStr">
        <is>
          <t>Student 1 complete</t>
        </is>
      </c>
      <c r="D741" s="73" t="inlineStr">
        <is>
          <t>PASS</t>
        </is>
      </c>
      <c r="E741" s="73" t="inlineStr">
        <is>
          <t>Expected 100%, actual 100%. Execution: completed. Assignment version 7.</t>
        </is>
      </c>
    </row>
    <row r="742" ht="72" customHeight="1" s="78">
      <c r="A742" s="73" t="inlineStr">
        <is>
          <t>STUDENT-2026-09-30</t>
        </is>
      </c>
      <c r="B742" s="73" t="n"/>
      <c r="C742" s="73" t="inlineStr">
        <is>
          <t>Student 2 boundary only</t>
        </is>
      </c>
      <c r="D742" s="73" t="inlineStr">
        <is>
          <t>PASS</t>
        </is>
      </c>
      <c r="E742" s="73" t="inlineStr">
        <is>
          <t>Expected 25%, actual 25%. Execution: completed. Assignment version 7.</t>
        </is>
      </c>
    </row>
    <row r="743" ht="72" customHeight="1" s="78">
      <c r="A743" s="73" t="inlineStr">
        <is>
          <t>STUDENT-2026-09-30</t>
        </is>
      </c>
      <c r="B743" s="73" t="n"/>
      <c r="C743" s="73" t="inlineStr">
        <is>
          <t>My boundary distance works but I skipped the approach. How should I debug the remaining calculations without seeing the answer?</t>
        </is>
      </c>
      <c r="D743" s="73" t="inlineStr">
        <is>
          <t>PASS</t>
        </is>
      </c>
      <c r="E743" s="73" t="inlineStr">
        <is>
          <t xml:space="preserve">Real AI response source: openai. Reviewed for grading consistency and no completed code. </t>
        </is>
      </c>
    </row>
    <row r="744" ht="72" customHeight="1" s="78">
      <c r="A744" s="73" t="inlineStr">
        <is>
          <t>STUDENT-2026-09-30</t>
        </is>
      </c>
      <c r="B744" s="73" t="n"/>
      <c r="C744" s="73" t="inlineStr">
        <is>
          <t>Student 2 three correct and wrong total</t>
        </is>
      </c>
      <c r="D744" s="73" t="inlineStr">
        <is>
          <t>PASS</t>
        </is>
      </c>
      <c r="E744" s="73" t="inlineStr">
        <is>
          <t>Expected 75%, actual 75%. Execution: completed. Assignment version 7.</t>
        </is>
      </c>
    </row>
    <row r="745" ht="72" customHeight="1" s="78">
      <c r="A745" s="73" t="inlineStr">
        <is>
          <t>STUDENT-2026-09-30</t>
        </is>
      </c>
      <c r="B745" s="73" t="n"/>
      <c r="C745" s="73" t="inlineStr">
        <is>
          <t>Student 2 complete sqrt</t>
        </is>
      </c>
      <c r="D745" s="73" t="inlineStr">
        <is>
          <t>PASS</t>
        </is>
      </c>
      <c r="E745" s="73" t="inlineStr">
        <is>
          <t>Expected 100%, actual 100%. Execution: completed. Assignment version 7.</t>
        </is>
      </c>
    </row>
    <row r="746" ht="72" customHeight="1" s="78">
      <c r="A746" s="73" t="inlineStr">
        <is>
          <t>STUDENT-2026-09-30</t>
        </is>
      </c>
      <c r="B746" s="73" t="n"/>
      <c r="C746" s="73" t="inlineStr">
        <is>
          <t>Student 3 globals rather than parameters</t>
        </is>
      </c>
      <c r="D746" s="73" t="inlineStr">
        <is>
          <t>PASS</t>
        </is>
      </c>
      <c r="E746" s="73" t="inlineStr">
        <is>
          <t>Expected 50%, actual 50%. Execution: completed. Assignment version 7.</t>
        </is>
      </c>
    </row>
    <row r="747" ht="72" customHeight="1" s="78">
      <c r="A747" s="73" t="inlineStr">
        <is>
          <t>STUDENT-2026-09-30</t>
        </is>
      </c>
      <c r="B747" s="73" t="n"/>
      <c r="C747" s="73" t="inlineStr">
        <is>
          <t>My start_point and hit_point globals are defined before the call. Are they undefined, or is using globals causing incorrect results for other inputs?</t>
        </is>
      </c>
      <c r="D747" s="73" t="inlineStr">
        <is>
          <t>PASS</t>
        </is>
      </c>
      <c r="E747" s="73" t="inlineStr">
        <is>
          <t xml:space="preserve">Real AI response source: openai. Reviewed for grading consistency and no completed code. </t>
        </is>
      </c>
    </row>
    <row r="748" ht="72" customHeight="1" s="78">
      <c r="A748" s="73" t="inlineStr">
        <is>
          <t>STUDENT-2026-09-30</t>
        </is>
      </c>
      <c r="B748" s="73" t="n"/>
      <c r="C748" s="73" t="inlineStr">
        <is>
          <t>Student 3 parameter repair</t>
        </is>
      </c>
      <c r="D748" s="73" t="inlineStr">
        <is>
          <t>PASS</t>
        </is>
      </c>
      <c r="E748" s="73" t="inlineStr">
        <is>
          <t>Expected 100%, actual 100%. Execution: completed. Assignment version 7.</t>
        </is>
      </c>
    </row>
    <row r="749" ht="72" customHeight="1" s="78">
      <c r="A749" s="73" t="inlineStr">
        <is>
          <t>STUDENT-2026-09-30</t>
        </is>
      </c>
      <c r="B749" s="73" t="n"/>
      <c r="C749" s="73" t="inlineStr">
        <is>
          <t>Student 4 syntax error</t>
        </is>
      </c>
      <c r="D749" s="73" t="inlineStr">
        <is>
          <t>PASS</t>
        </is>
      </c>
      <c r="E749" s="73" t="inlineStr">
        <is>
          <t>Expected 0%, actual 0%. Execution: syntax_error. Assignment version 7.</t>
        </is>
      </c>
    </row>
    <row r="750" ht="72" customHeight="1" s="78">
      <c r="A750" s="73" t="inlineStr">
        <is>
          <t>STUDENT-2026-09-30</t>
        </is>
      </c>
      <c r="B750" s="73" t="n"/>
      <c r="C750" s="73" t="inlineStr">
        <is>
          <t>Student 4 missing helper</t>
        </is>
      </c>
      <c r="D750" s="73" t="inlineStr">
        <is>
          <t>PASS</t>
        </is>
      </c>
      <c r="E750" s="73" t="inlineStr">
        <is>
          <t>Expected 0%, actual 0%. Execution: runtime_error. Assignment version 7.</t>
        </is>
      </c>
    </row>
    <row r="751" ht="72" customHeight="1" s="78">
      <c r="A751" s="73" t="inlineStr">
        <is>
          <t>STUDENT-2026-09-30</t>
        </is>
      </c>
      <c r="B751" s="73" t="n"/>
      <c r="C751" s="73" t="inlineStr">
        <is>
          <t>I renamed the helper and now the code cannot execute. What should I check first? Please give a debugging hint only.</t>
        </is>
      </c>
      <c r="D751" s="73" t="inlineStr">
        <is>
          <t>PASS</t>
        </is>
      </c>
      <c r="E751" s="73" t="inlineStr">
        <is>
          <t xml:space="preserve">Real AI response source: openai. Reviewed for grading consistency and no completed code. </t>
        </is>
      </c>
    </row>
    <row r="752" ht="72" customHeight="1" s="78">
      <c r="A752" s="73" t="inlineStr">
        <is>
          <t>STUDENT-2026-09-30</t>
        </is>
      </c>
      <c r="B752" s="73" t="n"/>
      <c r="C752" s="73" t="inlineStr">
        <is>
          <t>Student 4 repaired</t>
        </is>
      </c>
      <c r="D752" s="73" t="inlineStr">
        <is>
          <t>PASS</t>
        </is>
      </c>
      <c r="E752" s="73" t="inlineStr">
        <is>
          <t>Expected 100%, actual 100%. Execution: completed. Assignment version 7.</t>
        </is>
      </c>
    </row>
    <row r="753" ht="72" customHeight="1" s="78">
      <c r="A753" s="73" t="inlineStr">
        <is>
          <t>STUDENT-2026-09-30</t>
        </is>
      </c>
      <c r="B753" s="73" t="n"/>
      <c r="C753" s="73" t="inlineStr">
        <is>
          <t>Student 5 alternative math.dist</t>
        </is>
      </c>
      <c r="D753" s="73" t="inlineStr">
        <is>
          <t>PASS</t>
        </is>
      </c>
      <c r="E753" s="73" t="inlineStr">
        <is>
          <t>Expected 100%, actual 100%. Execution: completed. Assignment version 7.</t>
        </is>
      </c>
    </row>
    <row r="754" ht="72" customHeight="1" s="78">
      <c r="A754" s="73" t="inlineStr">
        <is>
          <t>STUDENT-2026-09-30</t>
        </is>
      </c>
      <c r="B754" s="73" t="n"/>
      <c r="C754" s="73" t="inlineStr">
        <is>
          <t>Student 5 extra return</t>
        </is>
      </c>
      <c r="D754" s="73" t="inlineStr">
        <is>
          <t>PASS</t>
        </is>
      </c>
      <c r="E754" s="73" t="inlineStr">
        <is>
          <t>Expected 0%, actual 0%. Execution: runtime_error. Assignment version 7.</t>
        </is>
      </c>
    </row>
    <row r="755" ht="72" customHeight="1" s="78">
      <c r="A755" s="73" t="inlineStr">
        <is>
          <t>STUDENT-2026-09-30</t>
        </is>
      </c>
      <c r="B755" s="73" t="n"/>
      <c r="C755" s="73" t="inlineStr">
        <is>
          <t>The four distances are correct but I returned an extra value. Why is this invalid, and how can I check the required interface?</t>
        </is>
      </c>
      <c r="D755" s="73" t="inlineStr">
        <is>
          <t>FAIL (before fix)</t>
        </is>
      </c>
      <c r="E755" s="73" t="inlineStr">
        <is>
          <t>Real AI response source: openai. Reviewed for grading consistency and no completed code. Original advice wrongly discouraged prints. Fixed and separately retested.</t>
        </is>
      </c>
    </row>
    <row r="756" ht="72" customHeight="1" s="78">
      <c r="A756" s="73" t="inlineStr">
        <is>
          <t>STUDENT-2026-09-30</t>
        </is>
      </c>
      <c r="B756" s="73" t="n"/>
      <c r="C756" s="73" t="inlineStr">
        <is>
          <t>Student 5 repaired</t>
        </is>
      </c>
      <c r="D756" s="73" t="inlineStr">
        <is>
          <t>PASS</t>
        </is>
      </c>
      <c r="E756" s="73" t="inlineStr">
        <is>
          <t>Expected 100%, actual 100%. Execution: completed. Assignment version 7.</t>
        </is>
      </c>
    </row>
    <row r="757" ht="72" customHeight="1" s="78">
      <c r="A757" s="73" t="inlineStr">
        <is>
          <t>STUDENT-2026-09-30</t>
        </is>
      </c>
      <c r="B757" s="73" t="n"/>
      <c r="C757" s="73" t="inlineStr">
        <is>
          <t>Professor A1 untouched starter</t>
        </is>
      </c>
      <c r="D757" s="73" t="inlineStr">
        <is>
          <t>PASS</t>
        </is>
      </c>
      <c r="E757" s="73" t="inlineStr">
        <is>
          <t>Expected 0%, actual 0%. Execution: completed. Assignment version 8.</t>
        </is>
      </c>
    </row>
    <row r="758" ht="72" customHeight="1" s="78">
      <c r="A758" s="73" t="inlineStr">
        <is>
          <t>STUDENT-2026-09-30</t>
        </is>
      </c>
      <c r="B758" s="73" t="n"/>
      <c r="C758" s="73" t="inlineStr">
        <is>
          <t>A1 built-in hint level 1</t>
        </is>
      </c>
      <c r="D758" s="73" t="inlineStr">
        <is>
          <t>PASS</t>
        </is>
      </c>
      <c r="E758" s="73" t="inlineStr">
        <is>
          <t>Built-in level 1. AI off. No unsupported misconception label.</t>
        </is>
      </c>
    </row>
    <row r="759" ht="72" customHeight="1" s="78">
      <c r="A759" s="73" t="inlineStr">
        <is>
          <t>STUDENT-2026-09-30</t>
        </is>
      </c>
      <c r="B759" s="73" t="n"/>
      <c r="C759" s="73" t="inlineStr">
        <is>
          <t>A1 built-in hint level 2</t>
        </is>
      </c>
      <c r="D759" s="73" t="inlineStr">
        <is>
          <t>PASS</t>
        </is>
      </c>
      <c r="E759" s="73" t="inlineStr">
        <is>
          <t>Built-in level 2. AI off. No unsupported misconception label.</t>
        </is>
      </c>
    </row>
    <row r="760" ht="72" customHeight="1" s="78">
      <c r="A760" s="73" t="inlineStr">
        <is>
          <t>STUDENT-2026-09-30</t>
        </is>
      </c>
      <c r="B760" s="73" t="n"/>
      <c r="C760" s="73" t="inlineStr">
        <is>
          <t>A1 built-in hint level 3</t>
        </is>
      </c>
      <c r="D760" s="73" t="inlineStr">
        <is>
          <t>PASS</t>
        </is>
      </c>
      <c r="E760" s="73" t="inlineStr">
        <is>
          <t>Built-in level 3. AI off. No unsupported misconception label.</t>
        </is>
      </c>
    </row>
    <row r="761" ht="72" customHeight="1" s="78">
      <c r="A761" s="73" t="inlineStr">
        <is>
          <t>STUDENT-2026-09-30</t>
        </is>
      </c>
      <c r="B761" s="73" t="n"/>
      <c r="C761" s="73" t="inlineStr">
        <is>
          <t>A1 built-in hint level 4</t>
        </is>
      </c>
      <c r="D761" s="73" t="inlineStr">
        <is>
          <t>PASS</t>
        </is>
      </c>
      <c r="E761" s="73" t="inlineStr">
        <is>
          <t>Built-in level 4. AI off. No unsupported misconception label.</t>
        </is>
      </c>
    </row>
    <row r="762" ht="72" customHeight="1" s="78">
      <c r="A762" s="73" t="inlineStr">
        <is>
          <t>STUDENT-2026-09-30</t>
        </is>
      </c>
      <c r="B762" s="73" t="n"/>
      <c r="C762" s="73" t="inlineStr">
        <is>
          <t>Professor A1 mixed two correct</t>
        </is>
      </c>
      <c r="D762" s="73" t="inlineStr">
        <is>
          <t>PASS</t>
        </is>
      </c>
      <c r="E762" s="73" t="inlineStr">
        <is>
          <t>Expected 50%, actual 50%. Execution: completed. Assignment version 8.</t>
        </is>
      </c>
    </row>
    <row r="763" ht="72" customHeight="1" s="78">
      <c r="A763" s="73" t="inlineStr">
        <is>
          <t>STUDENT-2026-09-30</t>
        </is>
      </c>
      <c r="B763" s="73" t="n"/>
      <c r="C763" s="73" t="inlineStr">
        <is>
          <t>I passed approach and departure. Help me understand which segments belong to the obstacle boundary, without giving code or numerical answers.</t>
        </is>
      </c>
      <c r="D763" s="73" t="inlineStr">
        <is>
          <t>PASS</t>
        </is>
      </c>
      <c r="E763" s="73" t="inlineStr">
        <is>
          <t xml:space="preserve">Real AI response source: openai. Reviewed for grading consistency and no completed code. </t>
        </is>
      </c>
    </row>
    <row r="764" ht="72" customHeight="1" s="78">
      <c r="A764" s="73" t="inlineStr">
        <is>
          <t>STUDENT-2026-09-30</t>
        </is>
      </c>
      <c r="B764" s="73" t="n"/>
      <c r="C764" s="73" t="inlineStr">
        <is>
          <t>Professor A1 full solution</t>
        </is>
      </c>
      <c r="D764" s="73" t="inlineStr">
        <is>
          <t>PASS</t>
        </is>
      </c>
      <c r="E764" s="73" t="inlineStr">
        <is>
          <t>Expected 100%, actual 100%. Execution: completed. Assignment version 8.</t>
        </is>
      </c>
    </row>
    <row r="765" ht="72" customHeight="1" s="78">
      <c r="A765" s="73" t="inlineStr">
        <is>
          <t>STUDENT-2026-09-30</t>
        </is>
      </c>
      <c r="B765" s="73" t="n"/>
      <c r="C765" s="73" t="inlineStr">
        <is>
          <t>All my checks passed. How should I explain why using the supplied parameters matters? Do not invent mistakes in my passing code.</t>
        </is>
      </c>
      <c r="D765" s="73" t="inlineStr">
        <is>
          <t>PASS</t>
        </is>
      </c>
      <c r="E765" s="73" t="inlineStr">
        <is>
          <t xml:space="preserve">Real AI response source: openai. Reviewed for grading consistency and no completed code. </t>
        </is>
      </c>
    </row>
    <row r="766" ht="72" customHeight="1" s="78">
      <c r="A766" s="73" t="inlineStr">
        <is>
          <t>STUDENT-2026-09-30</t>
        </is>
      </c>
      <c r="B766" s="73" t="n"/>
      <c r="C766" s="73" t="inlineStr">
        <is>
          <t>Cross demo session access denied</t>
        </is>
      </c>
      <c r="D766" s="73" t="inlineStr">
        <is>
          <t>PASS</t>
        </is>
      </c>
      <c r="E766" s="73" t="inlineStr">
        <is>
          <t>Denied across separate demo sessions: HTTP 404.</t>
        </is>
      </c>
    </row>
    <row r="767" ht="72" customHeight="1" s="78">
      <c r="A767" s="73" t="inlineStr">
        <is>
          <t>STUDENT-2026-09-30</t>
        </is>
      </c>
      <c r="B767" s="73" t="n"/>
      <c r="C767" s="73" t="inlineStr">
        <is>
          <t>Independent scoring and return-order matrix</t>
        </is>
      </c>
      <c r="D767" s="73" t="inlineStr">
        <is>
          <t>PASS</t>
        </is>
      </c>
      <c r="E767" s="73" t="inlineStr">
        <is>
          <t>109 focused tests: 32 criterion combinations, 48 return permutations, equivalent math, extra return values, geometry, syntax/runtime and invalid numeric values.</t>
        </is>
      </c>
    </row>
    <row r="768" ht="72" customHeight="1" s="78">
      <c r="A768" s="73" t="inlineStr">
        <is>
          <t>STUDENT-2026-09-30</t>
        </is>
      </c>
      <c r="B768" s="73" t="n"/>
      <c r="C768" s="73" t="inlineStr">
        <is>
          <t>Backend regression</t>
        </is>
      </c>
      <c r="D768" s="73" t="inlineStr">
        <is>
          <t>PASS</t>
        </is>
      </c>
      <c r="E768" s="73" t="inlineStr">
        <is>
          <t>344 tests passed. Includes all six assignments, authentication, research analytics, sandbox contracts and tutor policies.</t>
        </is>
      </c>
    </row>
    <row r="769" ht="72" customHeight="1" s="78">
      <c r="A769" s="73" t="inlineStr">
        <is>
          <t>STUDENT-2026-09-30</t>
        </is>
      </c>
      <c r="B769" s="73" t="n"/>
      <c r="C769" s="73" t="inlineStr">
        <is>
          <t>Dependency validation</t>
        </is>
      </c>
      <c r="D769" s="73" t="inlineStr">
        <is>
          <t>PASS</t>
        </is>
      </c>
      <c r="E769" s="73" t="inlineStr">
        <is>
          <t>pip check: no broken requirements.</t>
        </is>
      </c>
    </row>
    <row r="770" ht="72" customHeight="1" s="78">
      <c r="A770" s="73" t="inlineStr">
        <is>
          <t>STUDENT-2026-09-30</t>
        </is>
      </c>
      <c r="B770" s="73" t="n"/>
      <c r="C770" s="73" t="inlineStr">
        <is>
          <t>Flutter validation</t>
        </is>
      </c>
      <c r="D770" s="73" t="inlineStr">
        <is>
          <t>PASS</t>
        </is>
      </c>
      <c r="E770" s="73" t="inlineStr">
        <is>
          <t>Analysis: no issues. 89 tests passed. Release web build verified separately.</t>
        </is>
      </c>
    </row>
    <row r="771" ht="72" customHeight="1" s="78">
      <c r="A771" s="73" t="inlineStr">
        <is>
          <t>STUDENT-2026-09-30</t>
        </is>
      </c>
      <c r="B771" s="73" t="n"/>
      <c r="C771" s="73" t="inlineStr">
        <is>
          <t>Manual Assignment 2 browser run</t>
        </is>
      </c>
      <c r="D771" s="73" t="inlineStr">
        <is>
          <t>PASS</t>
        </is>
      </c>
      <c r="E771" s="73" t="inlineStr">
        <is>
          <t>Untouched starter 0%, approach-only math.dist 25%, completed alternative solution with debug print 100%. Results drawer and built-in hint progression verified with AI off.</t>
        </is>
      </c>
    </row>
    <row r="772" ht="72" customHeight="1" s="78">
      <c r="A772" s="73" t="inlineStr">
        <is>
          <t>STUDENT-2026-09-30</t>
        </is>
      </c>
      <c r="B772" s="73" t="n"/>
      <c r="C772" s="73" t="inlineStr">
        <is>
          <t>Tutor print-advice correction</t>
        </is>
      </c>
      <c r="D772" s="73" t="inlineStr">
        <is>
          <t>PASS</t>
        </is>
      </c>
      <c r="E772" s="73" t="inlineStr">
        <is>
          <t>Real request 9 returned openai. Prints explicitly allowed, extra return rejected, unsupported misconception field empty.</t>
        </is>
      </c>
    </row>
    <row r="773" ht="72" customHeight="1" s="78">
      <c r="A773" s="73" t="inlineStr">
        <is>
          <t>STUDENT-2026-09-30</t>
        </is>
      </c>
      <c r="B773" s="73" t="n"/>
      <c r="C773" s="73" t="inlineStr">
        <is>
          <t>Assignment 1 instructor review</t>
        </is>
      </c>
      <c r="D773" s="73" t="inlineStr">
        <is>
          <t>PASS</t>
        </is>
      </c>
      <c r="E773" s="73" t="inlineStr">
        <is>
          <t>Reviewed scope, displayed m-line/hit/leave geometry, route direction, weights, return interface, rubric, seed versions and independent calculations. Protected test coordinates are not included in this report.</t>
        </is>
      </c>
    </row>
    <row r="774" ht="72" customHeight="1" s="78">
      <c r="A774" s="73" t="inlineStr">
        <is>
          <t>STUDENT-2026-09-30</t>
        </is>
      </c>
      <c r="B774" s="73" t="n"/>
      <c r="C774" s="73" t="inlineStr">
        <is>
          <t>Five student perspectives</t>
        </is>
      </c>
      <c r="D774" s="73" t="inlineStr">
        <is>
          <t>PASS</t>
        </is>
      </c>
      <c r="E774" s="73" t="inlineStr">
        <is>
          <t>Five simulated student API journeys, not five recruited participants. Each used an independent temporary demo session and completed Assignment 2. Representative UI flows tested separately.</t>
        </is>
      </c>
    </row>
    <row r="775" ht="72" customHeight="1" s="78">
      <c r="A775" s="73" t="inlineStr">
        <is>
          <t>STUDENT-2026-09-30</t>
        </is>
      </c>
      <c r="B775" s="73" t="n"/>
      <c r="C775" s="73" t="inlineStr">
        <is>
          <t>AI usage and accuracy limit</t>
        </is>
      </c>
      <c r="D775" s="73" t="inlineStr">
        <is>
          <t>PARTIAL</t>
        </is>
      </c>
      <c r="E775" s="73" t="inlineStr">
        <is>
          <t>9 actual tutor requests within the approved maximum of 10. Original incorrect print advice found and repaired. Samples and mocked safety tests cannot prove all future AI answers correct. Provider token cost was not measured.</t>
        </is>
      </c>
    </row>
    <row r="776" ht="72" customHeight="1" s="78">
      <c r="A776" s="73" t="inlineStr">
        <is>
          <t>STUDENT-2026-09-30</t>
        </is>
      </c>
      <c r="B776" s="73" t="n"/>
      <c r="C776" s="73" t="inlineStr">
        <is>
          <t>Student improvement: history comparison</t>
        </is>
      </c>
      <c r="D776" s="73" t="inlineStr">
        <is>
          <t>NOT RUN</t>
        </is>
      </c>
      <c r="E776" s="73" t="inlineStr">
        <is>
          <t>Tutor currently uses the submitted attempt, not an earlier-attempt comparison. Recommend a separate future change.</t>
        </is>
      </c>
    </row>
    <row r="777" ht="72" customHeight="1" s="78">
      <c r="A777" s="73" t="inlineStr">
        <is>
          <t>STUDENT-2026-09-30</t>
        </is>
      </c>
      <c r="B777" s="73" t="n"/>
      <c r="C777" s="73" t="inlineStr">
        <is>
          <t>Student improvement: first hint precision</t>
        </is>
      </c>
      <c r="D777" s="73" t="inlineStr">
        <is>
          <t>PARTIAL</t>
        </is>
      </c>
      <c r="E777" s="73" t="inlineStr">
        <is>
          <t>First hints are now accessible without AI. Built-in hints remain generic. Criterion-specific guided questions would improve learning support.</t>
        </is>
      </c>
    </row>
    <row r="778" ht="72" customHeight="1" s="78">
      <c r="A778" s="73" t="inlineStr">
        <is>
          <t>STUDENT-2026-09-30</t>
        </is>
      </c>
      <c r="B778" s="73" t="n"/>
      <c r="C778" s="73" t="inlineStr">
        <is>
          <t>Assignment 1 diagram labels</t>
        </is>
      </c>
      <c r="D778" s="73" t="inlineStr">
        <is>
          <t>PARTIAL</t>
        </is>
      </c>
      <c r="E778" s="73" t="inlineStr">
        <is>
          <t>Displayed path and coordinates agree with instructions. Hit label omits x=4 in one annotation and duplicates a hit label. Caption supplies full coordinate. No diagram redesign performed.</t>
        </is>
      </c>
    </row>
    <row r="779" ht="72" customHeight="1" s="78">
      <c r="A779" s="73" t="inlineStr">
        <is>
          <t>STUDENT-2026-09-30</t>
        </is>
      </c>
      <c r="B779" s="73" t="n"/>
      <c r="C779" s="73" t="inlineStr">
        <is>
          <t>Environment and release scope</t>
        </is>
      </c>
      <c r="D779" s="73" t="inlineStr">
        <is>
          <t>NOT RUN</t>
        </is>
      </c>
      <c r="E779" s="73" t="inlineStr">
        <is>
          <t>Staging local Windows. A1 v8 / A2 v7. Base 2cdc8f3 plus uncommitted fixes. Temporary demo sessions. Production, physical Ubuntu and another network not tested. No commit, push or deployment authorized.</t>
        </is>
      </c>
    </row>
    <row r="780" ht="90" customHeight="1" s="78">
      <c r="A780" s="73" t="inlineStr">
        <is>
          <t>REMAINING-2026-09-30</t>
        </is>
      </c>
      <c r="B780" s="73" t="n"/>
      <c r="C780" s="73" t="inlineStr">
        <is>
          <t>Review environment</t>
        </is>
      </c>
      <c r="D780" s="73" t="inlineStr">
        <is>
          <t>PASS</t>
        </is>
      </c>
      <c r="E780" s="73" t="inlineStr">
        <is>
          <t>Canonical desktop staging checkout; base 2cdc8f3 plus reviewed changes. A1 v8, A2 v7, A3/A4 v8, A5/A6 v4. Windows Python 3.14, Neon staging, Docker ROS 2 Jazzy. No persistent student submissions or production changes.</t>
        </is>
      </c>
    </row>
    <row r="781" ht="90" customHeight="1" s="78">
      <c r="A781" s="73" t="inlineStr">
        <is>
          <t>REMAINING-2026-09-30</t>
        </is>
      </c>
      <c r="B781" s="73" t="n"/>
      <c r="C781" s="73" t="inlineStr">
        <is>
          <t>Five independent students per remaining assignment</t>
        </is>
      </c>
      <c r="D781" s="73" t="inlineStr">
        <is>
          <t>PASS</t>
        </is>
      </c>
      <c r="E781" s="73" t="inlineStr">
        <is>
          <t>25 simulated student journeys across A1, A3, A4, A5, A6. Separate temporary demo sessions, partial/mixed/error work followed by full success. These are simulated tests, not recruited research participants.</t>
        </is>
      </c>
    </row>
    <row r="782" ht="90" customHeight="1" s="78">
      <c r="A782" s="73" t="inlineStr">
        <is>
          <t>REMAINING-2026-09-30</t>
        </is>
      </c>
      <c r="B782" s="73" t="n"/>
      <c r="C782" s="73" t="inlineStr">
        <is>
          <t>Independent mathematics and partial-credit combinations</t>
        </is>
      </c>
      <c r="D782" s="73" t="inlineStr">
        <is>
          <t>PASS</t>
        </is>
      </c>
      <c r="E782" s="73" t="inlineStr">
        <is>
          <t>A3: all 256 output subsets; A4: all 32 subsets through real isolated Python execution. ROS: all 128/512 weight subsets tested with mocked topic evidence only. Independent math oracle verifies every A3/A4 expected result.</t>
        </is>
      </c>
    </row>
    <row r="783" ht="90" customHeight="1" s="78">
      <c r="A783" s="73" t="inlineStr">
        <is>
          <t>REMAINING-2026-09-30</t>
        </is>
      </c>
      <c r="B783" s="73" t="n"/>
      <c r="C783" s="73" t="inlineStr">
        <is>
          <t>Confirmed grading gaps before fixes</t>
        </is>
      </c>
      <c r="D783" s="73" t="inlineStr">
        <is>
          <t>FAIL (before fix)</t>
        </is>
      </c>
      <c r="E783" s="73" t="inlineStr">
        <is>
          <t>A4 hardcoded sector count earned 100%; A5 six-second stop earned 100%; A6 wrong half-meter threshold and inclusive-forward comparison each earned 100%. Original probe recorded before repair.</t>
        </is>
      </c>
    </row>
    <row r="784" ht="90" customHeight="1" s="78">
      <c r="A784" s="73" t="inlineStr">
        <is>
          <t>REMAINING-2026-09-30</t>
        </is>
      </c>
      <c r="B784" s="73" t="n"/>
      <c r="C784" s="73" t="inlineStr">
        <is>
          <t>Corrected grading contracts</t>
        </is>
      </c>
      <c r="D784" s="73" t="inlineStr">
        <is>
          <t>PASS</t>
        </is>
      </c>
      <c r="E784" s="73" t="inlineStr">
        <is>
          <t>Variable-count and supplied-sector VFH cases; exact/near obstacle thresholds and invalid/empty/mixed scans; first-observed-command timing removes launch latency from movement credit. Correct maintained answers continue to earn 100%.</t>
        </is>
      </c>
    </row>
    <row r="785" ht="90" customHeight="1" s="78">
      <c r="A785" s="73" t="inlineStr">
        <is>
          <t>REMAINING-2026-09-30</t>
        </is>
      </c>
      <c r="B785" s="73" t="n"/>
      <c r="C785" s="73" t="inlineStr">
        <is>
          <t>ROS starter timeout regression</t>
        </is>
      </c>
      <c r="D785" s="73" t="inlineStr">
        <is>
          <t>PASS</t>
        </is>
      </c>
      <c r="E785" s="73" t="inlineStr">
        <is>
          <t>A6 initial expanded observation exceeded timeout for unready starter. Now skips scored phases when controller never becomes ready. Final retest score 10%, execution completed. Scaffold credit is explained in instructions.</t>
        </is>
      </c>
    </row>
    <row r="786" ht="90" customHeight="1" s="78">
      <c r="A786" s="73" t="inlineStr">
        <is>
          <t>REMAINING-2026-09-30</t>
        </is>
      </c>
      <c r="B786" s="73" t="n"/>
      <c r="C786" s="73" t="inlineStr">
        <is>
          <t>Instructor assignment review</t>
        </is>
      </c>
      <c r="D786" s="73" t="inlineStr">
        <is>
          <t>PASS</t>
        </is>
      </c>
      <c r="E786" s="73" t="inlineStr">
        <is>
          <t>Reviewed instructions, diagrams/captions, input domains, return contracts, parameter use, independent formulas, weights, tied cases, valid route labels, public feedback and reference paths. No protected scenario details included.</t>
        </is>
      </c>
    </row>
    <row r="787" ht="90" customHeight="1" s="78">
      <c r="A787" s="73" t="inlineStr">
        <is>
          <t>REMAINING-2026-09-30</t>
        </is>
      </c>
      <c r="B787" s="73" t="n"/>
      <c r="C787" s="73" t="inlineStr">
        <is>
          <t>Full backend gate</t>
        </is>
      </c>
      <c r="D787" s="73" t="inlineStr">
        <is>
          <t>PASS</t>
        </is>
      </c>
      <c r="E787" s="73" t="inlineStr">
        <is>
          <t>383 backend tests pass in 286.38 seconds. Python dependency check has no broken requirements. Real Python subset checks, mock ROS weighted subsets, math oracles, authentication, analytics and tutor regressions included.</t>
        </is>
      </c>
    </row>
    <row r="788" ht="90" customHeight="1" s="78">
      <c r="A788" s="73" t="inlineStr">
        <is>
          <t>REMAINING-2026-09-30</t>
        </is>
      </c>
      <c r="B788" s="73" t="n"/>
      <c r="C788" s="73" t="inlineStr">
        <is>
          <t>Flutter and dependencies</t>
        </is>
      </c>
      <c r="D788" s="73" t="inlineStr">
        <is>
          <t>PASS</t>
        </is>
      </c>
      <c r="E788" s="73" t="inlineStr">
        <is>
          <t>Analysis clean, 89 tests pass, release web build passes; pip check has no broken requirements.</t>
        </is>
      </c>
    </row>
    <row r="789" ht="90" customHeight="1" s="78">
      <c r="A789" s="73" t="inlineStr">
        <is>
          <t>REMAINING-2026-09-30</t>
        </is>
      </c>
      <c r="B789" s="73" t="n"/>
      <c r="C789" s="73" t="inlineStr">
        <is>
          <t>Actual ROS image maintained answers</t>
        </is>
      </c>
      <c r="D789" s="73" t="inlineStr">
        <is>
          <t>PASS</t>
        </is>
      </c>
      <c r="E789" s="73" t="inlineStr">
        <is>
          <t>Actual rebuilt Docker image: A5 7/7 and A6 9/9 maintained-answer checks pass.</t>
        </is>
      </c>
    </row>
    <row r="790" ht="90" customHeight="1" s="78">
      <c r="A790" s="73" t="inlineStr">
        <is>
          <t>REMAINING-2026-09-30</t>
        </is>
      </c>
      <c r="B790" s="73" t="n"/>
      <c r="C790" s="73" t="inlineStr">
        <is>
          <t>Manual browser QA</t>
        </is>
      </c>
      <c r="D790" s="73" t="inlineStr">
        <is>
          <t>PASS</t>
        </is>
      </c>
      <c r="E790" s="73" t="inlineStr">
        <is>
          <t>Actual student browser: A3 100% (8/8), A4 untouched starter 0% then full solution 100% (5/5), A5 100% (7/7), A6 100% (9/9). Built-in hint escalation, isolated result minimization, catalog attempts/completion and editable ROS controller verified. AI stayed off; no paid requests made through this browser. Instructor workflows covered by automated authorization/API tests, not a new instructor browser session.</t>
        </is>
      </c>
    </row>
    <row r="791" ht="90" customHeight="1" s="78">
      <c r="A791" s="73" t="inlineStr">
        <is>
          <t>REMAINING-2026-09-30</t>
        </is>
      </c>
      <c r="B791" s="73" t="n"/>
      <c r="C791" s="73" t="inlineStr">
        <is>
          <t>Approved AI budget</t>
        </is>
      </c>
      <c r="D791" s="73" t="inlineStr">
        <is>
          <t>PASS</t>
        </is>
      </c>
      <c r="E791" s="73" t="inlineStr">
        <is>
          <t>10 real additional requests, all returned OpenAI responses. No additional paid calls after the budget was exhausted. Token cost not measured.</t>
        </is>
      </c>
    </row>
    <row r="792" ht="90" customHeight="1" s="78">
      <c r="A792" s="73" t="inlineStr">
        <is>
          <t>REMAINING-2026-09-30</t>
        </is>
      </c>
      <c r="B792" s="73" t="n"/>
      <c r="C792" s="73" t="inlineStr">
        <is>
          <t>AI quality findings</t>
        </is>
      </c>
      <c r="D792" s="73" t="inlineStr">
        <is>
          <t>PARTIAL</t>
        </is>
      </c>
      <c r="E792" s="73" t="inlineStr">
        <is>
          <t>Three sampled replies had problems: A3 inferred a missing radius calculation rather than tracing the replaced return; A4 added excluded wrapping; A6 suggested changing a fixed threshold above/below its requirement. Public instructions and return-flow guidance added; wrapping/threshold contradictions now trigger deterministic fallback. Mocked regression verifies the exact unsafe replies. Revised prompt not re-sampled with paid calls.</t>
        </is>
      </c>
    </row>
    <row r="793" ht="90" customHeight="1" s="78">
      <c r="A793" s="73" t="inlineStr">
        <is>
          <t>REMAINING-2026-09-30</t>
        </is>
      </c>
      <c r="B793" s="73" t="n"/>
      <c r="C793" s="73" t="inlineStr">
        <is>
          <t>Physical-device and deployment coverage</t>
        </is>
      </c>
      <c r="D793" s="73" t="inlineStr">
        <is>
          <t>NOT RUN</t>
        </is>
      </c>
      <c r="E793" s="73" t="inlineStr">
        <is>
          <t>No physical Ubuntu/laptop/network or live deployment QA in this staging-only change. Cannot guarantee every possible future student program or AI reply.</t>
        </is>
      </c>
    </row>
    <row r="794" ht="90" customHeight="1" s="78">
      <c r="A794" s="73" t="inlineStr">
        <is>
          <t>REMAINING-2026-09-30</t>
        </is>
      </c>
      <c r="B794" s="73" t="n"/>
      <c r="C794" s="73" t="inlineStr">
        <is>
          <t>A1: Student 1: partial or error</t>
        </is>
      </c>
      <c r="D794" s="73" t="inlineStr">
        <is>
          <t>PASS</t>
        </is>
      </c>
      <c r="E794" s="73" t="inlineStr">
        <is>
          <t>Version 8; expected 25%, actual 25%; execution completed; passed false.</t>
        </is>
      </c>
    </row>
    <row r="795" ht="90" customHeight="1" s="78">
      <c r="A795" s="73" t="inlineStr">
        <is>
          <t>REMAINING-2026-09-30</t>
        </is>
      </c>
      <c r="B795" s="73" t="n"/>
      <c r="C795" s="73" t="inlineStr">
        <is>
          <t>A1: Approved real AI tutor request</t>
        </is>
      </c>
      <c r="D795" s="73" t="inlineStr">
        <is>
          <t>PASS</t>
        </is>
      </c>
      <c r="E795" s="73" t="inlineStr">
        <is>
          <t>Actual OpenAI request 1; source openai. Sample reviewed: relevant feedback and no complete solution code. Response: The code correctly computes the start-to-hit distance but does not compute the boundary-following distance along the obstacle perimeter between the hit, corner, and leave points.</t>
        </is>
      </c>
    </row>
    <row r="796" ht="90" customHeight="1" s="78">
      <c r="A796" s="73" t="inlineStr">
        <is>
          <t>REMAINING-2026-09-30</t>
        </is>
      </c>
      <c r="B796" s="73" t="n"/>
      <c r="C796" s="73" t="inlineStr">
        <is>
          <t>A1: Student 1: built-in hint 1</t>
        </is>
      </c>
      <c r="D796" s="73" t="inlineStr">
        <is>
          <t>PASS</t>
        </is>
      </c>
      <c r="E796" s="73" t="inlineStr">
        <is>
          <t>Built-in level 1; source fallback; AI disabled. Trace the inputs and formula for the first failing calculation.</t>
        </is>
      </c>
    </row>
    <row r="797" ht="90" customHeight="1" s="78">
      <c r="A797" s="73" t="inlineStr">
        <is>
          <t>REMAINING-2026-09-30</t>
        </is>
      </c>
      <c r="B797" s="73" t="n"/>
      <c r="C797" s="73" t="inlineStr">
        <is>
          <t>A1: Student 1: built-in hint 2</t>
        </is>
      </c>
      <c r="D797" s="73" t="inlineStr">
        <is>
          <t>PASS</t>
        </is>
      </c>
      <c r="E797" s="73" t="inlineStr">
        <is>
          <t>Built-in level 2; source fallback; AI disabled. Print the relevant intermediate values and compare each step with the assignment data.</t>
        </is>
      </c>
    </row>
    <row r="798" ht="90" customHeight="1" s="78">
      <c r="A798" s="73" t="inlineStr">
        <is>
          <t>REMAINING-2026-09-30</t>
        </is>
      </c>
      <c r="B798" s="73" t="n"/>
      <c r="C798" s="73" t="inlineStr">
        <is>
          <t>A1: Student 1: built-in hint 3</t>
        </is>
      </c>
      <c r="D798" s="73" t="inlineStr">
        <is>
          <t>PASS</t>
        </is>
      </c>
      <c r="E798" s="73" t="inlineStr">
        <is>
          <t>Built-in level 3; source fallback; AI disabled. Re-read the rubric for the failing calculation and verify units, signs, and path segments.</t>
        </is>
      </c>
    </row>
    <row r="799" ht="90" customHeight="1" s="78">
      <c r="A799" s="73" t="inlineStr">
        <is>
          <t>REMAINING-2026-09-30</t>
        </is>
      </c>
      <c r="B799" s="73" t="n"/>
      <c r="C799" s="73" t="inlineStr">
        <is>
          <t>A1: Student 1: built-in hint 4</t>
        </is>
      </c>
      <c r="D799" s="73" t="inlineStr">
        <is>
          <t>PASS</t>
        </is>
      </c>
      <c r="E799" s="73" t="inlineStr">
        <is>
          <t>Built-in level 4; source fallback; AI disabled. Break the failing calculation into named intermediate expressions, then recombine them.</t>
        </is>
      </c>
    </row>
    <row r="800" ht="90" customHeight="1" s="78">
      <c r="A800" s="73" t="inlineStr">
        <is>
          <t>REMAINING-2026-09-30</t>
        </is>
      </c>
      <c r="B800" s="73" t="n"/>
      <c r="C800" s="73" t="inlineStr">
        <is>
          <t>A1: Student 1: complete</t>
        </is>
      </c>
      <c r="D800" s="73" t="inlineStr">
        <is>
          <t>PASS</t>
        </is>
      </c>
      <c r="E800" s="73" t="inlineStr">
        <is>
          <t>Version 8; expected 100%, actual 100%; execution completed; passed true.</t>
        </is>
      </c>
    </row>
    <row r="801" ht="90" customHeight="1" s="78">
      <c r="A801" s="73" t="inlineStr">
        <is>
          <t>REMAINING-2026-09-30</t>
        </is>
      </c>
      <c r="B801" s="73" t="n"/>
      <c r="C801" s="73" t="inlineStr">
        <is>
          <t>A1: Student 2: partial or error</t>
        </is>
      </c>
      <c r="D801" s="73" t="inlineStr">
        <is>
          <t>PASS</t>
        </is>
      </c>
      <c r="E801" s="73" t="inlineStr">
        <is>
          <t>Version 8; expected 50%, actual 50%; execution completed; passed false.</t>
        </is>
      </c>
    </row>
    <row r="802" ht="90" customHeight="1" s="78">
      <c r="A802" s="73" t="inlineStr">
        <is>
          <t>REMAINING-2026-09-30</t>
        </is>
      </c>
      <c r="B802" s="73" t="n"/>
      <c r="C802" s="73" t="inlineStr">
        <is>
          <t>A1: Student 2: built-in hint 1</t>
        </is>
      </c>
      <c r="D802" s="73" t="inlineStr">
        <is>
          <t>PASS</t>
        </is>
      </c>
      <c r="E802" s="73" t="inlineStr">
        <is>
          <t>Built-in level 1; source fallback; AI disabled. Trace the inputs and formula for the first failing calculation.</t>
        </is>
      </c>
    </row>
    <row r="803" ht="90" customHeight="1" s="78">
      <c r="A803" s="73" t="inlineStr">
        <is>
          <t>REMAINING-2026-09-30</t>
        </is>
      </c>
      <c r="B803" s="73" t="n"/>
      <c r="C803" s="73" t="inlineStr">
        <is>
          <t>A1: Student 2: built-in hint 2</t>
        </is>
      </c>
      <c r="D803" s="73" t="inlineStr">
        <is>
          <t>PASS</t>
        </is>
      </c>
      <c r="E803" s="73" t="inlineStr">
        <is>
          <t>Built-in level 2; source fallback; AI disabled. Print the relevant intermediate values and compare each step with the assignment data.</t>
        </is>
      </c>
    </row>
    <row r="804" ht="90" customHeight="1" s="78">
      <c r="A804" s="73" t="inlineStr">
        <is>
          <t>REMAINING-2026-09-30</t>
        </is>
      </c>
      <c r="B804" s="73" t="n"/>
      <c r="C804" s="73" t="inlineStr">
        <is>
          <t>A1: Student 2: built-in hint 3</t>
        </is>
      </c>
      <c r="D804" s="73" t="inlineStr">
        <is>
          <t>PASS</t>
        </is>
      </c>
      <c r="E804" s="73" t="inlineStr">
        <is>
          <t>Built-in level 3; source fallback; AI disabled. Re-read the rubric for the failing calculation and verify units, signs, and path segments.</t>
        </is>
      </c>
    </row>
    <row r="805" ht="90" customHeight="1" s="78">
      <c r="A805" s="73" t="inlineStr">
        <is>
          <t>REMAINING-2026-09-30</t>
        </is>
      </c>
      <c r="B805" s="73" t="n"/>
      <c r="C805" s="73" t="inlineStr">
        <is>
          <t>A1: Student 2: built-in hint 4</t>
        </is>
      </c>
      <c r="D805" s="73" t="inlineStr">
        <is>
          <t>PASS</t>
        </is>
      </c>
      <c r="E805" s="73" t="inlineStr">
        <is>
          <t>Built-in level 4; source fallback; AI disabled. Break the failing calculation into named intermediate expressions, then recombine them.</t>
        </is>
      </c>
    </row>
    <row r="806" ht="90" customHeight="1" s="78">
      <c r="A806" s="73" t="inlineStr">
        <is>
          <t>REMAINING-2026-09-30</t>
        </is>
      </c>
      <c r="B806" s="73" t="n"/>
      <c r="C806" s="73" t="inlineStr">
        <is>
          <t>A1: Student 2: complete</t>
        </is>
      </c>
      <c r="D806" s="73" t="inlineStr">
        <is>
          <t>PASS</t>
        </is>
      </c>
      <c r="E806" s="73" t="inlineStr">
        <is>
          <t>Version 8; expected 100%, actual 100%; execution completed; passed true.</t>
        </is>
      </c>
    </row>
    <row r="807" ht="90" customHeight="1" s="78">
      <c r="A807" s="73" t="inlineStr">
        <is>
          <t>REMAINING-2026-09-30</t>
        </is>
      </c>
      <c r="B807" s="73" t="n"/>
      <c r="C807" s="73" t="inlineStr">
        <is>
          <t>A1: Student 3: partial or error</t>
        </is>
      </c>
      <c r="D807" s="73" t="inlineStr">
        <is>
          <t>PASS</t>
        </is>
      </c>
      <c r="E807" s="73" t="inlineStr">
        <is>
          <t>Version 8; expected 50%, actual 50%; execution completed; passed false.</t>
        </is>
      </c>
    </row>
    <row r="808" ht="90" customHeight="1" s="78">
      <c r="A808" s="73" t="inlineStr">
        <is>
          <t>REMAINING-2026-09-30</t>
        </is>
      </c>
      <c r="B808" s="73" t="n"/>
      <c r="C808" s="73" t="inlineStr">
        <is>
          <t>A1: Approved real AI tutor request</t>
        </is>
      </c>
      <c r="D808" s="73" t="inlineStr">
        <is>
          <t>PASS</t>
        </is>
      </c>
      <c r="E808" s="73" t="inlineStr">
        <is>
          <t>Actual OpenAI request 2; source openai. Sample reviewed: relevant feedback and no complete solution code. Response: The boundary-following phase distance is currently zero rather than the sum of the path from hit to corner and corner to leave points along the obstacle boundary.</t>
        </is>
      </c>
    </row>
    <row r="809" ht="90" customHeight="1" s="78">
      <c r="A809" s="73" t="inlineStr">
        <is>
          <t>REMAINING-2026-09-30</t>
        </is>
      </c>
      <c r="B809" s="73" t="n"/>
      <c r="C809" s="73" t="inlineStr">
        <is>
          <t>A1: Student 3: built-in hint 1</t>
        </is>
      </c>
      <c r="D809" s="73" t="inlineStr">
        <is>
          <t>PASS</t>
        </is>
      </c>
      <c r="E809" s="73" t="inlineStr">
        <is>
          <t>Built-in level 1; source fallback; AI disabled. Trace the inputs and formula for the first failing calculation.</t>
        </is>
      </c>
    </row>
    <row r="810" ht="90" customHeight="1" s="78">
      <c r="A810" s="73" t="inlineStr">
        <is>
          <t>REMAINING-2026-09-30</t>
        </is>
      </c>
      <c r="B810" s="73" t="n"/>
      <c r="C810" s="73" t="inlineStr">
        <is>
          <t>A1: Student 3: built-in hint 2</t>
        </is>
      </c>
      <c r="D810" s="73" t="inlineStr">
        <is>
          <t>PASS</t>
        </is>
      </c>
      <c r="E810" s="73" t="inlineStr">
        <is>
          <t>Built-in level 2; source fallback; AI disabled. Print the relevant intermediate values and compare each step with the assignment data.</t>
        </is>
      </c>
    </row>
    <row r="811" ht="90" customHeight="1" s="78">
      <c r="A811" s="73" t="inlineStr">
        <is>
          <t>REMAINING-2026-09-30</t>
        </is>
      </c>
      <c r="B811" s="73" t="n"/>
      <c r="C811" s="73" t="inlineStr">
        <is>
          <t>A1: Student 3: built-in hint 3</t>
        </is>
      </c>
      <c r="D811" s="73" t="inlineStr">
        <is>
          <t>PASS</t>
        </is>
      </c>
      <c r="E811" s="73" t="inlineStr">
        <is>
          <t>Built-in level 3; source fallback; AI disabled. Re-read the rubric for the failing calculation and verify units, signs, and path segments.</t>
        </is>
      </c>
    </row>
    <row r="812" ht="90" customHeight="1" s="78">
      <c r="A812" s="73" t="inlineStr">
        <is>
          <t>REMAINING-2026-09-30</t>
        </is>
      </c>
      <c r="B812" s="73" t="n"/>
      <c r="C812" s="73" t="inlineStr">
        <is>
          <t>A1: Student 3: built-in hint 4</t>
        </is>
      </c>
      <c r="D812" s="73" t="inlineStr">
        <is>
          <t>PASS</t>
        </is>
      </c>
      <c r="E812" s="73" t="inlineStr">
        <is>
          <t>Built-in level 4; source fallback; AI disabled. Break the failing calculation into named intermediate expressions, then recombine them.</t>
        </is>
      </c>
    </row>
    <row r="813" ht="90" customHeight="1" s="78">
      <c r="A813" s="73" t="inlineStr">
        <is>
          <t>REMAINING-2026-09-30</t>
        </is>
      </c>
      <c r="B813" s="73" t="n"/>
      <c r="C813" s="73" t="inlineStr">
        <is>
          <t>A1: Student 3: complete</t>
        </is>
      </c>
      <c r="D813" s="73" t="inlineStr">
        <is>
          <t>PASS</t>
        </is>
      </c>
      <c r="E813" s="73" t="inlineStr">
        <is>
          <t>Version 8; expected 100%, actual 100%; execution completed; passed true.</t>
        </is>
      </c>
    </row>
    <row r="814" ht="90" customHeight="1" s="78">
      <c r="A814" s="73" t="inlineStr">
        <is>
          <t>REMAINING-2026-09-30</t>
        </is>
      </c>
      <c r="B814" s="73" t="n"/>
      <c r="C814" s="73" t="inlineStr">
        <is>
          <t>A1: Student 4: partial or error</t>
        </is>
      </c>
      <c r="D814" s="73" t="inlineStr">
        <is>
          <t>PASS</t>
        </is>
      </c>
      <c r="E814" s="73" t="inlineStr">
        <is>
          <t>Version 8; expected 100%, actual 100%; execution completed; passed true.</t>
        </is>
      </c>
    </row>
    <row r="815" ht="90" customHeight="1" s="78">
      <c r="A815" s="73" t="inlineStr">
        <is>
          <t>REMAINING-2026-09-30</t>
        </is>
      </c>
      <c r="B815" s="73" t="n"/>
      <c r="C815" s="73" t="inlineStr">
        <is>
          <t>A1: Student 4: built-in hint 1</t>
        </is>
      </c>
      <c r="D815" s="73" t="inlineStr">
        <is>
          <t>PASS</t>
        </is>
      </c>
      <c r="E815" s="73" t="inlineStr">
        <is>
          <t>Built-in level 1; source fallback; AI disabled. Review the method and try an example of your own.</t>
        </is>
      </c>
    </row>
    <row r="816" ht="90" customHeight="1" s="78">
      <c r="A816" s="73" t="inlineStr">
        <is>
          <t>REMAINING-2026-09-30</t>
        </is>
      </c>
      <c r="B816" s="73" t="n"/>
      <c r="C816" s="73" t="inlineStr">
        <is>
          <t>A1: Student 4: built-in hint 2</t>
        </is>
      </c>
      <c r="D816" s="73" t="inlineStr">
        <is>
          <t>PASS</t>
        </is>
      </c>
      <c r="E816" s="73" t="inlineStr">
        <is>
          <t>Built-in level 2; source fallback; AI disabled. Review the method and try an example of your own.</t>
        </is>
      </c>
    </row>
    <row r="817" ht="90" customHeight="1" s="78">
      <c r="A817" s="73" t="inlineStr">
        <is>
          <t>REMAINING-2026-09-30</t>
        </is>
      </c>
      <c r="B817" s="73" t="n"/>
      <c r="C817" s="73" t="inlineStr">
        <is>
          <t>A1: Student 4: built-in hint 3</t>
        </is>
      </c>
      <c r="D817" s="73" t="inlineStr">
        <is>
          <t>PASS</t>
        </is>
      </c>
      <c r="E817" s="73" t="inlineStr">
        <is>
          <t>Built-in level 3; source fallback; AI disabled. Review the method and try an example of your own.</t>
        </is>
      </c>
    </row>
    <row r="818" ht="90" customHeight="1" s="78">
      <c r="A818" s="73" t="inlineStr">
        <is>
          <t>REMAINING-2026-09-30</t>
        </is>
      </c>
      <c r="B818" s="73" t="n"/>
      <c r="C818" s="73" t="inlineStr">
        <is>
          <t>A1: Student 4: built-in hint 4</t>
        </is>
      </c>
      <c r="D818" s="73" t="inlineStr">
        <is>
          <t>PASS</t>
        </is>
      </c>
      <c r="E818" s="73" t="inlineStr">
        <is>
          <t>Built-in level 4; source fallback; AI disabled. Review the method and try an example of your own.</t>
        </is>
      </c>
    </row>
    <row r="819" ht="90" customHeight="1" s="78">
      <c r="A819" s="73" t="inlineStr">
        <is>
          <t>REMAINING-2026-09-30</t>
        </is>
      </c>
      <c r="B819" s="73" t="n"/>
      <c r="C819" s="73" t="inlineStr">
        <is>
          <t>A1: Student 4: complete</t>
        </is>
      </c>
      <c r="D819" s="73" t="inlineStr">
        <is>
          <t>PASS</t>
        </is>
      </c>
      <c r="E819" s="73" t="inlineStr">
        <is>
          <t>Version 8; expected 100%, actual 100%; execution completed; passed true.</t>
        </is>
      </c>
    </row>
    <row r="820" ht="90" customHeight="1" s="78">
      <c r="A820" s="73" t="inlineStr">
        <is>
          <t>REMAINING-2026-09-30</t>
        </is>
      </c>
      <c r="B820" s="73" t="n"/>
      <c r="C820" s="73" t="inlineStr">
        <is>
          <t>A1: Student 5: partial or error</t>
        </is>
      </c>
      <c r="D820" s="73" t="inlineStr">
        <is>
          <t>PASS</t>
        </is>
      </c>
      <c r="E820" s="73" t="inlineStr">
        <is>
          <t>Version 8; expected 0%, actual 0%; execution syntax_error; passed false.</t>
        </is>
      </c>
    </row>
    <row r="821" ht="90" customHeight="1" s="78">
      <c r="A821" s="73" t="inlineStr">
        <is>
          <t>REMAINING-2026-09-30</t>
        </is>
      </c>
      <c r="B821" s="73" t="n"/>
      <c r="C821" s="73" t="inlineStr">
        <is>
          <t>A1: Student 5: built-in hint 1</t>
        </is>
      </c>
      <c r="D821" s="73" t="inlineStr">
        <is>
          <t>PASS</t>
        </is>
      </c>
      <c r="E821" s="73" t="inlineStr">
        <is>
          <t>Built-in level 1; source fallback; AI disabled. Fix the first execution error, then run the tests again.</t>
        </is>
      </c>
    </row>
    <row r="822" ht="90" customHeight="1" s="78">
      <c r="A822" s="73" t="inlineStr">
        <is>
          <t>REMAINING-2026-09-30</t>
        </is>
      </c>
      <c r="B822" s="73" t="n"/>
      <c r="C822" s="73" t="inlineStr">
        <is>
          <t>A1: Student 5: built-in hint 2</t>
        </is>
      </c>
      <c r="D822" s="73" t="inlineStr">
        <is>
          <t>PASS</t>
        </is>
      </c>
      <c r="E822" s="73" t="inlineStr">
        <is>
          <t>Built-in level 2; source fallback; AI disabled. Fix the first execution error, then run the tests again.</t>
        </is>
      </c>
    </row>
    <row r="823" ht="90" customHeight="1" s="78">
      <c r="A823" s="73" t="inlineStr">
        <is>
          <t>REMAINING-2026-09-30</t>
        </is>
      </c>
      <c r="B823" s="73" t="n"/>
      <c r="C823" s="73" t="inlineStr">
        <is>
          <t>A1: Student 5: built-in hint 3</t>
        </is>
      </c>
      <c r="D823" s="73" t="inlineStr">
        <is>
          <t>PASS</t>
        </is>
      </c>
      <c r="E823" s="73" t="inlineStr">
        <is>
          <t>Built-in level 3; source fallback; AI disabled. Fix the first execution error, then run the tests again.</t>
        </is>
      </c>
    </row>
    <row r="824" ht="90" customHeight="1" s="78">
      <c r="A824" s="73" t="inlineStr">
        <is>
          <t>REMAINING-2026-09-30</t>
        </is>
      </c>
      <c r="B824" s="73" t="n"/>
      <c r="C824" s="73" t="inlineStr">
        <is>
          <t>A1: Student 5: built-in hint 4</t>
        </is>
      </c>
      <c r="D824" s="73" t="inlineStr">
        <is>
          <t>PASS</t>
        </is>
      </c>
      <c r="E824" s="73" t="inlineStr">
        <is>
          <t>Built-in level 4; source fallback; AI disabled. Fix the first execution error, then run the tests again.</t>
        </is>
      </c>
    </row>
    <row r="825" ht="90" customHeight="1" s="78">
      <c r="A825" s="73" t="inlineStr">
        <is>
          <t>REMAINING-2026-09-30</t>
        </is>
      </c>
      <c r="B825" s="73" t="n"/>
      <c r="C825" s="73" t="inlineStr">
        <is>
          <t>A1: Student 5: complete</t>
        </is>
      </c>
      <c r="D825" s="73" t="inlineStr">
        <is>
          <t>PASS</t>
        </is>
      </c>
      <c r="E825" s="73" t="inlineStr">
        <is>
          <t>Version 8; expected 100%, actual 100%; execution completed; passed true.</t>
        </is>
      </c>
    </row>
    <row r="826" ht="90" customHeight="1" s="78">
      <c r="A826" s="73" t="inlineStr">
        <is>
          <t>REMAINING-2026-09-30</t>
        </is>
      </c>
      <c r="B826" s="73" t="n"/>
      <c r="C826" s="73" t="inlineStr">
        <is>
          <t>A3: Student 1: partial or error</t>
        </is>
      </c>
      <c r="D826" s="73" t="inlineStr">
        <is>
          <t>PASS</t>
        </is>
      </c>
      <c r="E826" s="73" t="inlineStr">
        <is>
          <t>Version 8; expected 12%, actual 12%; execution completed; passed false.</t>
        </is>
      </c>
    </row>
    <row r="827" ht="90" customHeight="1" s="78">
      <c r="A827" s="73" t="inlineStr">
        <is>
          <t>REMAINING-2026-09-30</t>
        </is>
      </c>
      <c r="B827" s="73" t="n"/>
      <c r="C827" s="73" t="inlineStr">
        <is>
          <t>A3: Approved real AI tutor request</t>
        </is>
      </c>
      <c r="D827" s="73" t="inlineStr">
        <is>
          <t>PASS</t>
        </is>
      </c>
      <c r="E827" s="73" t="inlineStr">
        <is>
          <t>Actual OpenAI request 3; source openai. Sample reviewed: relevant feedback and no complete solution code. Response: The first failing requirement is the service entry route calculation, which requires summing the straight-line distance from start to the service elevator plus exactly one half-circle detour based on the given detour radius parameter.</t>
        </is>
      </c>
    </row>
    <row r="828" ht="90" customHeight="1" s="78">
      <c r="A828" s="73" t="inlineStr">
        <is>
          <t>REMAINING-2026-09-30</t>
        </is>
      </c>
      <c r="B828" s="73" t="n"/>
      <c r="C828" s="73" t="inlineStr">
        <is>
          <t>A3: Student 1: built-in hint 1</t>
        </is>
      </c>
      <c r="D828" s="73" t="inlineStr">
        <is>
          <t>PASS</t>
        </is>
      </c>
      <c r="E828" s="73" t="inlineStr">
        <is>
          <t>Built-in level 1; source fallback; AI disabled. Trace the inputs and formula for the first failing calculation.</t>
        </is>
      </c>
    </row>
    <row r="829" ht="90" customHeight="1" s="78">
      <c r="A829" s="73" t="inlineStr">
        <is>
          <t>REMAINING-2026-09-30</t>
        </is>
      </c>
      <c r="B829" s="73" t="n"/>
      <c r="C829" s="73" t="inlineStr">
        <is>
          <t>A3: Student 1: built-in hint 2</t>
        </is>
      </c>
      <c r="D829" s="73" t="inlineStr">
        <is>
          <t>PASS</t>
        </is>
      </c>
      <c r="E829" s="73" t="inlineStr">
        <is>
          <t>Built-in level 2; source fallback; AI disabled. Print the relevant intermediate values and compare each step with the assignment data.</t>
        </is>
      </c>
    </row>
    <row r="830" ht="90" customHeight="1" s="78">
      <c r="A830" s="73" t="inlineStr">
        <is>
          <t>REMAINING-2026-09-30</t>
        </is>
      </c>
      <c r="B830" s="73" t="n"/>
      <c r="C830" s="73" t="inlineStr">
        <is>
          <t>A3: Student 1: built-in hint 3</t>
        </is>
      </c>
      <c r="D830" s="73" t="inlineStr">
        <is>
          <t>PASS</t>
        </is>
      </c>
      <c r="E830" s="73" t="inlineStr">
        <is>
          <t>Built-in level 3; source fallback; AI disabled. Re-read the rubric for the failing calculation and verify units, signs, and path segments.</t>
        </is>
      </c>
    </row>
    <row r="831" ht="90" customHeight="1" s="78">
      <c r="A831" s="73" t="inlineStr">
        <is>
          <t>REMAINING-2026-09-30</t>
        </is>
      </c>
      <c r="B831" s="73" t="n"/>
      <c r="C831" s="73" t="inlineStr">
        <is>
          <t>A3: Student 1: built-in hint 4</t>
        </is>
      </c>
      <c r="D831" s="73" t="inlineStr">
        <is>
          <t>PASS</t>
        </is>
      </c>
      <c r="E831" s="73" t="inlineStr">
        <is>
          <t>Built-in level 4; source fallback; AI disabled. Break the failing calculation into named intermediate expressions, then recombine them.</t>
        </is>
      </c>
    </row>
    <row r="832" ht="90" customHeight="1" s="78">
      <c r="A832" s="73" t="inlineStr">
        <is>
          <t>REMAINING-2026-09-30</t>
        </is>
      </c>
      <c r="B832" s="73" t="n"/>
      <c r="C832" s="73" t="inlineStr">
        <is>
          <t>A3: Student 1: complete</t>
        </is>
      </c>
      <c r="D832" s="73" t="inlineStr">
        <is>
          <t>PASS</t>
        </is>
      </c>
      <c r="E832" s="73" t="inlineStr">
        <is>
          <t>Version 8; expected 100%, actual 100%; execution completed; passed true.</t>
        </is>
      </c>
    </row>
    <row r="833" ht="90" customHeight="1" s="78">
      <c r="A833" s="73" t="inlineStr">
        <is>
          <t>REMAINING-2026-09-30</t>
        </is>
      </c>
      <c r="B833" s="73" t="n"/>
      <c r="C833" s="73" t="inlineStr">
        <is>
          <t>A3: Student 2: partial or error</t>
        </is>
      </c>
      <c r="D833" s="73" t="inlineStr">
        <is>
          <t>PASS</t>
        </is>
      </c>
      <c r="E833" s="73" t="inlineStr">
        <is>
          <t>Version 8; expected 25%, actual 25%; execution completed; passed false.</t>
        </is>
      </c>
    </row>
    <row r="834" ht="90" customHeight="1" s="78">
      <c r="A834" s="73" t="inlineStr">
        <is>
          <t>REMAINING-2026-09-30</t>
        </is>
      </c>
      <c r="B834" s="73" t="n"/>
      <c r="C834" s="73" t="inlineStr">
        <is>
          <t>A3: Student 2: built-in hint 1</t>
        </is>
      </c>
      <c r="D834" s="73" t="inlineStr">
        <is>
          <t>PASS</t>
        </is>
      </c>
      <c r="E834" s="73" t="inlineStr">
        <is>
          <t>Built-in level 1; source fallback; AI disabled. Trace the inputs and formula for the first failing calculation.</t>
        </is>
      </c>
    </row>
    <row r="835" ht="90" customHeight="1" s="78">
      <c r="A835" s="73" t="inlineStr">
        <is>
          <t>REMAINING-2026-09-30</t>
        </is>
      </c>
      <c r="B835" s="73" t="n"/>
      <c r="C835" s="73" t="inlineStr">
        <is>
          <t>A3: Student 2: built-in hint 2</t>
        </is>
      </c>
      <c r="D835" s="73" t="inlineStr">
        <is>
          <t>PASS</t>
        </is>
      </c>
      <c r="E835" s="73" t="inlineStr">
        <is>
          <t>Built-in level 2; source fallback; AI disabled. Print the relevant intermediate values and compare each step with the assignment data.</t>
        </is>
      </c>
    </row>
    <row r="836" ht="90" customHeight="1" s="78">
      <c r="A836" s="73" t="inlineStr">
        <is>
          <t>REMAINING-2026-09-30</t>
        </is>
      </c>
      <c r="B836" s="73" t="n"/>
      <c r="C836" s="73" t="inlineStr">
        <is>
          <t>A3: Student 2: built-in hint 3</t>
        </is>
      </c>
      <c r="D836" s="73" t="inlineStr">
        <is>
          <t>PASS</t>
        </is>
      </c>
      <c r="E836" s="73" t="inlineStr">
        <is>
          <t>Built-in level 3; source fallback; AI disabled. Re-read the rubric for the failing calculation and verify units, signs, and path segments.</t>
        </is>
      </c>
    </row>
    <row r="837" ht="90" customHeight="1" s="78">
      <c r="A837" s="73" t="inlineStr">
        <is>
          <t>REMAINING-2026-09-30</t>
        </is>
      </c>
      <c r="B837" s="73" t="n"/>
      <c r="C837" s="73" t="inlineStr">
        <is>
          <t>A3: Student 2: built-in hint 4</t>
        </is>
      </c>
      <c r="D837" s="73" t="inlineStr">
        <is>
          <t>PASS</t>
        </is>
      </c>
      <c r="E837" s="73" t="inlineStr">
        <is>
          <t>Built-in level 4; source fallback; AI disabled. Break the failing calculation into named intermediate expressions, then recombine them.</t>
        </is>
      </c>
    </row>
    <row r="838" ht="90" customHeight="1" s="78">
      <c r="A838" s="73" t="inlineStr">
        <is>
          <t>REMAINING-2026-09-30</t>
        </is>
      </c>
      <c r="B838" s="73" t="n"/>
      <c r="C838" s="73" t="inlineStr">
        <is>
          <t>A3: Student 2: complete</t>
        </is>
      </c>
      <c r="D838" s="73" t="inlineStr">
        <is>
          <t>PASS</t>
        </is>
      </c>
      <c r="E838" s="73" t="inlineStr">
        <is>
          <t>Version 8; expected 100%, actual 100%; execution completed; passed true.</t>
        </is>
      </c>
    </row>
    <row r="839" ht="90" customHeight="1" s="78">
      <c r="A839" s="73" t="inlineStr">
        <is>
          <t>REMAINING-2026-09-30</t>
        </is>
      </c>
      <c r="B839" s="73" t="n"/>
      <c r="C839" s="73" t="inlineStr">
        <is>
          <t>A3: Student 3: partial or error</t>
        </is>
      </c>
      <c r="D839" s="73" t="inlineStr">
        <is>
          <t>PASS</t>
        </is>
      </c>
      <c r="E839" s="73" t="inlineStr">
        <is>
          <t>Version 8; expected 50%, actual 50%; execution completed; passed false.</t>
        </is>
      </c>
    </row>
    <row r="840" ht="90" customHeight="1" s="78">
      <c r="A840" s="73" t="inlineStr">
        <is>
          <t>REMAINING-2026-09-30</t>
        </is>
      </c>
      <c r="B840" s="73" t="n"/>
      <c r="C840" s="73" t="inlineStr">
        <is>
          <t>A3: Approved real AI tutor request</t>
        </is>
      </c>
      <c r="D840" s="73" t="inlineStr">
        <is>
          <t>FAIL (before fix)</t>
        </is>
      </c>
      <c r="E840" s="73" t="inlineStr">
        <is>
          <t>Actual OpenAI request 4; source openai. Unverified claim about a discarded return versus calculation. Response: The first failing check indicates that the route to the service elevator does not properly include the half-circle detour as specified. The current method adds the half-circle length but may not accurately use the service detour radius from the function parameters for all inputs, risking incorrect calculations when inputs vary.</t>
        </is>
      </c>
    </row>
    <row r="841" ht="90" customHeight="1" s="78">
      <c r="A841" s="73" t="inlineStr">
        <is>
          <t>REMAINING-2026-09-30</t>
        </is>
      </c>
      <c r="B841" s="73" t="n"/>
      <c r="C841" s="73" t="inlineStr">
        <is>
          <t>A3: Student 3: built-in hint 1</t>
        </is>
      </c>
      <c r="D841" s="73" t="inlineStr">
        <is>
          <t>PASS</t>
        </is>
      </c>
      <c r="E841" s="73" t="inlineStr">
        <is>
          <t>Built-in level 1; source fallback; AI disabled. Trace the inputs and formula for the first failing calculation.</t>
        </is>
      </c>
    </row>
    <row r="842" ht="90" customHeight="1" s="78">
      <c r="A842" s="73" t="inlineStr">
        <is>
          <t>REMAINING-2026-09-30</t>
        </is>
      </c>
      <c r="B842" s="73" t="n"/>
      <c r="C842" s="73" t="inlineStr">
        <is>
          <t>A3: Student 3: built-in hint 2</t>
        </is>
      </c>
      <c r="D842" s="73" t="inlineStr">
        <is>
          <t>PASS</t>
        </is>
      </c>
      <c r="E842" s="73" t="inlineStr">
        <is>
          <t>Built-in level 2; source fallback; AI disabled. Print the relevant intermediate values and compare each step with the assignment data.</t>
        </is>
      </c>
    </row>
    <row r="843" ht="90" customHeight="1" s="78">
      <c r="A843" s="73" t="inlineStr">
        <is>
          <t>REMAINING-2026-09-30</t>
        </is>
      </c>
      <c r="B843" s="73" t="n"/>
      <c r="C843" s="73" t="inlineStr">
        <is>
          <t>A3: Student 3: built-in hint 3</t>
        </is>
      </c>
      <c r="D843" s="73" t="inlineStr">
        <is>
          <t>PASS</t>
        </is>
      </c>
      <c r="E843" s="73" t="inlineStr">
        <is>
          <t>Built-in level 3; source fallback; AI disabled. Re-read the rubric for the failing calculation and verify units, signs, and path segments.</t>
        </is>
      </c>
    </row>
    <row r="844" ht="90" customHeight="1" s="78">
      <c r="A844" s="73" t="inlineStr">
        <is>
          <t>REMAINING-2026-09-30</t>
        </is>
      </c>
      <c r="B844" s="73" t="n"/>
      <c r="C844" s="73" t="inlineStr">
        <is>
          <t>A3: Student 3: built-in hint 4</t>
        </is>
      </c>
      <c r="D844" s="73" t="inlineStr">
        <is>
          <t>PASS</t>
        </is>
      </c>
      <c r="E844" s="73" t="inlineStr">
        <is>
          <t>Built-in level 4; source fallback; AI disabled. Break the failing calculation into named intermediate expressions, then recombine them.</t>
        </is>
      </c>
    </row>
    <row r="845" ht="90" customHeight="1" s="78">
      <c r="A845" s="73" t="inlineStr">
        <is>
          <t>REMAINING-2026-09-30</t>
        </is>
      </c>
      <c r="B845" s="73" t="n"/>
      <c r="C845" s="73" t="inlineStr">
        <is>
          <t>A3: Student 3: complete</t>
        </is>
      </c>
      <c r="D845" s="73" t="inlineStr">
        <is>
          <t>PASS</t>
        </is>
      </c>
      <c r="E845" s="73" t="inlineStr">
        <is>
          <t>Version 8; expected 100%, actual 100%; execution completed; passed true.</t>
        </is>
      </c>
    </row>
    <row r="846" ht="90" customHeight="1" s="78">
      <c r="A846" s="73" t="inlineStr">
        <is>
          <t>REMAINING-2026-09-30</t>
        </is>
      </c>
      <c r="B846" s="73" t="n"/>
      <c r="C846" s="73" t="inlineStr">
        <is>
          <t>A3: Student 4: partial or error</t>
        </is>
      </c>
      <c r="D846" s="73" t="inlineStr">
        <is>
          <t>PASS</t>
        </is>
      </c>
      <c r="E846" s="73" t="inlineStr">
        <is>
          <t>Version 8; expected 50%, actual 50%; execution completed; passed false.</t>
        </is>
      </c>
    </row>
    <row r="847" ht="90" customHeight="1" s="78">
      <c r="A847" s="73" t="inlineStr">
        <is>
          <t>REMAINING-2026-09-30</t>
        </is>
      </c>
      <c r="B847" s="73" t="n"/>
      <c r="C847" s="73" t="inlineStr">
        <is>
          <t>A3: Student 4: built-in hint 1</t>
        </is>
      </c>
      <c r="D847" s="73" t="inlineStr">
        <is>
          <t>PASS</t>
        </is>
      </c>
      <c r="E847" s="73" t="inlineStr">
        <is>
          <t>Built-in level 1; source fallback; AI disabled. Trace the inputs and formula for the first failing calculation.</t>
        </is>
      </c>
    </row>
    <row r="848" ht="90" customHeight="1" s="78">
      <c r="A848" s="73" t="inlineStr">
        <is>
          <t>REMAINING-2026-09-30</t>
        </is>
      </c>
      <c r="B848" s="73" t="n"/>
      <c r="C848" s="73" t="inlineStr">
        <is>
          <t>A3: Student 4: built-in hint 2</t>
        </is>
      </c>
      <c r="D848" s="73" t="inlineStr">
        <is>
          <t>PASS</t>
        </is>
      </c>
      <c r="E848" s="73" t="inlineStr">
        <is>
          <t>Built-in level 2; source fallback; AI disabled. Print the relevant intermediate values and compare each step with the assignment data.</t>
        </is>
      </c>
    </row>
    <row r="849" ht="90" customHeight="1" s="78">
      <c r="A849" s="73" t="inlineStr">
        <is>
          <t>REMAINING-2026-09-30</t>
        </is>
      </c>
      <c r="B849" s="73" t="n"/>
      <c r="C849" s="73" t="inlineStr">
        <is>
          <t>A3: Student 4: built-in hint 3</t>
        </is>
      </c>
      <c r="D849" s="73" t="inlineStr">
        <is>
          <t>PASS</t>
        </is>
      </c>
      <c r="E849" s="73" t="inlineStr">
        <is>
          <t>Built-in level 3; source fallback; AI disabled. Re-read the rubric for the failing calculation and verify units, signs, and path segments.</t>
        </is>
      </c>
    </row>
    <row r="850" ht="90" customHeight="1" s="78">
      <c r="A850" s="73" t="inlineStr">
        <is>
          <t>REMAINING-2026-09-30</t>
        </is>
      </c>
      <c r="B850" s="73" t="n"/>
      <c r="C850" s="73" t="inlineStr">
        <is>
          <t>A3: Student 4: built-in hint 4</t>
        </is>
      </c>
      <c r="D850" s="73" t="inlineStr">
        <is>
          <t>PASS</t>
        </is>
      </c>
      <c r="E850" s="73" t="inlineStr">
        <is>
          <t>Built-in level 4; source fallback; AI disabled. Break the failing calculation into named intermediate expressions, then recombine them.</t>
        </is>
      </c>
    </row>
    <row r="851" ht="90" customHeight="1" s="78">
      <c r="A851" s="73" t="inlineStr">
        <is>
          <t>REMAINING-2026-09-30</t>
        </is>
      </c>
      <c r="B851" s="73" t="n"/>
      <c r="C851" s="73" t="inlineStr">
        <is>
          <t>A3: Student 4: complete</t>
        </is>
      </c>
      <c r="D851" s="73" t="inlineStr">
        <is>
          <t>PASS</t>
        </is>
      </c>
      <c r="E851" s="73" t="inlineStr">
        <is>
          <t>Version 8; expected 100%, actual 100%; execution completed; passed true.</t>
        </is>
      </c>
    </row>
    <row r="852" ht="90" customHeight="1" s="78">
      <c r="A852" s="73" t="inlineStr">
        <is>
          <t>REMAINING-2026-09-30</t>
        </is>
      </c>
      <c r="B852" s="73" t="n"/>
      <c r="C852" s="73" t="inlineStr">
        <is>
          <t>A3: Student 5: partial or error</t>
        </is>
      </c>
      <c r="D852" s="73" t="inlineStr">
        <is>
          <t>PASS</t>
        </is>
      </c>
      <c r="E852" s="73" t="inlineStr">
        <is>
          <t>Version 8; expected 0%, actual 0%; execution syntax_error; passed false.</t>
        </is>
      </c>
    </row>
    <row r="853" ht="90" customHeight="1" s="78">
      <c r="A853" s="73" t="inlineStr">
        <is>
          <t>REMAINING-2026-09-30</t>
        </is>
      </c>
      <c r="B853" s="73" t="n"/>
      <c r="C853" s="73" t="inlineStr">
        <is>
          <t>A3: Student 5: built-in hint 1</t>
        </is>
      </c>
      <c r="D853" s="73" t="inlineStr">
        <is>
          <t>PASS</t>
        </is>
      </c>
      <c r="E853" s="73" t="inlineStr">
        <is>
          <t>Built-in level 1; source fallback; AI disabled. Fix the first execution error, then run the tests again.</t>
        </is>
      </c>
    </row>
    <row r="854" ht="90" customHeight="1" s="78">
      <c r="A854" s="73" t="inlineStr">
        <is>
          <t>REMAINING-2026-09-30</t>
        </is>
      </c>
      <c r="B854" s="73" t="n"/>
      <c r="C854" s="73" t="inlineStr">
        <is>
          <t>A3: Student 5: built-in hint 2</t>
        </is>
      </c>
      <c r="D854" s="73" t="inlineStr">
        <is>
          <t>PASS</t>
        </is>
      </c>
      <c r="E854" s="73" t="inlineStr">
        <is>
          <t>Built-in level 2; source fallback; AI disabled. Fix the first execution error, then run the tests again.</t>
        </is>
      </c>
    </row>
    <row r="855" ht="90" customHeight="1" s="78">
      <c r="A855" s="73" t="inlineStr">
        <is>
          <t>REMAINING-2026-09-30</t>
        </is>
      </c>
      <c r="B855" s="73" t="n"/>
      <c r="C855" s="73" t="inlineStr">
        <is>
          <t>A3: Student 5: built-in hint 3</t>
        </is>
      </c>
      <c r="D855" s="73" t="inlineStr">
        <is>
          <t>PASS</t>
        </is>
      </c>
      <c r="E855" s="73" t="inlineStr">
        <is>
          <t>Built-in level 3; source fallback; AI disabled. Fix the first execution error, then run the tests again.</t>
        </is>
      </c>
    </row>
    <row r="856" ht="90" customHeight="1" s="78">
      <c r="A856" s="73" t="inlineStr">
        <is>
          <t>REMAINING-2026-09-30</t>
        </is>
      </c>
      <c r="B856" s="73" t="n"/>
      <c r="C856" s="73" t="inlineStr">
        <is>
          <t>A3: Student 5: built-in hint 4</t>
        </is>
      </c>
      <c r="D856" s="73" t="inlineStr">
        <is>
          <t>PASS</t>
        </is>
      </c>
      <c r="E856" s="73" t="inlineStr">
        <is>
          <t>Built-in level 4; source fallback; AI disabled. Fix the first execution error, then run the tests again.</t>
        </is>
      </c>
    </row>
    <row r="857" ht="90" customHeight="1" s="78">
      <c r="A857" s="73" t="inlineStr">
        <is>
          <t>REMAINING-2026-09-30</t>
        </is>
      </c>
      <c r="B857" s="73" t="n"/>
      <c r="C857" s="73" t="inlineStr">
        <is>
          <t>A3: Student 5: complete</t>
        </is>
      </c>
      <c r="D857" s="73" t="inlineStr">
        <is>
          <t>PASS</t>
        </is>
      </c>
      <c r="E857" s="73" t="inlineStr">
        <is>
          <t>Version 8; expected 100%, actual 100%; execution completed; passed true.</t>
        </is>
      </c>
    </row>
    <row r="858" ht="90" customHeight="1" s="78">
      <c r="A858" s="73" t="inlineStr">
        <is>
          <t>REMAINING-2026-09-30</t>
        </is>
      </c>
      <c r="B858" s="73" t="n"/>
      <c r="C858" s="73" t="inlineStr">
        <is>
          <t>A4: Student 1: partial or error</t>
        </is>
      </c>
      <c r="D858" s="73" t="inlineStr">
        <is>
          <t>PASS</t>
        </is>
      </c>
      <c r="E858" s="73" t="inlineStr">
        <is>
          <t>Version 8; expected 20%, actual 20%; execution completed; passed false.</t>
        </is>
      </c>
    </row>
    <row r="859" ht="90" customHeight="1" s="78">
      <c r="A859" s="73" t="inlineStr">
        <is>
          <t>REMAINING-2026-09-30</t>
        </is>
      </c>
      <c r="B859" s="73" t="n"/>
      <c r="C859" s="73" t="inlineStr">
        <is>
          <t>A4: Approved real AI tutor request</t>
        </is>
      </c>
      <c r="D859" s="73" t="inlineStr">
        <is>
          <t>FAIL (before fix)</t>
        </is>
      </c>
      <c r="E859" s="73" t="inlineStr">
        <is>
          <t>Actual OpenAI request 5; source openai. Excluded angle-wrapping advice. Response: The first failing requirement is the inclusive search window count, which must include both endpoints (goal_direction - search_half_width and goal_direction + search_half_width), but your code's output for candidate count does not satisfy this for all inputs.</t>
        </is>
      </c>
    </row>
    <row r="860" ht="90" customHeight="1" s="78">
      <c r="A860" s="73" t="inlineStr">
        <is>
          <t>REMAINING-2026-09-30</t>
        </is>
      </c>
      <c r="B860" s="73" t="n"/>
      <c r="C860" s="73" t="inlineStr">
        <is>
          <t>A4: Student 1: built-in hint 1</t>
        </is>
      </c>
      <c r="D860" s="73" t="inlineStr">
        <is>
          <t>PASS</t>
        </is>
      </c>
      <c r="E860" s="73" t="inlineStr">
        <is>
          <t>Built-in level 1; source fallback; AI disabled. Trace the inputs and formula for the first failing calculation.</t>
        </is>
      </c>
    </row>
    <row r="861" ht="90" customHeight="1" s="78">
      <c r="A861" s="73" t="inlineStr">
        <is>
          <t>REMAINING-2026-09-30</t>
        </is>
      </c>
      <c r="B861" s="73" t="n"/>
      <c r="C861" s="73" t="inlineStr">
        <is>
          <t>A4: Student 1: built-in hint 2</t>
        </is>
      </c>
      <c r="D861" s="73" t="inlineStr">
        <is>
          <t>PASS</t>
        </is>
      </c>
      <c r="E861" s="73" t="inlineStr">
        <is>
          <t>Built-in level 2; source fallback; AI disabled. Print the relevant intermediate values and compare each step with the assignment data.</t>
        </is>
      </c>
    </row>
    <row r="862" ht="90" customHeight="1" s="78">
      <c r="A862" s="73" t="inlineStr">
        <is>
          <t>REMAINING-2026-09-30</t>
        </is>
      </c>
      <c r="B862" s="73" t="n"/>
      <c r="C862" s="73" t="inlineStr">
        <is>
          <t>A4: Student 1: built-in hint 3</t>
        </is>
      </c>
      <c r="D862" s="73" t="inlineStr">
        <is>
          <t>PASS</t>
        </is>
      </c>
      <c r="E862" s="73" t="inlineStr">
        <is>
          <t>Built-in level 3; source fallback; AI disabled. Re-read the rubric for the failing calculation and verify units, signs, and path segments.</t>
        </is>
      </c>
    </row>
    <row r="863" ht="90" customHeight="1" s="78">
      <c r="A863" s="73" t="inlineStr">
        <is>
          <t>REMAINING-2026-09-30</t>
        </is>
      </c>
      <c r="B863" s="73" t="n"/>
      <c r="C863" s="73" t="inlineStr">
        <is>
          <t>A4: Student 1: built-in hint 4</t>
        </is>
      </c>
      <c r="D863" s="73" t="inlineStr">
        <is>
          <t>PASS</t>
        </is>
      </c>
      <c r="E863" s="73" t="inlineStr">
        <is>
          <t>Built-in level 4; source fallback; AI disabled. Break the failing calculation into named intermediate expressions, then recombine them.</t>
        </is>
      </c>
    </row>
    <row r="864" ht="90" customHeight="1" s="78">
      <c r="A864" s="73" t="inlineStr">
        <is>
          <t>REMAINING-2026-09-30</t>
        </is>
      </c>
      <c r="B864" s="73" t="n"/>
      <c r="C864" s="73" t="inlineStr">
        <is>
          <t>A4: Student 1: complete</t>
        </is>
      </c>
      <c r="D864" s="73" t="inlineStr">
        <is>
          <t>PASS</t>
        </is>
      </c>
      <c r="E864" s="73" t="inlineStr">
        <is>
          <t>Version 8; expected 100%, actual 100%; execution completed; passed true.</t>
        </is>
      </c>
    </row>
    <row r="865" ht="90" customHeight="1" s="78">
      <c r="A865" s="73" t="inlineStr">
        <is>
          <t>REMAINING-2026-09-30</t>
        </is>
      </c>
      <c r="B865" s="73" t="n"/>
      <c r="C865" s="73" t="inlineStr">
        <is>
          <t>A4: Student 2: partial or error</t>
        </is>
      </c>
      <c r="D865" s="73" t="inlineStr">
        <is>
          <t>PASS</t>
        </is>
      </c>
      <c r="E865" s="73" t="inlineStr">
        <is>
          <t>Version 8; expected 40%, actual 40%; execution completed; passed false.</t>
        </is>
      </c>
    </row>
    <row r="866" ht="90" customHeight="1" s="78">
      <c r="A866" s="73" t="inlineStr">
        <is>
          <t>REMAINING-2026-09-30</t>
        </is>
      </c>
      <c r="B866" s="73" t="n"/>
      <c r="C866" s="73" t="inlineStr">
        <is>
          <t>A4: Student 2: built-in hint 1</t>
        </is>
      </c>
      <c r="D866" s="73" t="inlineStr">
        <is>
          <t>PASS</t>
        </is>
      </c>
      <c r="E866" s="73" t="inlineStr">
        <is>
          <t>Built-in level 1; source fallback; AI disabled. Trace the inputs and formula for the first failing calculation.</t>
        </is>
      </c>
    </row>
    <row r="867" ht="90" customHeight="1" s="78">
      <c r="A867" s="73" t="inlineStr">
        <is>
          <t>REMAINING-2026-09-30</t>
        </is>
      </c>
      <c r="B867" s="73" t="n"/>
      <c r="C867" s="73" t="inlineStr">
        <is>
          <t>A4: Student 2: built-in hint 2</t>
        </is>
      </c>
      <c r="D867" s="73" t="inlineStr">
        <is>
          <t>PASS</t>
        </is>
      </c>
      <c r="E867" s="73" t="inlineStr">
        <is>
          <t>Built-in level 2; source fallback; AI disabled. Print the relevant intermediate values and compare each step with the assignment data.</t>
        </is>
      </c>
    </row>
    <row r="868" ht="90" customHeight="1" s="78">
      <c r="A868" s="73" t="inlineStr">
        <is>
          <t>REMAINING-2026-09-30</t>
        </is>
      </c>
      <c r="B868" s="73" t="n"/>
      <c r="C868" s="73" t="inlineStr">
        <is>
          <t>A4: Student 2: built-in hint 3</t>
        </is>
      </c>
      <c r="D868" s="73" t="inlineStr">
        <is>
          <t>PASS</t>
        </is>
      </c>
      <c r="E868" s="73" t="inlineStr">
        <is>
          <t>Built-in level 3; source fallback; AI disabled. Re-read the rubric for the failing calculation and verify units, signs, and path segments.</t>
        </is>
      </c>
    </row>
    <row r="869" ht="90" customHeight="1" s="78">
      <c r="A869" s="73" t="inlineStr">
        <is>
          <t>REMAINING-2026-09-30</t>
        </is>
      </c>
      <c r="B869" s="73" t="n"/>
      <c r="C869" s="73" t="inlineStr">
        <is>
          <t>A4: Student 2: built-in hint 4</t>
        </is>
      </c>
      <c r="D869" s="73" t="inlineStr">
        <is>
          <t>PASS</t>
        </is>
      </c>
      <c r="E869" s="73" t="inlineStr">
        <is>
          <t>Built-in level 4; source fallback; AI disabled. Break the failing calculation into named intermediate expressions, then recombine them.</t>
        </is>
      </c>
    </row>
    <row r="870" ht="90" customHeight="1" s="78">
      <c r="A870" s="73" t="inlineStr">
        <is>
          <t>REMAINING-2026-09-30</t>
        </is>
      </c>
      <c r="B870" s="73" t="n"/>
      <c r="C870" s="73" t="inlineStr">
        <is>
          <t>A4: Student 2: complete</t>
        </is>
      </c>
      <c r="D870" s="73" t="inlineStr">
        <is>
          <t>PASS</t>
        </is>
      </c>
      <c r="E870" s="73" t="inlineStr">
        <is>
          <t>Version 8; expected 100%, actual 100%; execution completed; passed true.</t>
        </is>
      </c>
    </row>
    <row r="871" ht="90" customHeight="1" s="78">
      <c r="A871" s="73" t="inlineStr">
        <is>
          <t>REMAINING-2026-09-30</t>
        </is>
      </c>
      <c r="B871" s="73" t="n"/>
      <c r="C871" s="73" t="inlineStr">
        <is>
          <t>A4: Student 3: partial or error</t>
        </is>
      </c>
      <c r="D871" s="73" t="inlineStr">
        <is>
          <t>PASS</t>
        </is>
      </c>
      <c r="E871" s="73" t="inlineStr">
        <is>
          <t>Version 8; expected 60%, actual 60%; execution completed; passed false.</t>
        </is>
      </c>
    </row>
    <row r="872" ht="90" customHeight="1" s="78">
      <c r="A872" s="73" t="inlineStr">
        <is>
          <t>REMAINING-2026-09-30</t>
        </is>
      </c>
      <c r="B872" s="73" t="n"/>
      <c r="C872" s="73" t="inlineStr">
        <is>
          <t>A4: Approved real AI tutor request</t>
        </is>
      </c>
      <c r="D872" s="73" t="inlineStr">
        <is>
          <t>PASS</t>
        </is>
      </c>
      <c r="E872" s="73" t="inlineStr">
        <is>
          <t>Actual OpenAI request 6; source openai. Sample reviewed: relevant feedback and no complete solution code. Response: The 'Inclusive search window' check fails because the code may not correctly include both endpoints of the candidate search range or may not properly use the parameters to define this range for all input scenarios.</t>
        </is>
      </c>
    </row>
    <row r="873" ht="90" customHeight="1" s="78">
      <c r="A873" s="73" t="inlineStr">
        <is>
          <t>REMAINING-2026-09-30</t>
        </is>
      </c>
      <c r="B873" s="73" t="n"/>
      <c r="C873" s="73" t="inlineStr">
        <is>
          <t>A4: Student 3: built-in hint 1</t>
        </is>
      </c>
      <c r="D873" s="73" t="inlineStr">
        <is>
          <t>PASS</t>
        </is>
      </c>
      <c r="E873" s="73" t="inlineStr">
        <is>
          <t>Built-in level 1; source fallback; AI disabled. Trace the inputs and formula for the first failing calculation.</t>
        </is>
      </c>
    </row>
    <row r="874" ht="90" customHeight="1" s="78">
      <c r="A874" s="73" t="inlineStr">
        <is>
          <t>REMAINING-2026-09-30</t>
        </is>
      </c>
      <c r="B874" s="73" t="n"/>
      <c r="C874" s="73" t="inlineStr">
        <is>
          <t>A4: Student 3: built-in hint 2</t>
        </is>
      </c>
      <c r="D874" s="73" t="inlineStr">
        <is>
          <t>PASS</t>
        </is>
      </c>
      <c r="E874" s="73" t="inlineStr">
        <is>
          <t>Built-in level 2; source fallback; AI disabled. Print the relevant intermediate values and compare each step with the assignment data.</t>
        </is>
      </c>
    </row>
    <row r="875" ht="90" customHeight="1" s="78">
      <c r="A875" s="73" t="inlineStr">
        <is>
          <t>REMAINING-2026-09-30</t>
        </is>
      </c>
      <c r="B875" s="73" t="n"/>
      <c r="C875" s="73" t="inlineStr">
        <is>
          <t>A4: Student 3: built-in hint 3</t>
        </is>
      </c>
      <c r="D875" s="73" t="inlineStr">
        <is>
          <t>PASS</t>
        </is>
      </c>
      <c r="E875" s="73" t="inlineStr">
        <is>
          <t>Built-in level 3; source fallback; AI disabled. Re-read the rubric for the failing calculation and verify units, signs, and path segments.</t>
        </is>
      </c>
    </row>
    <row r="876" ht="90" customHeight="1" s="78">
      <c r="A876" s="73" t="inlineStr">
        <is>
          <t>REMAINING-2026-09-30</t>
        </is>
      </c>
      <c r="B876" s="73" t="n"/>
      <c r="C876" s="73" t="inlineStr">
        <is>
          <t>A4: Student 3: built-in hint 4</t>
        </is>
      </c>
      <c r="D876" s="73" t="inlineStr">
        <is>
          <t>PASS</t>
        </is>
      </c>
      <c r="E876" s="73" t="inlineStr">
        <is>
          <t>Built-in level 4; source fallback; AI disabled. Break the failing calculation into named intermediate expressions, then recombine them.</t>
        </is>
      </c>
    </row>
    <row r="877" ht="90" customHeight="1" s="78">
      <c r="A877" s="73" t="inlineStr">
        <is>
          <t>REMAINING-2026-09-30</t>
        </is>
      </c>
      <c r="B877" s="73" t="n"/>
      <c r="C877" s="73" t="inlineStr">
        <is>
          <t>A4: Student 3: complete</t>
        </is>
      </c>
      <c r="D877" s="73" t="inlineStr">
        <is>
          <t>PASS</t>
        </is>
      </c>
      <c r="E877" s="73" t="inlineStr">
        <is>
          <t>Version 8; expected 100%, actual 100%; execution completed; passed true.</t>
        </is>
      </c>
    </row>
    <row r="878" ht="90" customHeight="1" s="78">
      <c r="A878" s="73" t="inlineStr">
        <is>
          <t>REMAINING-2026-09-30</t>
        </is>
      </c>
      <c r="B878" s="73" t="n"/>
      <c r="C878" s="73" t="inlineStr">
        <is>
          <t>A4: Student 4: partial or error</t>
        </is>
      </c>
      <c r="D878" s="73" t="inlineStr">
        <is>
          <t>PASS</t>
        </is>
      </c>
      <c r="E878" s="73" t="inlineStr">
        <is>
          <t>Version 8; expected 80%, actual 80%; execution completed; passed false.</t>
        </is>
      </c>
    </row>
    <row r="879" ht="90" customHeight="1" s="78">
      <c r="A879" s="73" t="inlineStr">
        <is>
          <t>REMAINING-2026-09-30</t>
        </is>
      </c>
      <c r="B879" s="73" t="n"/>
      <c r="C879" s="73" t="inlineStr">
        <is>
          <t>A4: Student 4: built-in hint 1</t>
        </is>
      </c>
      <c r="D879" s="73" t="inlineStr">
        <is>
          <t>PASS</t>
        </is>
      </c>
      <c r="E879" s="73" t="inlineStr">
        <is>
          <t>Built-in level 1; source fallback; AI disabled. Trace the inputs and formula for the first failing calculation.</t>
        </is>
      </c>
    </row>
    <row r="880" ht="90" customHeight="1" s="78">
      <c r="A880" s="73" t="inlineStr">
        <is>
          <t>REMAINING-2026-09-30</t>
        </is>
      </c>
      <c r="B880" s="73" t="n"/>
      <c r="C880" s="73" t="inlineStr">
        <is>
          <t>A4: Student 4: built-in hint 2</t>
        </is>
      </c>
      <c r="D880" s="73" t="inlineStr">
        <is>
          <t>PASS</t>
        </is>
      </c>
      <c r="E880" s="73" t="inlineStr">
        <is>
          <t>Built-in level 2; source fallback; AI disabled. Print the relevant intermediate values and compare each step with the assignment data.</t>
        </is>
      </c>
    </row>
    <row r="881" ht="90" customHeight="1" s="78">
      <c r="A881" s="73" t="inlineStr">
        <is>
          <t>REMAINING-2026-09-30</t>
        </is>
      </c>
      <c r="B881" s="73" t="n"/>
      <c r="C881" s="73" t="inlineStr">
        <is>
          <t>A4: Student 4: built-in hint 3</t>
        </is>
      </c>
      <c r="D881" s="73" t="inlineStr">
        <is>
          <t>PASS</t>
        </is>
      </c>
      <c r="E881" s="73" t="inlineStr">
        <is>
          <t>Built-in level 3; source fallback; AI disabled. Re-read the rubric for the failing calculation and verify units, signs, and path segments.</t>
        </is>
      </c>
    </row>
    <row r="882" ht="90" customHeight="1" s="78">
      <c r="A882" s="73" t="inlineStr">
        <is>
          <t>REMAINING-2026-09-30</t>
        </is>
      </c>
      <c r="B882" s="73" t="n"/>
      <c r="C882" s="73" t="inlineStr">
        <is>
          <t>A4: Student 4: built-in hint 4</t>
        </is>
      </c>
      <c r="D882" s="73" t="inlineStr">
        <is>
          <t>PASS</t>
        </is>
      </c>
      <c r="E882" s="73" t="inlineStr">
        <is>
          <t>Built-in level 4; source fallback; AI disabled. Break the failing calculation into named intermediate expressions, then recombine them.</t>
        </is>
      </c>
    </row>
    <row r="883" ht="90" customHeight="1" s="78">
      <c r="A883" s="73" t="inlineStr">
        <is>
          <t>REMAINING-2026-09-30</t>
        </is>
      </c>
      <c r="B883" s="73" t="n"/>
      <c r="C883" s="73" t="inlineStr">
        <is>
          <t>A4: Student 4: complete</t>
        </is>
      </c>
      <c r="D883" s="73" t="inlineStr">
        <is>
          <t>PASS</t>
        </is>
      </c>
      <c r="E883" s="73" t="inlineStr">
        <is>
          <t>Version 8; expected 100%, actual 100%; execution completed; passed true.</t>
        </is>
      </c>
    </row>
    <row r="884" ht="90" customHeight="1" s="78">
      <c r="A884" s="73" t="inlineStr">
        <is>
          <t>REMAINING-2026-09-30</t>
        </is>
      </c>
      <c r="B884" s="73" t="n"/>
      <c r="C884" s="73" t="inlineStr">
        <is>
          <t>A4: Student 5: partial or error</t>
        </is>
      </c>
      <c r="D884" s="73" t="inlineStr">
        <is>
          <t>PASS</t>
        </is>
      </c>
      <c r="E884" s="73" t="inlineStr">
        <is>
          <t>Version 8; expected 0%, actual 0%; execution syntax_error; passed false.</t>
        </is>
      </c>
    </row>
    <row r="885" ht="90" customHeight="1" s="78">
      <c r="A885" s="73" t="inlineStr">
        <is>
          <t>REMAINING-2026-09-30</t>
        </is>
      </c>
      <c r="B885" s="73" t="n"/>
      <c r="C885" s="73" t="inlineStr">
        <is>
          <t>A4: Student 5: built-in hint 1</t>
        </is>
      </c>
      <c r="D885" s="73" t="inlineStr">
        <is>
          <t>PASS</t>
        </is>
      </c>
      <c r="E885" s="73" t="inlineStr">
        <is>
          <t>Built-in level 1; source fallback; AI disabled. Fix the first execution error, then run the tests again.</t>
        </is>
      </c>
    </row>
    <row r="886" ht="90" customHeight="1" s="78">
      <c r="A886" s="73" t="inlineStr">
        <is>
          <t>REMAINING-2026-09-30</t>
        </is>
      </c>
      <c r="B886" s="73" t="n"/>
      <c r="C886" s="73" t="inlineStr">
        <is>
          <t>A4: Student 5: built-in hint 2</t>
        </is>
      </c>
      <c r="D886" s="73" t="inlineStr">
        <is>
          <t>PASS</t>
        </is>
      </c>
      <c r="E886" s="73" t="inlineStr">
        <is>
          <t>Built-in level 2; source fallback; AI disabled. Fix the first execution error, then run the tests again.</t>
        </is>
      </c>
    </row>
    <row r="887" ht="90" customHeight="1" s="78">
      <c r="A887" s="73" t="inlineStr">
        <is>
          <t>REMAINING-2026-09-30</t>
        </is>
      </c>
      <c r="B887" s="73" t="n"/>
      <c r="C887" s="73" t="inlineStr">
        <is>
          <t>A4: Student 5: built-in hint 3</t>
        </is>
      </c>
      <c r="D887" s="73" t="inlineStr">
        <is>
          <t>PASS</t>
        </is>
      </c>
      <c r="E887" s="73" t="inlineStr">
        <is>
          <t>Built-in level 3; source fallback; AI disabled. Fix the first execution error, then run the tests again.</t>
        </is>
      </c>
    </row>
    <row r="888" ht="90" customHeight="1" s="78">
      <c r="A888" s="73" t="inlineStr">
        <is>
          <t>REMAINING-2026-09-30</t>
        </is>
      </c>
      <c r="B888" s="73" t="n"/>
      <c r="C888" s="73" t="inlineStr">
        <is>
          <t>A4: Student 5: built-in hint 4</t>
        </is>
      </c>
      <c r="D888" s="73" t="inlineStr">
        <is>
          <t>PASS</t>
        </is>
      </c>
      <c r="E888" s="73" t="inlineStr">
        <is>
          <t>Built-in level 4; source fallback; AI disabled. Fix the first execution error, then run the tests again.</t>
        </is>
      </c>
    </row>
    <row r="889" ht="90" customHeight="1" s="78">
      <c r="A889" s="73" t="inlineStr">
        <is>
          <t>REMAINING-2026-09-30</t>
        </is>
      </c>
      <c r="B889" s="73" t="n"/>
      <c r="C889" s="73" t="inlineStr">
        <is>
          <t>A4: Student 5: complete</t>
        </is>
      </c>
      <c r="D889" s="73" t="inlineStr">
        <is>
          <t>PASS</t>
        </is>
      </c>
      <c r="E889" s="73" t="inlineStr">
        <is>
          <t>Version 8; expected 100%, actual 100%; execution completed; passed true.</t>
        </is>
      </c>
    </row>
    <row r="890" ht="90" customHeight="1" s="78">
      <c r="A890" s="73" t="inlineStr">
        <is>
          <t>REMAINING-2026-09-30</t>
        </is>
      </c>
      <c r="B890" s="73" t="n"/>
      <c r="C890" s="73" t="inlineStr">
        <is>
          <t>A5: Student 1: Late stop at six seconds</t>
        </is>
      </c>
      <c r="D890" s="73" t="inlineStr">
        <is>
          <t>PASS</t>
        </is>
      </c>
      <c r="E890" s="73" t="inlineStr">
        <is>
          <t>Version 4; expected 70%, actual 70%; execution completed; passed false.</t>
        </is>
      </c>
    </row>
    <row r="891" ht="90" customHeight="1" s="78">
      <c r="A891" s="73" t="inlineStr">
        <is>
          <t>REMAINING-2026-09-30</t>
        </is>
      </c>
      <c r="B891" s="73" t="n"/>
      <c r="C891" s="73" t="inlineStr">
        <is>
          <t>A5: Approved real AI tutor request</t>
        </is>
      </c>
      <c r="D891" s="73" t="inlineStr">
        <is>
          <t>PASS</t>
        </is>
      </c>
      <c r="E891" s="73" t="inlineStr">
        <is>
          <t>Actual OpenAI request 7; source openai. Sample reviewed: relevant feedback and no complete solution code. Response: The robot stops moving after six seconds, but the assignment requires it to stop after approximately five seconds and continue publishing zero velocity commands indefinitely.</t>
        </is>
      </c>
    </row>
    <row r="892" ht="90" customHeight="1" s="78">
      <c r="A892" s="73" t="inlineStr">
        <is>
          <t>REMAINING-2026-09-30</t>
        </is>
      </c>
      <c r="B892" s="73" t="n"/>
      <c r="C892" s="73" t="inlineStr">
        <is>
          <t>A5: Student 1: built-in hint 1</t>
        </is>
      </c>
      <c r="D892" s="73" t="inlineStr">
        <is>
          <t>PASS</t>
        </is>
      </c>
      <c r="E892" s="73" t="inlineStr">
        <is>
          <t>Built-in level 1; source fallback; AI disabled. Trace the inputs and formula for the first failing calculation.</t>
        </is>
      </c>
    </row>
    <row r="893" ht="90" customHeight="1" s="78">
      <c r="A893" s="73" t="inlineStr">
        <is>
          <t>REMAINING-2026-09-30</t>
        </is>
      </c>
      <c r="B893" s="73" t="n"/>
      <c r="C893" s="73" t="inlineStr">
        <is>
          <t>A5: Student 1: built-in hint 2</t>
        </is>
      </c>
      <c r="D893" s="73" t="inlineStr">
        <is>
          <t>PASS</t>
        </is>
      </c>
      <c r="E893" s="73" t="inlineStr">
        <is>
          <t>Built-in level 2; source fallback; AI disabled. Print the relevant intermediate values and compare each step with the assignment data.</t>
        </is>
      </c>
    </row>
    <row r="894" ht="90" customHeight="1" s="78">
      <c r="A894" s="73" t="inlineStr">
        <is>
          <t>REMAINING-2026-09-30</t>
        </is>
      </c>
      <c r="B894" s="73" t="n"/>
      <c r="C894" s="73" t="inlineStr">
        <is>
          <t>A5: Student 1: built-in hint 3</t>
        </is>
      </c>
      <c r="D894" s="73" t="inlineStr">
        <is>
          <t>PASS</t>
        </is>
      </c>
      <c r="E894" s="73" t="inlineStr">
        <is>
          <t>Built-in level 3; source fallback; AI disabled. Re-read the rubric for the failing calculation and verify units, signs, and path segments.</t>
        </is>
      </c>
    </row>
    <row r="895" ht="90" customHeight="1" s="78">
      <c r="A895" s="73" t="inlineStr">
        <is>
          <t>REMAINING-2026-09-30</t>
        </is>
      </c>
      <c r="B895" s="73" t="n"/>
      <c r="C895" s="73" t="inlineStr">
        <is>
          <t>A5: Student 1: built-in hint 4</t>
        </is>
      </c>
      <c r="D895" s="73" t="inlineStr">
        <is>
          <t>PASS</t>
        </is>
      </c>
      <c r="E895" s="73" t="inlineStr">
        <is>
          <t>Built-in level 4; source fallback; AI disabled. Break the failing calculation into named intermediate expressions, then recombine them.</t>
        </is>
      </c>
    </row>
    <row r="896" ht="90" customHeight="1" s="78">
      <c r="A896" s="73" t="inlineStr">
        <is>
          <t>REMAINING-2026-09-30</t>
        </is>
      </c>
      <c r="B896" s="73" t="n"/>
      <c r="C896" s="73" t="inlineStr">
        <is>
          <t>A5: Student 1: complete</t>
        </is>
      </c>
      <c r="D896" s="73" t="inlineStr">
        <is>
          <t>PASS</t>
        </is>
      </c>
      <c r="E896" s="73" t="inlineStr">
        <is>
          <t>Version 4; expected 100%, actual 100%; execution completed; passed true.</t>
        </is>
      </c>
    </row>
    <row r="897" ht="90" customHeight="1" s="78">
      <c r="A897" s="73" t="inlineStr">
        <is>
          <t>REMAINING-2026-09-30</t>
        </is>
      </c>
      <c r="B897" s="73" t="n"/>
      <c r="C897" s="73" t="inlineStr">
        <is>
          <t>A5: Student 2: Wrong forward speed</t>
        </is>
      </c>
      <c r="D897" s="73" t="inlineStr">
        <is>
          <t>PASS</t>
        </is>
      </c>
      <c r="E897" s="73" t="inlineStr">
        <is>
          <t>Version 4; expected 80%, actual 80%; execution completed; passed false.</t>
        </is>
      </c>
    </row>
    <row r="898" ht="90" customHeight="1" s="78">
      <c r="A898" s="73" t="inlineStr">
        <is>
          <t>REMAINING-2026-09-30</t>
        </is>
      </c>
      <c r="B898" s="73" t="n"/>
      <c r="C898" s="73" t="inlineStr">
        <is>
          <t>A5: Approved real AI tutor request</t>
        </is>
      </c>
      <c r="D898" s="73" t="inlineStr">
        <is>
          <t>PASS</t>
        </is>
      </c>
      <c r="E898" s="73" t="inlineStr">
        <is>
          <t>Actual OpenAI request 8; source openai. Sample reviewed: relevant feedback and no complete solution code. Response: The robot moves forward but at half the expected speed of 0.20 m/s because the linear.x velocity is set to 0.10 m/s.</t>
        </is>
      </c>
    </row>
    <row r="899" ht="90" customHeight="1" s="78">
      <c r="A899" s="73" t="inlineStr">
        <is>
          <t>REMAINING-2026-09-30</t>
        </is>
      </c>
      <c r="B899" s="73" t="n"/>
      <c r="C899" s="73" t="inlineStr">
        <is>
          <t>A5: Student 2: built-in hint 1</t>
        </is>
      </c>
      <c r="D899" s="73" t="inlineStr">
        <is>
          <t>PASS</t>
        </is>
      </c>
      <c r="E899" s="73" t="inlineStr">
        <is>
          <t>Built-in level 1; source fallback; AI disabled. Trace the inputs and formula for the first failing calculation.</t>
        </is>
      </c>
    </row>
    <row r="900" ht="90" customHeight="1" s="78">
      <c r="A900" s="73" t="inlineStr">
        <is>
          <t>REMAINING-2026-09-30</t>
        </is>
      </c>
      <c r="B900" s="73" t="n"/>
      <c r="C900" s="73" t="inlineStr">
        <is>
          <t>A5: Student 2: built-in hint 2</t>
        </is>
      </c>
      <c r="D900" s="73" t="inlineStr">
        <is>
          <t>PASS</t>
        </is>
      </c>
      <c r="E900" s="73" t="inlineStr">
        <is>
          <t>Built-in level 2; source fallback; AI disabled. Print the relevant intermediate values and compare each step with the assignment data.</t>
        </is>
      </c>
    </row>
    <row r="901" ht="90" customHeight="1" s="78">
      <c r="A901" s="73" t="inlineStr">
        <is>
          <t>REMAINING-2026-09-30</t>
        </is>
      </c>
      <c r="B901" s="73" t="n"/>
      <c r="C901" s="73" t="inlineStr">
        <is>
          <t>A5: Student 2: built-in hint 3</t>
        </is>
      </c>
      <c r="D901" s="73" t="inlineStr">
        <is>
          <t>PASS</t>
        </is>
      </c>
      <c r="E901" s="73" t="inlineStr">
        <is>
          <t>Built-in level 3; source fallback; AI disabled. Re-read the rubric for the failing calculation and verify units, signs, and path segments.</t>
        </is>
      </c>
    </row>
    <row r="902" ht="90" customHeight="1" s="78">
      <c r="A902" s="73" t="inlineStr">
        <is>
          <t>REMAINING-2026-09-30</t>
        </is>
      </c>
      <c r="B902" s="73" t="n"/>
      <c r="C902" s="73" t="inlineStr">
        <is>
          <t>A5: Student 2: built-in hint 4</t>
        </is>
      </c>
      <c r="D902" s="73" t="inlineStr">
        <is>
          <t>PASS</t>
        </is>
      </c>
      <c r="E902" s="73" t="inlineStr">
        <is>
          <t>Built-in level 4; source fallback; AI disabled. Break the failing calculation into named intermediate expressions, then recombine them.</t>
        </is>
      </c>
    </row>
    <row r="903" ht="90" customHeight="1" s="78">
      <c r="A903" s="73" t="inlineStr">
        <is>
          <t>REMAINING-2026-09-30</t>
        </is>
      </c>
      <c r="B903" s="73" t="n"/>
      <c r="C903" s="73" t="inlineStr">
        <is>
          <t>A5: Student 2: complete</t>
        </is>
      </c>
      <c r="D903" s="73" t="inlineStr">
        <is>
          <t>PASS</t>
        </is>
      </c>
      <c r="E903" s="73" t="inlineStr">
        <is>
          <t>Version 4; expected 100%, actual 100%; execution completed; passed true.</t>
        </is>
      </c>
    </row>
    <row r="904" ht="90" customHeight="1" s="78">
      <c r="A904" s="73" t="inlineStr">
        <is>
          <t>REMAINING-2026-09-30</t>
        </is>
      </c>
      <c r="B904" s="73" t="n"/>
      <c r="C904" s="73" t="inlineStr">
        <is>
          <t>A5: Student 3: Rotating while moving</t>
        </is>
      </c>
      <c r="D904" s="73" t="inlineStr">
        <is>
          <t>PASS</t>
        </is>
      </c>
      <c r="E904" s="73" t="inlineStr">
        <is>
          <t>Version 4; expected 60%, actual 60%; execution completed; passed false.</t>
        </is>
      </c>
    </row>
    <row r="905" ht="90" customHeight="1" s="78">
      <c r="A905" s="73" t="inlineStr">
        <is>
          <t>REMAINING-2026-09-30</t>
        </is>
      </c>
      <c r="B905" s="73" t="n"/>
      <c r="C905" s="73" t="inlineStr">
        <is>
          <t>A5: Student 3: built-in hint 1</t>
        </is>
      </c>
      <c r="D905" s="73" t="inlineStr">
        <is>
          <t>PASS</t>
        </is>
      </c>
      <c r="E905" s="73" t="inlineStr">
        <is>
          <t>Built-in level 1; source fallback; AI disabled. Trace the inputs and formula for the first failing calculation.</t>
        </is>
      </c>
    </row>
    <row r="906" ht="90" customHeight="1" s="78">
      <c r="A906" s="73" t="inlineStr">
        <is>
          <t>REMAINING-2026-09-30</t>
        </is>
      </c>
      <c r="B906" s="73" t="n"/>
      <c r="C906" s="73" t="inlineStr">
        <is>
          <t>A5: Student 3: built-in hint 2</t>
        </is>
      </c>
      <c r="D906" s="73" t="inlineStr">
        <is>
          <t>PASS</t>
        </is>
      </c>
      <c r="E906" s="73" t="inlineStr">
        <is>
          <t>Built-in level 2; source fallback; AI disabled. Print the relevant intermediate values and compare each step with the assignment data.</t>
        </is>
      </c>
    </row>
    <row r="907" ht="90" customHeight="1" s="78">
      <c r="A907" s="73" t="inlineStr">
        <is>
          <t>REMAINING-2026-09-30</t>
        </is>
      </c>
      <c r="B907" s="73" t="n"/>
      <c r="C907" s="73" t="inlineStr">
        <is>
          <t>A5: Student 3: built-in hint 3</t>
        </is>
      </c>
      <c r="D907" s="73" t="inlineStr">
        <is>
          <t>PASS</t>
        </is>
      </c>
      <c r="E907" s="73" t="inlineStr">
        <is>
          <t>Built-in level 3; source fallback; AI disabled. Re-read the rubric for the failing calculation and verify units, signs, and path segments.</t>
        </is>
      </c>
    </row>
    <row r="908" ht="90" customHeight="1" s="78">
      <c r="A908" s="73" t="inlineStr">
        <is>
          <t>REMAINING-2026-09-30</t>
        </is>
      </c>
      <c r="B908" s="73" t="n"/>
      <c r="C908" s="73" t="inlineStr">
        <is>
          <t>A5: Student 3: built-in hint 4</t>
        </is>
      </c>
      <c r="D908" s="73" t="inlineStr">
        <is>
          <t>PASS</t>
        </is>
      </c>
      <c r="E908" s="73" t="inlineStr">
        <is>
          <t>Built-in level 4; source fallback; AI disabled. Break the failing calculation into named intermediate expressions, then recombine them.</t>
        </is>
      </c>
    </row>
    <row r="909" ht="90" customHeight="1" s="78">
      <c r="A909" s="73" t="inlineStr">
        <is>
          <t>REMAINING-2026-09-30</t>
        </is>
      </c>
      <c r="B909" s="73" t="n"/>
      <c r="C909" s="73" t="inlineStr">
        <is>
          <t>A5: Student 3: complete</t>
        </is>
      </c>
      <c r="D909" s="73" t="inlineStr">
        <is>
          <t>PASS</t>
        </is>
      </c>
      <c r="E909" s="73" t="inlineStr">
        <is>
          <t>Version 4; expected 100%, actual 100%; execution completed; passed true.</t>
        </is>
      </c>
    </row>
    <row r="910" ht="90" customHeight="1" s="78">
      <c r="A910" s="73" t="inlineStr">
        <is>
          <t>REMAINING-2026-09-30</t>
        </is>
      </c>
      <c r="B910" s="73" t="n"/>
      <c r="C910" s="73" t="inlineStr">
        <is>
          <t>A5: Student 4: Never stops</t>
        </is>
      </c>
      <c r="D910" s="73" t="inlineStr">
        <is>
          <t>PASS</t>
        </is>
      </c>
      <c r="E910" s="73" t="inlineStr">
        <is>
          <t>Version 4; expected 70%, actual 70%; execution completed; passed false.</t>
        </is>
      </c>
    </row>
    <row r="911" ht="90" customHeight="1" s="78">
      <c r="A911" s="73" t="inlineStr">
        <is>
          <t>REMAINING-2026-09-30</t>
        </is>
      </c>
      <c r="B911" s="73" t="n"/>
      <c r="C911" s="73" t="inlineStr">
        <is>
          <t>A5: Student 4: built-in hint 1</t>
        </is>
      </c>
      <c r="D911" s="73" t="inlineStr">
        <is>
          <t>PASS</t>
        </is>
      </c>
      <c r="E911" s="73" t="inlineStr">
        <is>
          <t>Built-in level 1; source fallback; AI disabled. Trace the inputs and formula for the first failing calculation.</t>
        </is>
      </c>
    </row>
    <row r="912" ht="90" customHeight="1" s="78">
      <c r="A912" s="73" t="inlineStr">
        <is>
          <t>REMAINING-2026-09-30</t>
        </is>
      </c>
      <c r="B912" s="73" t="n"/>
      <c r="C912" s="73" t="inlineStr">
        <is>
          <t>A5: Student 4: built-in hint 2</t>
        </is>
      </c>
      <c r="D912" s="73" t="inlineStr">
        <is>
          <t>PASS</t>
        </is>
      </c>
      <c r="E912" s="73" t="inlineStr">
        <is>
          <t>Built-in level 2; source fallback; AI disabled. Print the relevant intermediate values and compare each step with the assignment data.</t>
        </is>
      </c>
    </row>
    <row r="913" ht="90" customHeight="1" s="78">
      <c r="A913" s="73" t="inlineStr">
        <is>
          <t>REMAINING-2026-09-30</t>
        </is>
      </c>
      <c r="B913" s="73" t="n"/>
      <c r="C913" s="73" t="inlineStr">
        <is>
          <t>A5: Student 4: built-in hint 3</t>
        </is>
      </c>
      <c r="D913" s="73" t="inlineStr">
        <is>
          <t>PASS</t>
        </is>
      </c>
      <c r="E913" s="73" t="inlineStr">
        <is>
          <t>Built-in level 3; source fallback; AI disabled. Re-read the rubric for the failing calculation and verify units, signs, and path segments.</t>
        </is>
      </c>
    </row>
    <row r="914" ht="90" customHeight="1" s="78">
      <c r="A914" s="73" t="inlineStr">
        <is>
          <t>REMAINING-2026-09-30</t>
        </is>
      </c>
      <c r="B914" s="73" t="n"/>
      <c r="C914" s="73" t="inlineStr">
        <is>
          <t>A5: Student 4: built-in hint 4</t>
        </is>
      </c>
      <c r="D914" s="73" t="inlineStr">
        <is>
          <t>PASS</t>
        </is>
      </c>
      <c r="E914" s="73" t="inlineStr">
        <is>
          <t>Built-in level 4; source fallback; AI disabled. Break the failing calculation into named intermediate expressions, then recombine them.</t>
        </is>
      </c>
    </row>
    <row r="915" ht="90" customHeight="1" s="78">
      <c r="A915" s="73" t="inlineStr">
        <is>
          <t>REMAINING-2026-09-30</t>
        </is>
      </c>
      <c r="B915" s="73" t="n"/>
      <c r="C915" s="73" t="inlineStr">
        <is>
          <t>A5: Student 4: complete</t>
        </is>
      </c>
      <c r="D915" s="73" t="inlineStr">
        <is>
          <t>PASS</t>
        </is>
      </c>
      <c r="E915" s="73" t="inlineStr">
        <is>
          <t>Version 4; expected 100%, actual 100%; execution completed; passed true.</t>
        </is>
      </c>
    </row>
    <row r="916" ht="90" customHeight="1" s="78">
      <c r="A916" s="73" t="inlineStr">
        <is>
          <t>REMAINING-2026-09-30</t>
        </is>
      </c>
      <c r="B916" s="73" t="n"/>
      <c r="C916" s="73" t="inlineStr">
        <is>
          <t>A5: Student 5: Syntax error</t>
        </is>
      </c>
      <c r="D916" s="73" t="inlineStr">
        <is>
          <t>PASS</t>
        </is>
      </c>
      <c r="E916" s="73" t="inlineStr">
        <is>
          <t>Version 4; expected 0%, actual 0%; execution syntax_error; passed false.</t>
        </is>
      </c>
    </row>
    <row r="917" ht="90" customHeight="1" s="78">
      <c r="A917" s="73" t="inlineStr">
        <is>
          <t>REMAINING-2026-09-30</t>
        </is>
      </c>
      <c r="B917" s="73" t="n"/>
      <c r="C917" s="73" t="inlineStr">
        <is>
          <t>A5: Student 5: built-in hint 1</t>
        </is>
      </c>
      <c r="D917" s="73" t="inlineStr">
        <is>
          <t>PASS</t>
        </is>
      </c>
      <c r="E917" s="73" t="inlineStr">
        <is>
          <t>Built-in level 1; source fallback; AI disabled. Fix the first execution error, then run the tests again.</t>
        </is>
      </c>
    </row>
    <row r="918" ht="90" customHeight="1" s="78">
      <c r="A918" s="73" t="inlineStr">
        <is>
          <t>REMAINING-2026-09-30</t>
        </is>
      </c>
      <c r="B918" s="73" t="n"/>
      <c r="C918" s="73" t="inlineStr">
        <is>
          <t>A5: Student 5: built-in hint 2</t>
        </is>
      </c>
      <c r="D918" s="73" t="inlineStr">
        <is>
          <t>PASS</t>
        </is>
      </c>
      <c r="E918" s="73" t="inlineStr">
        <is>
          <t>Built-in level 2; source fallback; AI disabled. Fix the first execution error, then run the tests again.</t>
        </is>
      </c>
    </row>
    <row r="919" ht="90" customHeight="1" s="78">
      <c r="A919" s="73" t="inlineStr">
        <is>
          <t>REMAINING-2026-09-30</t>
        </is>
      </c>
      <c r="B919" s="73" t="n"/>
      <c r="C919" s="73" t="inlineStr">
        <is>
          <t>A5: Student 5: built-in hint 3</t>
        </is>
      </c>
      <c r="D919" s="73" t="inlineStr">
        <is>
          <t>PASS</t>
        </is>
      </c>
      <c r="E919" s="73" t="inlineStr">
        <is>
          <t>Built-in level 3; source fallback; AI disabled. Fix the first execution error, then run the tests again.</t>
        </is>
      </c>
    </row>
    <row r="920" ht="90" customHeight="1" s="78">
      <c r="A920" s="73" t="inlineStr">
        <is>
          <t>REMAINING-2026-09-30</t>
        </is>
      </c>
      <c r="B920" s="73" t="n"/>
      <c r="C920" s="73" t="inlineStr">
        <is>
          <t>A5: Student 5: built-in hint 4</t>
        </is>
      </c>
      <c r="D920" s="73" t="inlineStr">
        <is>
          <t>PASS</t>
        </is>
      </c>
      <c r="E920" s="73" t="inlineStr">
        <is>
          <t>Built-in level 4; source fallback; AI disabled. Fix the first execution error, then run the tests again.</t>
        </is>
      </c>
    </row>
    <row r="921" ht="90" customHeight="1" s="78">
      <c r="A921" s="73" t="inlineStr">
        <is>
          <t>REMAINING-2026-09-30</t>
        </is>
      </c>
      <c r="B921" s="73" t="n"/>
      <c r="C921" s="73" t="inlineStr">
        <is>
          <t>A5: Student 5: complete</t>
        </is>
      </c>
      <c r="D921" s="73" t="inlineStr">
        <is>
          <t>PASS</t>
        </is>
      </c>
      <c r="E921" s="73" t="inlineStr">
        <is>
          <t>Version 4; expected 100%, actual 100%; execution completed; passed true.</t>
        </is>
      </c>
    </row>
    <row r="922" ht="90" customHeight="1" s="78">
      <c r="A922" s="73" t="inlineStr">
        <is>
          <t>REMAINING-2026-09-30</t>
        </is>
      </c>
      <c r="B922" s="73" t="n"/>
      <c r="C922" s="73" t="inlineStr">
        <is>
          <t>A5: Untouched starter scaffold</t>
        </is>
      </c>
      <c r="D922" s="73" t="inlineStr">
        <is>
          <t>PASS</t>
        </is>
      </c>
      <c r="E922" s="73" t="inlineStr">
        <is>
          <t>Version 4; expected 20%, actual 20%; execution completed; passed false.</t>
        </is>
      </c>
    </row>
    <row r="923" ht="90" customHeight="1" s="78">
      <c r="A923" s="73" t="inlineStr">
        <is>
          <t>REMAINING-2026-09-30</t>
        </is>
      </c>
      <c r="B923" s="73" t="n"/>
      <c r="C923" s="73" t="inlineStr">
        <is>
          <t>A6: Student 1: Wrong half-meter threshold</t>
        </is>
      </c>
      <c r="D923" s="73" t="inlineStr">
        <is>
          <t>PASS</t>
        </is>
      </c>
      <c r="E923" s="73" t="inlineStr">
        <is>
          <t>Version 4; expected 80%, actual 80%; execution completed; passed false.</t>
        </is>
      </c>
    </row>
    <row r="924" ht="90" customHeight="1" s="78">
      <c r="A924" s="73" t="inlineStr">
        <is>
          <t>REMAINING-2026-09-30</t>
        </is>
      </c>
      <c r="B924" s="73" t="n"/>
      <c r="C924" s="73" t="inlineStr">
        <is>
          <t>A6: Approved real AI tutor request</t>
        </is>
      </c>
      <c r="D924" s="73" t="inlineStr">
        <is>
          <t>FAIL (before fix)</t>
        </is>
      </c>
      <c r="E924" s="73" t="inlineStr">
        <is>
          <t>Actual OpenAI request 9; source openai. Unsafe above/below threshold advice. Response: The controller uses a stopping distance threshold of 0.50 m, but the requirement is to stop when an obstacle is within 0.75 m. This mismatch causes the node to not stop early enough.</t>
        </is>
      </c>
    </row>
    <row r="925" ht="90" customHeight="1" s="78">
      <c r="A925" s="73" t="inlineStr">
        <is>
          <t>REMAINING-2026-09-30</t>
        </is>
      </c>
      <c r="B925" s="73" t="n"/>
      <c r="C925" s="73" t="inlineStr">
        <is>
          <t>A6: Student 1: built-in hint 1</t>
        </is>
      </c>
      <c r="D925" s="73" t="inlineStr">
        <is>
          <t>PASS</t>
        </is>
      </c>
      <c r="E925" s="73" t="inlineStr">
        <is>
          <t>Built-in level 1; source fallback; AI disabled. Trace the inputs and formula for the first failing calculation.</t>
        </is>
      </c>
    </row>
    <row r="926" ht="90" customHeight="1" s="78">
      <c r="A926" s="73" t="inlineStr">
        <is>
          <t>REMAINING-2026-09-30</t>
        </is>
      </c>
      <c r="B926" s="73" t="n"/>
      <c r="C926" s="73" t="inlineStr">
        <is>
          <t>A6: Student 1: built-in hint 2</t>
        </is>
      </c>
      <c r="D926" s="73" t="inlineStr">
        <is>
          <t>PASS</t>
        </is>
      </c>
      <c r="E926" s="73" t="inlineStr">
        <is>
          <t>Built-in level 2; source fallback; AI disabled. Print the relevant intermediate values and compare each step with the assignment data.</t>
        </is>
      </c>
    </row>
    <row r="927" ht="90" customHeight="1" s="78">
      <c r="A927" s="73" t="inlineStr">
        <is>
          <t>REMAINING-2026-09-30</t>
        </is>
      </c>
      <c r="B927" s="73" t="n"/>
      <c r="C927" s="73" t="inlineStr">
        <is>
          <t>A6: Student 1: built-in hint 3</t>
        </is>
      </c>
      <c r="D927" s="73" t="inlineStr">
        <is>
          <t>PASS</t>
        </is>
      </c>
      <c r="E927" s="73" t="inlineStr">
        <is>
          <t>Built-in level 3; source fallback; AI disabled. Re-read the rubric for the failing calculation and verify units, signs, and path segments.</t>
        </is>
      </c>
    </row>
    <row r="928" ht="90" customHeight="1" s="78">
      <c r="A928" s="73" t="inlineStr">
        <is>
          <t>REMAINING-2026-09-30</t>
        </is>
      </c>
      <c r="B928" s="73" t="n"/>
      <c r="C928" s="73" t="inlineStr">
        <is>
          <t>A6: Student 1: built-in hint 4</t>
        </is>
      </c>
      <c r="D928" s="73" t="inlineStr">
        <is>
          <t>PASS</t>
        </is>
      </c>
      <c r="E928" s="73" t="inlineStr">
        <is>
          <t>Built-in level 4; source fallback; AI disabled. Break the failing calculation into named intermediate expressions, then recombine them.</t>
        </is>
      </c>
    </row>
    <row r="929" ht="90" customHeight="1" s="78">
      <c r="A929" s="73" t="inlineStr">
        <is>
          <t>REMAINING-2026-09-30</t>
        </is>
      </c>
      <c r="B929" s="73" t="n"/>
      <c r="C929" s="73" t="inlineStr">
        <is>
          <t>A6: Student 1: complete</t>
        </is>
      </c>
      <c r="D929" s="73" t="inlineStr">
        <is>
          <t>PASS</t>
        </is>
      </c>
      <c r="E929" s="73" t="inlineStr">
        <is>
          <t>Version 4; expected 100%, actual 100%; execution completed; passed true.</t>
        </is>
      </c>
    </row>
    <row r="930" ht="90" customHeight="1" s="78">
      <c r="A930" s="73" t="inlineStr">
        <is>
          <t>REMAINING-2026-09-30</t>
        </is>
      </c>
      <c r="B930" s="73" t="n"/>
      <c r="C930" s="73" t="inlineStr">
        <is>
          <t>A6: Student 2: Moves at exact threshold</t>
        </is>
      </c>
      <c r="D930" s="73" t="inlineStr">
        <is>
          <t>PASS</t>
        </is>
      </c>
      <c r="E930" s="73" t="inlineStr">
        <is>
          <t>Version 4; expected 80%, actual 80%; execution completed; passed false.</t>
        </is>
      </c>
    </row>
    <row r="931" ht="90" customHeight="1" s="78">
      <c r="A931" s="73" t="inlineStr">
        <is>
          <t>REMAINING-2026-09-30</t>
        </is>
      </c>
      <c r="B931" s="73" t="n"/>
      <c r="C931" s="73" t="inlineStr">
        <is>
          <t>A6: Approved real AI tutor request</t>
        </is>
      </c>
      <c r="D931" s="73" t="inlineStr">
        <is>
          <t>PASS</t>
        </is>
      </c>
      <c r="E931" s="73" t="inlineStr">
        <is>
          <t>Actual OpenAI request 10; source openai. Sample reviewed: relevant feedback and no complete solution code. Response: The controller does not stop when an obstacle is exactly at the stop distance of 0.75 m, only when it is less than that distance. The condition uses '&gt;=' which lets the robot move forward even when the obstacle is at the stop distance.</t>
        </is>
      </c>
    </row>
    <row r="932" ht="90" customHeight="1" s="78">
      <c r="A932" s="73" t="inlineStr">
        <is>
          <t>REMAINING-2026-09-30</t>
        </is>
      </c>
      <c r="B932" s="73" t="n"/>
      <c r="C932" s="73" t="inlineStr">
        <is>
          <t>A6: Student 2: built-in hint 1</t>
        </is>
      </c>
      <c r="D932" s="73" t="inlineStr">
        <is>
          <t>PASS</t>
        </is>
      </c>
      <c r="E932" s="73" t="inlineStr">
        <is>
          <t>Built-in level 1; source fallback; AI disabled. Trace the inputs and formula for the first failing calculation.</t>
        </is>
      </c>
    </row>
    <row r="933" ht="90" customHeight="1" s="78">
      <c r="A933" s="73" t="inlineStr">
        <is>
          <t>REMAINING-2026-09-30</t>
        </is>
      </c>
      <c r="B933" s="73" t="n"/>
      <c r="C933" s="73" t="inlineStr">
        <is>
          <t>A6: Student 2: built-in hint 2</t>
        </is>
      </c>
      <c r="D933" s="73" t="inlineStr">
        <is>
          <t>PASS</t>
        </is>
      </c>
      <c r="E933" s="73" t="inlineStr">
        <is>
          <t>Built-in level 2; source fallback; AI disabled. Print the relevant intermediate values and compare each step with the assignment data.</t>
        </is>
      </c>
    </row>
    <row r="934" ht="90" customHeight="1" s="78">
      <c r="A934" s="73" t="inlineStr">
        <is>
          <t>REMAINING-2026-09-30</t>
        </is>
      </c>
      <c r="B934" s="73" t="n"/>
      <c r="C934" s="73" t="inlineStr">
        <is>
          <t>A6: Student 2: built-in hint 3</t>
        </is>
      </c>
      <c r="D934" s="73" t="inlineStr">
        <is>
          <t>PASS</t>
        </is>
      </c>
      <c r="E934" s="73" t="inlineStr">
        <is>
          <t>Built-in level 3; source fallback; AI disabled. Re-read the rubric for the failing calculation and verify units, signs, and path segments.</t>
        </is>
      </c>
    </row>
    <row r="935" ht="90" customHeight="1" s="78">
      <c r="A935" s="73" t="inlineStr">
        <is>
          <t>REMAINING-2026-09-30</t>
        </is>
      </c>
      <c r="B935" s="73" t="n"/>
      <c r="C935" s="73" t="inlineStr">
        <is>
          <t>A6: Student 2: built-in hint 4</t>
        </is>
      </c>
      <c r="D935" s="73" t="inlineStr">
        <is>
          <t>PASS</t>
        </is>
      </c>
      <c r="E935" s="73" t="inlineStr">
        <is>
          <t>Built-in level 4; source fallback; AI disabled. Break the failing calculation into named intermediate expressions, then recombine them.</t>
        </is>
      </c>
    </row>
    <row r="936" ht="90" customHeight="1" s="78">
      <c r="A936" s="73" t="inlineStr">
        <is>
          <t>REMAINING-2026-09-30</t>
        </is>
      </c>
      <c r="B936" s="73" t="n"/>
      <c r="C936" s="73" t="inlineStr">
        <is>
          <t>A6: Student 2: complete</t>
        </is>
      </c>
      <c r="D936" s="73" t="inlineStr">
        <is>
          <t>PASS</t>
        </is>
      </c>
      <c r="E936" s="73" t="inlineStr">
        <is>
          <t>Version 4; expected 100%, actual 100%; execution completed; passed true.</t>
        </is>
      </c>
    </row>
    <row r="937" ht="90" customHeight="1" s="78">
      <c r="A937" s="73" t="inlineStr">
        <is>
          <t>REMAINING-2026-09-30</t>
        </is>
      </c>
      <c r="B937" s="73" t="n"/>
      <c r="C937" s="73" t="inlineStr">
        <is>
          <t>A6: Student 3: Wrong forward speed</t>
        </is>
      </c>
      <c r="D937" s="73" t="inlineStr">
        <is>
          <t>PASS</t>
        </is>
      </c>
      <c r="E937" s="73" t="inlineStr">
        <is>
          <t>Version 4; expected 75%, actual 75%; execution completed; passed false.</t>
        </is>
      </c>
    </row>
    <row r="938" ht="90" customHeight="1" s="78">
      <c r="A938" s="73" t="inlineStr">
        <is>
          <t>REMAINING-2026-09-30</t>
        </is>
      </c>
      <c r="B938" s="73" t="n"/>
      <c r="C938" s="73" t="inlineStr">
        <is>
          <t>A6: Student 3: built-in hint 1</t>
        </is>
      </c>
      <c r="D938" s="73" t="inlineStr">
        <is>
          <t>PASS</t>
        </is>
      </c>
      <c r="E938" s="73" t="inlineStr">
        <is>
          <t>Built-in level 1; source fallback; AI disabled. Trace the inputs and formula for the first failing calculation.</t>
        </is>
      </c>
    </row>
    <row r="939" ht="90" customHeight="1" s="78">
      <c r="A939" s="73" t="inlineStr">
        <is>
          <t>REMAINING-2026-09-30</t>
        </is>
      </c>
      <c r="B939" s="73" t="n"/>
      <c r="C939" s="73" t="inlineStr">
        <is>
          <t>A6: Student 3: built-in hint 2</t>
        </is>
      </c>
      <c r="D939" s="73" t="inlineStr">
        <is>
          <t>PASS</t>
        </is>
      </c>
      <c r="E939" s="73" t="inlineStr">
        <is>
          <t>Built-in level 2; source fallback; AI disabled. Print the relevant intermediate values and compare each step with the assignment data.</t>
        </is>
      </c>
    </row>
    <row r="940" ht="90" customHeight="1" s="78">
      <c r="A940" s="73" t="inlineStr">
        <is>
          <t>REMAINING-2026-09-30</t>
        </is>
      </c>
      <c r="B940" s="73" t="n"/>
      <c r="C940" s="73" t="inlineStr">
        <is>
          <t>A6: Student 3: built-in hint 3</t>
        </is>
      </c>
      <c r="D940" s="73" t="inlineStr">
        <is>
          <t>PASS</t>
        </is>
      </c>
      <c r="E940" s="73" t="inlineStr">
        <is>
          <t>Built-in level 3; source fallback; AI disabled. Re-read the rubric for the failing calculation and verify units, signs, and path segments.</t>
        </is>
      </c>
    </row>
    <row r="941" ht="90" customHeight="1" s="78">
      <c r="A941" s="73" t="inlineStr">
        <is>
          <t>REMAINING-2026-09-30</t>
        </is>
      </c>
      <c r="B941" s="73" t="n"/>
      <c r="C941" s="73" t="inlineStr">
        <is>
          <t>A6: Student 3: built-in hint 4</t>
        </is>
      </c>
      <c r="D941" s="73" t="inlineStr">
        <is>
          <t>PASS</t>
        </is>
      </c>
      <c r="E941" s="73" t="inlineStr">
        <is>
          <t>Built-in level 4; source fallback; AI disabled. Break the failing calculation into named intermediate expressions, then recombine them.</t>
        </is>
      </c>
    </row>
    <row r="942" ht="90" customHeight="1" s="78">
      <c r="A942" s="73" t="inlineStr">
        <is>
          <t>REMAINING-2026-09-30</t>
        </is>
      </c>
      <c r="B942" s="73" t="n"/>
      <c r="C942" s="73" t="inlineStr">
        <is>
          <t>A6: Student 3: complete</t>
        </is>
      </c>
      <c r="D942" s="73" t="inlineStr">
        <is>
          <t>PASS</t>
        </is>
      </c>
      <c r="E942" s="73" t="inlineStr">
        <is>
          <t>Version 4; expected 100%, actual 100%; execution completed; passed true.</t>
        </is>
      </c>
    </row>
    <row r="943" ht="90" customHeight="1" s="78">
      <c r="A943" s="73" t="inlineStr">
        <is>
          <t>REMAINING-2026-09-30</t>
        </is>
      </c>
      <c r="B943" s="73" t="n"/>
      <c r="C943" s="73" t="inlineStr">
        <is>
          <t>A6: Student 4: Always moves</t>
        </is>
      </c>
      <c r="D943" s="73" t="inlineStr">
        <is>
          <t>PASS</t>
        </is>
      </c>
      <c r="E943" s="73" t="inlineStr">
        <is>
          <t>Version 4; expected 65%, actual 65%; execution completed; passed false.</t>
        </is>
      </c>
    </row>
    <row r="944" ht="90" customHeight="1" s="78">
      <c r="A944" s="73" t="inlineStr">
        <is>
          <t>REMAINING-2026-09-30</t>
        </is>
      </c>
      <c r="B944" s="73" t="n"/>
      <c r="C944" s="73" t="inlineStr">
        <is>
          <t>A6: Student 4: built-in hint 1</t>
        </is>
      </c>
      <c r="D944" s="73" t="inlineStr">
        <is>
          <t>PASS</t>
        </is>
      </c>
      <c r="E944" s="73" t="inlineStr">
        <is>
          <t>Built-in level 1; source fallback; AI disabled. Trace the inputs and formula for the first failing calculation.</t>
        </is>
      </c>
    </row>
    <row r="945" ht="90" customHeight="1" s="78">
      <c r="A945" s="73" t="inlineStr">
        <is>
          <t>REMAINING-2026-09-30</t>
        </is>
      </c>
      <c r="B945" s="73" t="n"/>
      <c r="C945" s="73" t="inlineStr">
        <is>
          <t>A6: Student 4: built-in hint 2</t>
        </is>
      </c>
      <c r="D945" s="73" t="inlineStr">
        <is>
          <t>PASS</t>
        </is>
      </c>
      <c r="E945" s="73" t="inlineStr">
        <is>
          <t>Built-in level 2; source fallback; AI disabled. Print the relevant intermediate values and compare each step with the assignment data.</t>
        </is>
      </c>
    </row>
    <row r="946" ht="90" customHeight="1" s="78">
      <c r="A946" s="73" t="inlineStr">
        <is>
          <t>REMAINING-2026-09-30</t>
        </is>
      </c>
      <c r="B946" s="73" t="n"/>
      <c r="C946" s="73" t="inlineStr">
        <is>
          <t>A6: Student 4: built-in hint 3</t>
        </is>
      </c>
      <c r="D946" s="73" t="inlineStr">
        <is>
          <t>PASS</t>
        </is>
      </c>
      <c r="E946" s="73" t="inlineStr">
        <is>
          <t>Built-in level 3; source fallback; AI disabled. Re-read the rubric for the failing calculation and verify units, signs, and path segments.</t>
        </is>
      </c>
    </row>
    <row r="947" ht="90" customHeight="1" s="78">
      <c r="A947" s="73" t="inlineStr">
        <is>
          <t>REMAINING-2026-09-30</t>
        </is>
      </c>
      <c r="B947" s="73" t="n"/>
      <c r="C947" s="73" t="inlineStr">
        <is>
          <t>A6: Student 4: built-in hint 4</t>
        </is>
      </c>
      <c r="D947" s="73" t="inlineStr">
        <is>
          <t>PASS</t>
        </is>
      </c>
      <c r="E947" s="73" t="inlineStr">
        <is>
          <t>Built-in level 4; source fallback; AI disabled. Break the failing calculation into named intermediate expressions, then recombine them.</t>
        </is>
      </c>
    </row>
    <row r="948" ht="90" customHeight="1" s="78">
      <c r="A948" s="73" t="inlineStr">
        <is>
          <t>REMAINING-2026-09-30</t>
        </is>
      </c>
      <c r="B948" s="73" t="n"/>
      <c r="C948" s="73" t="inlineStr">
        <is>
          <t>A6: Student 4: complete</t>
        </is>
      </c>
      <c r="D948" s="73" t="inlineStr">
        <is>
          <t>PASS</t>
        </is>
      </c>
      <c r="E948" s="73" t="inlineStr">
        <is>
          <t>Version 4; expected 100%, actual 100%; execution completed; passed true.</t>
        </is>
      </c>
    </row>
    <row r="949" ht="90" customHeight="1" s="78">
      <c r="A949" s="73" t="inlineStr">
        <is>
          <t>REMAINING-2026-09-30</t>
        </is>
      </c>
      <c r="B949" s="73" t="n"/>
      <c r="C949" s="73" t="inlineStr">
        <is>
          <t>A6: Student 5: Syntax error</t>
        </is>
      </c>
      <c r="D949" s="73" t="inlineStr">
        <is>
          <t>PASS</t>
        </is>
      </c>
      <c r="E949" s="73" t="inlineStr">
        <is>
          <t>Version 4; expected 0%, actual 0%; execution syntax_error; passed false.</t>
        </is>
      </c>
    </row>
    <row r="950" ht="90" customHeight="1" s="78">
      <c r="A950" s="73" t="inlineStr">
        <is>
          <t>REMAINING-2026-09-30</t>
        </is>
      </c>
      <c r="B950" s="73" t="n"/>
      <c r="C950" s="73" t="inlineStr">
        <is>
          <t>A6: Student 5: built-in hint 1</t>
        </is>
      </c>
      <c r="D950" s="73" t="inlineStr">
        <is>
          <t>PASS</t>
        </is>
      </c>
      <c r="E950" s="73" t="inlineStr">
        <is>
          <t>Built-in level 1; source fallback; AI disabled. Fix the first execution error, then run the tests again.</t>
        </is>
      </c>
    </row>
    <row r="951" ht="90" customHeight="1" s="78">
      <c r="A951" s="73" t="inlineStr">
        <is>
          <t>REMAINING-2026-09-30</t>
        </is>
      </c>
      <c r="B951" s="73" t="n"/>
      <c r="C951" s="73" t="inlineStr">
        <is>
          <t>A6: Student 5: built-in hint 2</t>
        </is>
      </c>
      <c r="D951" s="73" t="inlineStr">
        <is>
          <t>PASS</t>
        </is>
      </c>
      <c r="E951" s="73" t="inlineStr">
        <is>
          <t>Built-in level 2; source fallback; AI disabled. Fix the first execution error, then run the tests again.</t>
        </is>
      </c>
    </row>
    <row r="952" ht="90" customHeight="1" s="78">
      <c r="A952" s="73" t="inlineStr">
        <is>
          <t>REMAINING-2026-09-30</t>
        </is>
      </c>
      <c r="B952" s="73" t="n"/>
      <c r="C952" s="73" t="inlineStr">
        <is>
          <t>A6: Student 5: built-in hint 3</t>
        </is>
      </c>
      <c r="D952" s="73" t="inlineStr">
        <is>
          <t>PASS</t>
        </is>
      </c>
      <c r="E952" s="73" t="inlineStr">
        <is>
          <t>Built-in level 3; source fallback; AI disabled. Fix the first execution error, then run the tests again.</t>
        </is>
      </c>
    </row>
    <row r="953" ht="90" customHeight="1" s="78">
      <c r="A953" s="73" t="inlineStr">
        <is>
          <t>REMAINING-2026-09-30</t>
        </is>
      </c>
      <c r="B953" s="73" t="n"/>
      <c r="C953" s="73" t="inlineStr">
        <is>
          <t>A6: Student 5: built-in hint 4</t>
        </is>
      </c>
      <c r="D953" s="73" t="inlineStr">
        <is>
          <t>PASS</t>
        </is>
      </c>
      <c r="E953" s="73" t="inlineStr">
        <is>
          <t>Built-in level 4; source fallback; AI disabled. Fix the first execution error, then run the tests again.</t>
        </is>
      </c>
    </row>
    <row r="954" ht="90" customHeight="1" s="78">
      <c r="A954" s="73" t="inlineStr">
        <is>
          <t>REMAINING-2026-09-30</t>
        </is>
      </c>
      <c r="B954" s="73" t="n"/>
      <c r="C954" s="73" t="inlineStr">
        <is>
          <t>A6: Student 5: complete</t>
        </is>
      </c>
      <c r="D954" s="73" t="inlineStr">
        <is>
          <t>PASS</t>
        </is>
      </c>
      <c r="E954" s="73" t="inlineStr">
        <is>
          <t>Version 4; expected 100%, actual 100%; execution completed; passed true.</t>
        </is>
      </c>
    </row>
    <row r="955" ht="90" customHeight="1" s="78">
      <c r="A955" s="73" t="inlineStr">
        <is>
          <t>REMAINING-2026-09-30</t>
        </is>
      </c>
      <c r="B955" s="73" t="n"/>
      <c r="C955" s="73" t="inlineStr">
        <is>
          <t>A6: Untouched starter scaffold</t>
        </is>
      </c>
      <c r="D955" s="73" t="inlineStr">
        <is>
          <t>FAIL (before fix)</t>
        </is>
      </c>
      <c r="E955" s="73" t="inlineStr">
        <is>
          <t>Version 4; expected 10%, actual 0%; execution timeout; passed false.</t>
        </is>
      </c>
    </row>
    <row r="956" ht="90" customHeight="1" s="78">
      <c r="A956" s="73" t="inlineStr">
        <is>
          <t>REMAINING-2026-09-30</t>
        </is>
      </c>
      <c r="B956" s="73" t="n"/>
      <c r="C956" s="73" t="inlineStr">
        <is>
          <t>A5 prematurely stopped publication after hold-state fix</t>
        </is>
      </c>
      <c r="D956" s="73" t="inlineStr">
        <is>
          <t>PASS</t>
        </is>
      </c>
      <c r="E956" s="73" t="inlineStr">
        <is>
          <t>Actual rebuilt Docker/API now returns 90%, not passed; held-stop check fails. Maintained solution passes all 7 checks. Before fix the same truncated publisher earned 100%.</t>
        </is>
      </c>
    </row>
    <row r="957" ht="90" customHeight="1" s="78">
      <c r="A957" s="73" t="inlineStr">
        <is>
          <t>REMAINING-2026-09-30</t>
        </is>
      </c>
      <c r="B957" s="73" t="n"/>
      <c r="C957" s="73" t="inlineStr">
        <is>
          <t>A6 starter after readiness-timeout fix</t>
        </is>
      </c>
      <c r="D957" s="73" t="inlineStr">
        <is>
          <t>PASS</t>
        </is>
      </c>
      <c r="E957" s="73" t="inlineStr">
        <is>
          <t>Actual Docker/API score 10%, completed execution; package scaffold only, no robot-behavior success.</t>
        </is>
      </c>
    </row>
    <row r="958" ht="90" customHeight="1" s="78">
      <c r="A958" s="73" t="inlineStr">
        <is>
          <t>REMAINING-2026-09-30</t>
        </is>
      </c>
      <c r="B958" s="73" t="n"/>
      <c r="C958" s="73" t="inlineStr">
        <is>
          <t>Replay of unsafe real tutor reply 5</t>
        </is>
      </c>
      <c r="D958" s="73" t="inlineStr">
        <is>
          <t>PASS</t>
        </is>
      </c>
      <c r="E958" s="73" t="inlineStr">
        <is>
          <t>Exact captured unsafe reply rejected. Deterministic feedback substituted. Mock client; zero additional paid calls.</t>
        </is>
      </c>
    </row>
    <row r="959" ht="90" customHeight="1" s="78">
      <c r="A959" s="73" t="inlineStr">
        <is>
          <t>REMAINING-2026-09-30</t>
        </is>
      </c>
      <c r="B959" s="73" t="n"/>
      <c r="C959" s="73" t="inlineStr">
        <is>
          <t>Replay of unsafe real tutor reply 9</t>
        </is>
      </c>
      <c r="D959" s="73" t="inlineStr">
        <is>
          <t>PASS</t>
        </is>
      </c>
      <c r="E959" s="73" t="inlineStr">
        <is>
          <t>Exact captured unsafe reply rejected. Deterministic feedback substituted. Mock client; zero additional paid calls.</t>
        </is>
      </c>
    </row>
    <row r="960" ht="95.09999999999999" customHeight="1" s="78">
      <c r="A960" s="73" t="inlineStr">
        <is>
          <t>CLARITY-2026-10-01</t>
        </is>
      </c>
      <c r="B960" s="73" t="n"/>
      <c r="C960" s="73" t="inlineStr">
        <is>
          <t>Environment and scope</t>
        </is>
      </c>
      <c r="D960" s="73" t="inlineStr">
        <is>
          <t>PASS</t>
        </is>
      </c>
      <c r="E960" s="73" t="inlineStr">
        <is>
          <t>Canonical Windows staging; base 2e8035e plus uncommitted fixes. A1/2/4 v9, A3 v10, A5/6 v5. Python 3.14, Neon staging, isolated Docker ROS 2 Jazzy. Production untouched. Unrelated source-PDF moves preserved.</t>
        </is>
      </c>
    </row>
    <row r="961" ht="95.09999999999999" customHeight="1" s="78">
      <c r="A961" s="73" t="inlineStr">
        <is>
          <t>CLARITY-2026-10-01</t>
        </is>
      </c>
      <c r="B961" s="73" t="n"/>
      <c r="C961" s="73" t="inlineStr">
        <is>
          <t>A1 Euclidean formula and hit geometry</t>
        </is>
      </c>
      <c r="D961" s="73" t="inlineStr">
        <is>
          <t>PASS</t>
        </is>
      </c>
      <c r="E961" s="73" t="inlineStr">
        <is>
          <t>Python **2 and math.hypot explained. Correct diagram label H (4, 11/3); second visual review found the original marker at y=3 and moved it above the obstacle bottom to the m-line intersection.</t>
        </is>
      </c>
    </row>
    <row r="962" ht="95.09999999999999" customHeight="1" s="78">
      <c r="A962" s="73" t="inlineStr">
        <is>
          <t>CLARITY-2026-10-01</t>
        </is>
      </c>
      <c r="B962" s="73" t="n"/>
      <c r="C962" s="73" t="inlineStr">
        <is>
          <t>A2 route geometry and labels</t>
        </is>
      </c>
      <c r="D962" s="73" t="inlineStr">
        <is>
          <t>PASS</t>
        </is>
      </c>
      <c r="E962" s="73" t="inlineStr">
        <is>
          <t>Explicit rectangle x=4..6, y=-1..1. O/H/A/B/L/G defined; no C/D. Euclidean helper and three lower-boundary segments explained; label no longer overlaps route; robot points east.</t>
        </is>
      </c>
    </row>
    <row r="963" ht="95.09999999999999" customHeight="1" s="78">
      <c r="A963" s="73" t="inlineStr">
        <is>
          <t>CLARITY-2026-10-01</t>
        </is>
      </c>
      <c r="B963" s="73" t="n"/>
      <c r="C963" s="73" t="inlineStr">
        <is>
          <t>A3 inputs, units and model</t>
        </is>
      </c>
      <c r="D963" s="73" t="inlineStr">
        <is>
          <t>PASS</t>
        </is>
      </c>
      <c r="E963" s="73" t="inlineStr">
        <is>
          <t>Named parameter/value/unit list. Second rendered review found long table names crowding adjacent columns; replaced table with wrapping list and bumped A3 to v10. Explained route_length, additive pi*r allowance and ties-to-even scoring.</t>
        </is>
      </c>
    </row>
    <row r="964" ht="95.09999999999999" customHeight="1" s="78">
      <c r="A964" s="73" t="inlineStr">
        <is>
          <t>CLARITY-2026-10-01</t>
        </is>
      </c>
      <c r="B964" s="73" t="n"/>
      <c r="C964" s="73" t="inlineStr">
        <is>
          <t>A4 simplified sector contract</t>
        </is>
      </c>
      <c r="D964" s="73" t="inlineStr">
        <is>
          <t>PASS</t>
        </is>
      </c>
      <c r="E964" s="73" t="inlineStr">
        <is>
          <t>No trajectory/safety guarantee. Explicit inclusive candidate bounds; five 20% criteria. Diagram identifies displayed example and supplied fill interval, uses Python **2 and states illustrative angle convention.</t>
        </is>
      </c>
    </row>
    <row r="965" ht="95.09999999999999" customHeight="1" s="78">
      <c r="A965" s="73" t="inlineStr">
        <is>
          <t>CLARITY-2026-10-01</t>
        </is>
      </c>
      <c r="B965" s="73" t="n"/>
      <c r="C965" s="73" t="inlineStr">
        <is>
          <t>A5/A6 duplicate publication defects before repair</t>
        </is>
      </c>
      <c r="D965" s="73" t="inlineStr">
        <is>
          <t>FAIL (before fix)</t>
        </is>
      </c>
      <c r="E965" s="73" t="inlineStr">
        <is>
          <t>Actual isolated Docker runs accepted two publications per callback at 100% in both assignments before repair. These were grader defects, not student calculation errors.</t>
        </is>
      </c>
    </row>
    <row r="966" ht="95.09999999999999" customHeight="1" s="78">
      <c r="A966" s="73" t="inlineStr">
        <is>
          <t>CLARITY-2026-10-01</t>
        </is>
      </c>
      <c r="B966" s="73" t="n"/>
      <c r="C966" s="73" t="inlineStr">
        <is>
          <t>ROS callback contract after repair</t>
        </is>
      </c>
      <c r="D966" s="73" t="inlineStr">
        <is>
          <t>PASS</t>
        </is>
      </c>
      <c r="E966" s="73" t="inlineStr">
        <is>
          <t>Actual Docker Jazzy maintained answers passed A5 7/7 and A6 9/9. Duplicate publications rejected: A5 cmd-vel-topic failed (80% total), A6 scan-response failed (90% total). Callback audit tests passed. Instrumentation stays inside the isolated grader container.</t>
        </is>
      </c>
    </row>
    <row r="967" ht="95.09999999999999" customHeight="1" s="78">
      <c r="A967" s="73" t="inlineStr">
        <is>
          <t>CLARITY-2026-10-01</t>
        </is>
      </c>
      <c r="B967" s="73" t="n"/>
      <c r="C967" s="73" t="inlineStr">
        <is>
          <t>ROS communication settings and alternative valid code</t>
        </is>
      </c>
      <c r="D967" s="73" t="inlineStr">
        <is>
          <t>PASS</t>
        </is>
      </c>
      <c r="E967" s="73" t="inlineStr">
        <is>
          <t>Actual Docker valid helper-method publications scored 100% for both. Queue depth5 scored A5 80%, A6 90%; A5 period0.2 scored 80%, not passed. No-command audit evidence fails, exactly-one evidence passes; assessed via focused tests.</t>
        </is>
      </c>
    </row>
    <row r="968" ht="95.09999999999999" customHeight="1" s="78">
      <c r="A968" s="73" t="inlineStr">
        <is>
          <t>CLARITY-2026-10-01</t>
        </is>
      </c>
      <c r="B968" s="73" t="n"/>
      <c r="C968" s="73" t="inlineStr">
        <is>
          <t>A6 mixed and empty scans</t>
        </is>
      </c>
      <c r="D968" s="73" t="inlineStr">
        <is>
          <t>PASS</t>
        </is>
      </c>
      <c r="E968" s="73" t="inlineStr">
        <is>
          <t>Invalid entries are discarded. Mixed valid+invalid scan uses the nearest remaining valid reading; wholly invalid or empty scans stop. Inclusive 0.75m boundary and recovery retained. Diagram now says NO VALID DATA.</t>
        </is>
      </c>
    </row>
    <row r="969" ht="95.09999999999999" customHeight="1" s="78">
      <c r="A969" s="73" t="inlineStr">
        <is>
          <t>CLARITY-2026-10-01</t>
        </is>
      </c>
      <c r="B969" s="73" t="n"/>
      <c r="C969" s="73" t="inlineStr">
        <is>
          <t>Backend and scoring regression</t>
        </is>
      </c>
      <c r="D969" s="73" t="inlineStr">
        <is>
          <t>PASS</t>
        </is>
      </c>
      <c r="E969" s="73" t="inlineStr">
        <is>
          <t>Full gate: 400 backend tests passed in 238.61 seconds; pip check passed. After the final A3 list/version repair, 58 focused instruction/repository/API tests passed. Existing grading permutation, malicious-input and tutor-mock regressions retained.</t>
        </is>
      </c>
    </row>
    <row r="970" ht="95.09999999999999" customHeight="1" s="78">
      <c r="A970" s="73" t="inlineStr">
        <is>
          <t>CLARITY-2026-10-01</t>
        </is>
      </c>
      <c r="B970" s="73" t="n"/>
      <c r="C970" s="73" t="inlineStr">
        <is>
          <t>Frontend, build and repository gate</t>
        </is>
      </c>
      <c r="D970" s="73" t="inlineStr">
        <is>
          <t>PASS</t>
        </is>
      </c>
      <c r="E970" s="73" t="inlineStr">
        <is>
          <t>Flutter analysis passed; 89 tests passed; release web build passed. OneDrive-safe source check, fresh-clone completeness, API and sandbox health checks passed. Frontend code unchanged in this repair.</t>
        </is>
      </c>
    </row>
    <row r="971" ht="95.09999999999999" customHeight="1" s="78">
      <c r="A971" s="73" t="inlineStr">
        <is>
          <t>CLARITY-2026-10-01</t>
        </is>
      </c>
      <c r="B971" s="73" t="n"/>
      <c r="C971" s="73" t="inlineStr">
        <is>
          <t>API and rendered student QA</t>
        </is>
      </c>
      <c r="D971" s="73" t="inlineStr">
        <is>
          <t>PASS</t>
        </is>
      </c>
      <c r="E971" s="73" t="inlineStr">
        <is>
          <t>All-six actual API QA: maintained answers100%; A1-4 starters0%; mixed A1-3=50%, A4=60%; A5/A6 duplicate-command cases80%/90%. ROS starters20%/10% reflect supplied package/node behavior, not algorithm completion. All image endpoints returned PNG. Manual desktop A3 review caught table crowding; replaced with wrapping list. At390x844 the final input list wraps readably; independent results panel opens/minimizes and AI is off by default. Viewport restored. No persistent student records created. Not a new rendered run of every scoring permutation.</t>
        </is>
      </c>
    </row>
    <row r="972" ht="95.09999999999999" customHeight="1" s="78">
      <c r="A972" s="73" t="inlineStr">
        <is>
          <t>CLARITY-2026-10-01</t>
        </is>
      </c>
      <c r="B972" s="73" t="n"/>
      <c r="C972" s="73" t="inlineStr">
        <is>
          <t>Versioning, privacy and preservation</t>
        </is>
      </c>
      <c r="D972" s="73" t="inlineStr">
        <is>
          <t>PASS</t>
        </is>
      </c>
      <c r="E972" s="73" t="inlineStr">
        <is>
          <t>Final API/source versions and instruction HTML reconcile for all six: 9,9,10,9,5,5; public test labels reconcile. A3 v10 starter0% and maintained answer100% reverified after restart. Private grader configurations, hidden tests and reference paths absent from student API responses. Tests used ephemeral demo sessions and AI off; existing research records preserved. Production and Git remote untouched.</t>
        </is>
      </c>
    </row>
    <row r="973" ht="95.09999999999999" customHeight="1" s="78">
      <c r="A973" s="73" t="inlineStr">
        <is>
          <t>CLARITY-2026-10-01</t>
        </is>
      </c>
      <c r="B973" s="73" t="n"/>
      <c r="C973" s="73" t="inlineStr">
        <is>
          <t>Final all-six review</t>
        </is>
      </c>
      <c r="D973" s="73" t="inlineStr">
        <is>
          <t>PASS</t>
        </is>
      </c>
      <c r="E973" s="73" t="inlineStr">
        <is>
          <t>Rechecked scenarios, defined points, formula syntax, units, supplied vs generalized inputs, ordered outputs, scoring weights, maintained/starter programs, public feedback, and all six diagrams after repairs. Automated regression protects the new instruction contracts.</t>
        </is>
      </c>
    </row>
    <row r="974" ht="95.09999999999999" customHeight="1" s="78">
      <c r="A974" s="73" t="inlineStr">
        <is>
          <t>CLARITY-2026-10-01</t>
        </is>
      </c>
      <c r="B974" s="73" t="n"/>
      <c r="C974" s="73" t="inlineStr">
        <is>
          <t>AI provider and external-device limitations</t>
        </is>
      </c>
      <c r="D974" s="73" t="inlineStr">
        <is>
          <t>NOT RUN</t>
        </is>
      </c>
      <c r="E974" s="73" t="inlineStr">
        <is>
          <t>No additional paid OpenAI requests authorized for this task. Tutor regression uses mocks. No new physical Ubuntu/laptop/network or live deployment QA. Cannot guarantee every future program or generated AI response. Callback instrumentation is assessment evidence inside Docker, not an adversarial security boundary.</t>
        </is>
      </c>
    </row>
    <row r="975" ht="114.95" customHeight="1" s="78">
      <c r="A975" s="73" t="inlineStr">
        <is>
          <t>AI-UBUNTU-2026-10-01</t>
        </is>
      </c>
      <c r="B975" s="73" t="n"/>
      <c r="C975" s="73" t="inlineStr">
        <is>
          <t>Scope, versions and paid-call authorization</t>
        </is>
      </c>
      <c r="D975" s="73" t="inlineStr">
        <is>
          <t>PASS</t>
        </is>
      </c>
      <c r="E975" s="73" t="inlineStr">
        <is>
          <t>Desktop staging only, base 1d88602 plus the reviewed repairs. Assignment versions 9,9,10,9,5,5. Existing key reused with owner approval. Exactly 10 provider requests per assignment (60 total), no SDK retries. Ephemeral demos only. Production untouched.</t>
        </is>
      </c>
    </row>
    <row r="976" ht="114.95" customHeight="1" s="78">
      <c r="A976" s="73" t="inlineStr">
        <is>
          <t>AI-UBUNTU-2026-10-01</t>
        </is>
      </c>
      <c r="B976" s="73" t="n"/>
      <c r="C976" s="73" t="inlineStr">
        <is>
          <t>First paid pass: hint levels 1-4, concepts, syntax and partial answers</t>
        </is>
      </c>
      <c r="D976" s="73" t="inlineStr">
        <is>
          <t>FAIL (before fix)</t>
        </is>
      </c>
      <c r="E976" s="73" t="inlineStr">
        <is>
          <t>48 provider requests across six assignments. HTTP 200 did not imply useful tutoring: first hints sometimes listed several repairs, A3/A4 partial-return wrappers received speculative diagnoses, and full-code requests were not explicitly declined. Existing output-policy fallback handled one response.</t>
        </is>
      </c>
    </row>
    <row r="977" ht="114.95" customHeight="1" s="78">
      <c r="A977" s="73" t="inlineStr">
        <is>
          <t>AI-UBUNTU-2026-10-01</t>
        </is>
      </c>
      <c r="B977" s="73" t="n"/>
      <c r="C977" s="73" t="inlineStr">
        <is>
          <t>Grading with AI enabled</t>
        </is>
      </c>
      <c r="D977" s="73" t="inlineStr">
        <is>
          <t>PASS</t>
        </is>
      </c>
      <c r="E977" s="73" t="inlineStr">
        <is>
          <t>All six maintained answers scored 100%. AI did not decide scores. Starter scores were 0,0,0,0,20,10. Mixed A1/A2/A3 scores50%, A4 score60%; duplicate-publish A5/A6 scores80%/90%. ROS starter credit is supplied package/node behavior, not completed control logic.</t>
        </is>
      </c>
    </row>
    <row r="978" ht="114.95" customHeight="1" s="78">
      <c r="A978" s="73" t="inlineStr">
        <is>
          <t>AI-UBUNTU-2026-10-01</t>
        </is>
      </c>
      <c r="B978" s="73" t="n"/>
      <c r="C978" s="73" t="inlineStr">
        <is>
          <t>Incremental tutor repairs and focused validation</t>
        </is>
      </c>
      <c r="D978" s="73" t="inlineStr">
        <is>
          <t>PASS</t>
        </is>
      </c>
      <c r="E978" s="73" t="inlineStr">
        <is>
          <t>Explicit full-code requests now receive a deterministic refusal without a provider request. First hints allow at most two debugging steps. Syntax-only observations identify literal replacements in a final return. Negative NameError statements no longer trigger a false contradiction rejection. Final focused tutor and instructor-case suite: 69 passed on Windows and Ubuntu22.</t>
        </is>
      </c>
    </row>
    <row r="979" ht="114.95" customHeight="1" s="78">
      <c r="A979" s="73" t="inlineStr">
        <is>
          <t>AI-UBUNTU-2026-10-01</t>
        </is>
      </c>
      <c r="B979" s="73" t="n"/>
      <c r="C979" s="73" t="inlineStr">
        <is>
          <t>Paid retest and honest fallback behavior</t>
        </is>
      </c>
      <c r="D979" s="73" t="inlineStr">
        <is>
          <t>PARTIAL</t>
        </is>
      </c>
      <c r="E979" s="73" t="inlineStr">
        <is>
          <t>Remaining12 provider requests: six displayed OpenAI responses and six displayed safe built-in fallback. A3/A4 wrapper fallback correctly identified replaced final returned fields. A5/A6 AI identified duplicate publish calls; A6 chat preserved invalid-reading exclusion and the inclusive0.75m stop boundary. Safe responses were available, but model compliance/accuracy is not universal. No further paid calls beyond the approved budget.</t>
        </is>
      </c>
    </row>
    <row r="980" ht="114.95" customHeight="1" s="78">
      <c r="A980" s="73" t="inlineStr">
        <is>
          <t>AI-UBUNTU-2026-10-01</t>
        </is>
      </c>
      <c r="B980" s="73" t="n"/>
      <c r="C980" s="73" t="inlineStr">
        <is>
          <t>Full-solution and injection requests after repair</t>
        </is>
      </c>
      <c r="D980" s="73" t="inlineStr">
        <is>
          <t>PASS</t>
        </is>
      </c>
      <c r="E980" s="73" t="inlineStr">
        <is>
          <t>Six actual API refusal requests made no provider calls. All six instructor-authored safety cases plus additional direct-request forms passed mocked regression. No completed replacement code or private grader values appeared in the inspected responses. This is sampled validation, not a guarantee against every phrasing.</t>
        </is>
      </c>
    </row>
    <row r="981" ht="114.95" customHeight="1" s="78">
      <c r="A981" s="73" t="inlineStr">
        <is>
          <t>AI-UBUNTU-2026-10-01</t>
        </is>
      </c>
      <c r="B981" s="73" t="n"/>
      <c r="C981" s="73" t="inlineStr">
        <is>
          <t>AI-off hints and ROS fallback language</t>
        </is>
      </c>
      <c r="D981" s="73" t="inlineStr">
        <is>
          <t>PASS</t>
        </is>
      </c>
      <c r="E981" s="73" t="inlineStr">
        <is>
          <t>Actual no-AI API probes passed for Assignments5/6: starter scores20%/10%; assessment-completed wording instead of unsupported node-start claims; all four built-in hint levels refer to ROS behavior rather than route calculations. All six versioned image endpoints matched corrected repository PNG bytes and returned Cache-Control:no-cache. No provider calls or persistent student test records.</t>
        </is>
      </c>
    </row>
    <row r="982" ht="114.95" customHeight="1" s="78">
      <c r="A982" s="73" t="inlineStr">
        <is>
          <t>AI-UBUNTU-2026-10-01</t>
        </is>
      </c>
      <c r="B982" s="73" t="n"/>
      <c r="C982" s="73" t="inlineStr">
        <is>
          <t>Diagram publication path before repair</t>
        </is>
      </c>
      <c r="D982" s="73" t="inlineStr">
        <is>
          <t>PARTIAL</t>
        </is>
      </c>
      <c r="E982" s="73" t="inlineStr">
        <is>
          <t>All six API PNG byte hashes already matched the corrected repository images. Image URLs were unchanged and responses did not require revalidation, creating stale-cache risk. The exact cache state on the user device was not observable, so cache retention is a plausible cause rather than a confirmed device-specific diagnosis.</t>
        </is>
      </c>
    </row>
    <row r="983" ht="114.95" customHeight="1" s="78">
      <c r="A983" s="73" t="inlineStr">
        <is>
          <t>AI-UBUNTU-2026-10-01</t>
        </is>
      </c>
      <c r="B983" s="73" t="n"/>
      <c r="C983" s="73" t="inlineStr">
        <is>
          <t>Corrected diagrams after repair</t>
        </is>
      </c>
      <c r="D983" s="73" t="inlineStr">
        <is>
          <t>PASS</t>
        </is>
      </c>
      <c r="E983" s="73" t="inlineStr">
        <is>
          <t>Image URLs now include the exact assignment version. PNG responses use Cache-Control:no-cache. All six versioned endpoints match repository bytes. Two Flutter URL tests and six backend image tests pass. Opened all six enlarged diagrams in the running Windows app and checked corrected robot/routes/labels/units/thresholds.</t>
        </is>
      </c>
    </row>
    <row r="984" ht="114.95" customHeight="1" s="78">
      <c r="A984" s="73" t="inlineStr">
        <is>
          <t>AI-UBUNTU-2026-10-01</t>
        </is>
      </c>
      <c r="B984" s="73" t="n"/>
      <c r="C984" s="73" t="inlineStr">
        <is>
          <t>Manual AI question-panel behavior</t>
        </is>
      </c>
      <c r="D984" s="73" t="inlineStr">
        <is>
          <t>PASS</t>
        </is>
      </c>
      <c r="E984" s="73" t="inlineStr">
        <is>
          <t>A6 starter Run with AI off opened the isolated results panel and scored10%. Built-in feedback remained visible. Turning AI on exposed Your question and Ask tutor. No paid request was made by enabling the switch. AI was switched off again.</t>
        </is>
      </c>
    </row>
    <row r="985" ht="114.95" customHeight="1" s="78">
      <c r="A985" s="73" t="inlineStr">
        <is>
          <t>AI-UBUNTU-2026-10-01</t>
        </is>
      </c>
      <c r="B985" s="73" t="n"/>
      <c r="C985" s="73" t="inlineStr">
        <is>
          <t>Windows complete local gate</t>
        </is>
      </c>
      <c r="D985" s="73" t="inlineStr">
        <is>
          <t>PASS</t>
        </is>
      </c>
      <c r="E985" s="73" t="inlineStr">
        <is>
          <t>Windows full local gate passed: backend 414 tests; pip check; compilation; Flutter analysis; 91 Flutter tests; release web build; repository/clone safety; API and sandbox health. Final focused tutor suite: 69 passed. The broader gate initially ran 408 backend tests; the final backend run includes six added regression tests.</t>
        </is>
      </c>
    </row>
    <row r="986" ht="114.95" customHeight="1" s="78">
      <c r="A986" s="73" t="inlineStr">
        <is>
          <t>AI-UBUNTU-2026-10-01</t>
        </is>
      </c>
      <c r="B986" s="73" t="n"/>
      <c r="C986" s="73" t="inlineStr">
        <is>
          <t>Ubuntu24 actual container setup and backend</t>
        </is>
      </c>
      <c r="D986" s="73" t="inlineStr">
        <is>
          <t>PASS</t>
        </is>
      </c>
      <c r="E986" s="73" t="inlineStr">
        <is>
          <t>Ubuntu24.04.1 LTS x86-64 container. Managed Python3.14.7 and58 pinned dependencies installed through the actual setup script. Full408-test backend suite and dependency check passed. Two ShellCheck SC2015 findings in startup/stop cleanup were replaced with explicit guarded if statements. Bash syntax and ShellCheck passed. Latest focused tutor regression69 passed after the final ROS-language change.</t>
        </is>
      </c>
    </row>
    <row r="987" ht="114.95" customHeight="1" s="78">
      <c r="A987" s="73" t="inlineStr">
        <is>
          <t>AI-UBUNTU-2026-10-01</t>
        </is>
      </c>
      <c r="B987" s="73" t="n"/>
      <c r="C987" s="73" t="inlineStr">
        <is>
          <t>Ubuntu24 startup, frontend and shutdown</t>
        </is>
      </c>
      <c r="D987" s="73" t="inlineStr">
        <is>
          <t>PASS</t>
        </is>
      </c>
      <c r="E987" s="73" t="inlineStr">
        <is>
          <t>Actual launcher started FastAPI, secure sandbox and Flutter web against Neon staging. API/sandbox health and frontend shell passed. Flutter analysis clean,91 tests passed, release web build passed. Stop script stopped only recorded processes, with no remaining managed processes. Docker daemon provided by desktop socket.</t>
        </is>
      </c>
    </row>
    <row r="988" ht="114.95" customHeight="1" s="78">
      <c r="A988" s="73" t="inlineStr">
        <is>
          <t>AI-UBUNTU-2026-10-01</t>
        </is>
      </c>
      <c r="B988" s="73" t="n"/>
      <c r="C988" s="73" t="inlineStr">
        <is>
          <t>Ubuntu22 actual setup and full regression</t>
        </is>
      </c>
      <c r="D988" s="73" t="inlineStr">
        <is>
          <t>PASS</t>
        </is>
      </c>
      <c r="E988" s="73" t="inlineStr">
        <is>
          <t>Ubuntu22.04.5 LTS x86-64 container with real Flutter3.32.8. Actual setup installed Python3.14.7 and58 compatible dependencies. Full410-test backend suite passed; final69 focused tutor tests passed after the last change. Bash/ShellCheck, launcher, service health, Flutter analysis,91 tests, release build and managed shutdown passed. An initial QA command invoked pytest from the wrong folder and was corrected to backend; no application change was needed.</t>
        </is>
      </c>
    </row>
    <row r="989" ht="114.95" customHeight="1" s="78">
      <c r="A989" s="73" t="inlineStr">
        <is>
          <t>AI-UBUNTU-2026-10-01</t>
        </is>
      </c>
      <c r="B989" s="73" t="n"/>
      <c r="C989" s="73" t="inlineStr">
        <is>
          <t>Ubuntu22 all-six grading and real ROS</t>
        </is>
      </c>
      <c r="D989" s="73" t="inlineStr">
        <is>
          <t>PASS</t>
        </is>
      </c>
      <c r="E989" s="73" t="inlineStr">
        <is>
          <t>Executed all six maintained answers using installed Ubuntu Python and actual graders:100% each. A5 andA6 ran isolated Docker Jazzy containers. Duplicate-command variants scored80% and90% and were not passed. No AI provider calls or persistent classroom data used.</t>
        </is>
      </c>
    </row>
    <row r="990" ht="114.95" customHeight="1" s="78">
      <c r="A990" s="73" t="inlineStr">
        <is>
          <t>AI-UBUNTU-2026-10-01</t>
        </is>
      </c>
      <c r="B990" s="73" t="n"/>
      <c r="C990" s="73" t="inlineStr">
        <is>
          <t>Privacy, repository safety and workbook preservation</t>
        </is>
      </c>
      <c r="D990" s="73" t="inlineStr">
        <is>
          <t>PASS</t>
        </is>
      </c>
      <c r="E990" s="73" t="inlineStr">
        <is>
          <t>No credentials, environment files, API logs, dumps or generated dependencies added to Git. Existing instructor/source-PDF moves preserved outside this change. One QA Excel workbook retained, with dated evidence appended and historical statuses unchanged. Temporary Ubuntu containers containing private configuration removed after testing.</t>
        </is>
      </c>
    </row>
    <row r="991" ht="114.95" customHeight="1" s="78">
      <c r="A991" s="73" t="inlineStr">
        <is>
          <t>AI-UBUNTU-2026-10-01</t>
        </is>
      </c>
      <c r="B991" s="73" t="n"/>
      <c r="C991" s="73" t="inlineStr">
        <is>
          <t>External hardware, AI limits and release scope</t>
        </is>
      </c>
      <c r="D991" s="73" t="inlineStr">
        <is>
          <t>NOT RUN</t>
        </is>
      </c>
      <c r="E991" s="73" t="inlineStr">
        <is>
          <t>No physical Ubuntu lab workstation, native Ubuntu desktop-browser accessibility, external network, live deployment or Android QA. No exact input-token cost measurement: app responses do not expose provider usage. Paid retest is a sample, not proof of all future AI accuracy. Tutor chat uses the latest owned attempt, not multi-turn conversation history or prior-attempt comparison. Instructor review remains required.</t>
        </is>
      </c>
    </row>
    <row r="992" ht="120" customHeight="1" s="78">
      <c r="A992" s="73" t="inlineStr">
        <is>
          <t>NEON-ONLY-2026-10-01</t>
        </is>
      </c>
      <c r="B992" s="73" t="n"/>
      <c r="C992" s="73" t="inlineStr">
        <is>
          <t>Migration scope and inventory</t>
        </is>
      </c>
      <c r="D992" s="73" t="inlineStr">
        <is>
          <t>PASS</t>
        </is>
      </c>
      <c r="E992" s="73" t="inlineStr">
        <is>
          <t>Staging only, candidate based on80f4f2d. Two stopped legacy PostgreSQL containers were temporarily started for read-only reconciliation; six preserved desktop dumps were restored into isolated audit databases, never into Neon. No active SQLite files or dumps remain in the current staging checkout. Other devices and archive projects were not accessible/in scope.</t>
        </is>
      </c>
    </row>
    <row r="993" ht="120" customHeight="1" s="78">
      <c r="A993" s="73" t="inlineStr">
        <is>
          <t>NEON-ONLY-2026-10-01</t>
        </is>
      </c>
      <c r="B993" s="73" t="n"/>
      <c r="C993" s="73" t="inlineStr">
        <is>
          <t>Legacy data reconciliation</t>
        </is>
      </c>
      <c r="D993" s="73" t="inlineStr">
        <is>
          <t>PASS</t>
        </is>
      </c>
      <c r="E993" s="73" t="inlineStr">
        <is>
          <t>All available row IDs in all source tables from both local databases and six archived dumps already exist in Neon. All overlapping submissions, learning_events, hint_interactions and audit_events matched source column values exactly. Older schemas lack quiz/draft/activity tables. Mutable accounts, assignment definitions and some session state differ; cloud versions were preserved.</t>
        </is>
      </c>
    </row>
    <row r="994" ht="120" customHeight="1" s="78">
      <c r="A994" s="73" t="inlineStr">
        <is>
          <t>NEON-ONLY-2026-10-01</t>
        </is>
      </c>
      <c r="B994" s="73" t="n"/>
      <c r="C994" s="73" t="inlineStr">
        <is>
          <t>Neon inventory and migration decision</t>
        </is>
      </c>
      <c r="D994" s="73" t="inlineStr">
        <is>
          <t>PASS</t>
        </is>
      </c>
      <c r="E994" s="73" t="inlineStr">
        <is>
          <t>Neon robotics_lab_staging contains13 tables,3 accounts,6 assignments,151 coding attempts,320 learning events,70 hint interactions,31 activity records,1 quiz attempt and15 drafts. Zero missing source records; zero rows imported. An old dump was not restored over current data, and no account or historical score was overwritten.</t>
        </is>
      </c>
    </row>
    <row r="995" ht="120" customHeight="1" s="78">
      <c r="A995" s="73" t="inlineStr">
        <is>
          <t>NEON-ONLY-2026-10-01</t>
        </is>
      </c>
      <c r="B995" s="73" t="n"/>
      <c r="C995" s="73" t="inlineStr">
        <is>
          <t>Neon-only runtime configuration</t>
        </is>
      </c>
      <c r="D995" s="73" t="inlineStr">
        <is>
          <t>PASS</t>
        </is>
      </c>
      <c r="E995" s="73" t="inlineStr">
        <is>
          <t>Default SQLite path removed. Normal backend starts and Alembic resolve the same NEON_DATABASE_URL/NEON_DATABASE_NAME as Windows/Ubuntu launchers. Missing or non-Neon connections and conflicting local DATABASE_URL overrides fail explicitly. Production keeps its explicitly configured Neon database name. Disposable tests opt into ENVIRONMENT=testing and an explicit database URL.</t>
        </is>
      </c>
    </row>
    <row r="996" ht="120" customHeight="1" s="78">
      <c r="A996" s="73" t="inlineStr">
        <is>
          <t>NEON-ONLY-2026-10-01</t>
        </is>
      </c>
      <c r="B996" s="73" t="n"/>
      <c r="C996" s="73" t="inlineStr">
        <is>
          <t>Windows regression and migration tests</t>
        </is>
      </c>
      <c r="D996" s="73" t="inlineStr">
        <is>
          <t>PASS</t>
        </is>
      </c>
      <c r="E996" s="73" t="inlineStr">
        <is>
          <t>423 backend tests passed in235.60sec. Final focused configuration, migration and API subset65 passed under CI-style isolated testing configuration; after formatting, the15 configuration/migration tests passed again. pip check and compilation passed. No schema change required; actual launcher Alembic upgrade head connected to PostgreSQL successfully.</t>
        </is>
      </c>
    </row>
    <row r="997" ht="120" customHeight="1" s="78">
      <c r="A997" s="73" t="inlineStr">
        <is>
          <t>NEON-ONLY-2026-10-01</t>
        </is>
      </c>
      <c r="B997" s="73" t="n"/>
      <c r="C997" s="73" t="inlineStr">
        <is>
          <t>Ubuntu focused verification without private config</t>
        </is>
      </c>
      <c r="D997" s="73" t="inlineStr">
        <is>
          <t>PASS</t>
        </is>
      </c>
      <c r="E997" s="73" t="inlineStr">
        <is>
          <t>Ubuntu22.04.5 container with Python3.14.8 and existing58 pinned requirements:65 configuration, migration and API tests passed in14.89sec. No .env or Neon credentials copied. Initial full setup was unavailable because this disposable container had no Docker socket; focused Python checks were run directly. Actual Windows launcher was tested; Ubuntu full launcher/build was not repeated for this Python-only change.</t>
        </is>
      </c>
    </row>
    <row r="998" ht="120" customHeight="1" s="78">
      <c r="A998" s="73" t="inlineStr">
        <is>
          <t>NEON-ONLY-2026-10-01</t>
        </is>
      </c>
      <c r="B998" s="73" t="n"/>
      <c r="C998" s="73" t="inlineStr">
        <is>
          <t>Independent clients see shared saved records</t>
        </is>
      </c>
      <c r="D998" s="73" t="inlineStr">
        <is>
          <t>PASS</t>
        </is>
      </c>
      <c r="E998" s="73" t="inlineStr">
        <is>
          <t>Two independent Python processes selected robotics_lab_staging and returned identical complete-row hashes for seven application tables. Coding-attempt count151 and quiz-attempt count1 survived the managed stop/start. A running HTTP API and independently created API engine accepted the same student/instructor sessions and returned identical student/instructor analytics. Logout on one denied access on the other. Only ordinary login/logout audit/session records were added; no new attempt, quiz or paid AI request.</t>
        </is>
      </c>
    </row>
    <row r="999" ht="120" customHeight="1" s="78">
      <c r="A999" s="73" t="inlineStr">
        <is>
          <t>NEON-ONLY-2026-10-01</t>
        </is>
      </c>
      <c r="B999" s="73" t="n"/>
      <c r="C999" s="73" t="inlineStr">
        <is>
          <t>Startup, configuration and CI hygiene</t>
        </is>
      </c>
      <c r="D999" s="73" t="inlineStr">
        <is>
          <t>PASS</t>
        </is>
      </c>
      <c r="E999" s="73" t="inlineStr">
        <is>
          <t>Windows managed stack restarted on frontend8180, API5100 and sandbox5101; healthy and Neon-connected. Private-config/layout and fresh-clone source checks passed. CI now declares an isolated test database and no longer invokes the removed local-database-handoff script. No frontend source changed; earlier91-test Flutter gate is historical evidence, not a new run.</t>
        </is>
      </c>
    </row>
    <row r="1000" ht="120" customHeight="1" s="78">
      <c r="A1000" s="73" t="inlineStr">
        <is>
          <t>NEON-ONLY-2026-10-01</t>
        </is>
      </c>
      <c r="B1000" s="73" t="n"/>
      <c r="C1000" s="73" t="inlineStr">
        <is>
          <t>Documentation and preservation</t>
        </is>
      </c>
      <c r="D1000" s="73" t="inlineStr">
        <is>
          <t>PASS</t>
        </is>
      </c>
      <c r="E1000" s="73" t="inlineStr">
        <is>
          <t>README, Windows/Ubuntu first-run guides, environment example, architecture, release workflow, data guides and AGENTS updated for Neon-only operation. Internet and securely provisioned root.env still required; no database-folder copy/restore needed. Old original databases/dumps kept intact; both old containers returned to stopped state. Temporary audit and Ubuntu-test containers removed. Unrelated user PDF moves excluded.</t>
        </is>
      </c>
    </row>
    <row r="1001" ht="120" customHeight="1" s="78">
      <c r="A1001" s="73" t="inlineStr">
        <is>
          <t>NEON-ONLY-2026-10-01</t>
        </is>
      </c>
      <c r="B1001" s="73" t="n"/>
      <c r="C1001" s="73" t="inlineStr">
        <is>
          <t>Limits and untested environments</t>
        </is>
      </c>
      <c r="D1001" s="73" t="inlineStr">
        <is>
          <t>NOT RUN</t>
        </is>
      </c>
      <c r="E1001" s="73" t="inlineStr">
        <is>
          <t>No physical laptop/lab computer, fresh Ubuntu24 run, live deployment, Android or simulated Neon outage. Sources unavailable on other computers cannot be reconciled from this desktop. No independent cloud-recovery or outage failover system added. Draft browser cache is not a second database; temporary demo sessions intentionally remain memory-only.</t>
        </is>
      </c>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C2221"/>
  <sheetViews>
    <sheetView showGridLines="0" workbookViewId="0">
      <pane ySplit="1" topLeftCell="A2" activePane="bottomLeft" state="frozen"/>
      <selection pane="bottomLeft" activeCell="A1" sqref="A1"/>
    </sheetView>
  </sheetViews>
  <sheetFormatPr baseColWidth="8" defaultRowHeight="15"/>
  <cols>
    <col width="13" customWidth="1" style="78" min="1" max="2"/>
    <col width="150" customWidth="1" style="78" min="3" max="3"/>
  </cols>
  <sheetData>
    <row r="1" ht="30" customHeight="1" s="78">
      <c r="A1" s="72" t="inlineStr">
        <is>
          <t>Report ID</t>
        </is>
      </c>
      <c r="B1" s="72" t="inlineStr">
        <is>
          <t>Source line</t>
        </is>
      </c>
      <c r="C1" s="72" t="inlineStr">
        <is>
          <t>Original report text</t>
        </is>
      </c>
    </row>
    <row r="2" ht="30" customHeight="1" s="78">
      <c r="A2" s="73" t="inlineStr">
        <is>
          <t>QA-001</t>
        </is>
      </c>
      <c r="B2" s="73" t="n">
        <v>1</v>
      </c>
      <c r="C2" s="73" t="inlineStr">
        <is>
          <t># Local AI tutor repair — 2026-09-24</t>
        </is>
      </c>
    </row>
    <row r="3" ht="30" customHeight="1" s="78">
      <c r="A3" s="73" t="inlineStr">
        <is>
          <t>QA-001</t>
        </is>
      </c>
      <c r="B3" s="73" t="n">
        <v>2</v>
      </c>
      <c r="C3" s="73" t="n"/>
    </row>
    <row r="4" ht="30" customHeight="1" s="78">
      <c r="A4" s="73" t="inlineStr">
        <is>
          <t>QA-001</t>
        </is>
      </c>
      <c r="B4" s="73" t="n">
        <v>3</v>
      </c>
      <c r="C4" s="73" t="inlineStr">
        <is>
          <t>Environment: Windows staging checkout, base commit `2252bcf` plus uncommitted</t>
        </is>
      </c>
    </row>
    <row r="5" ht="30" customHeight="1" s="78">
      <c r="A5" s="73" t="inlineStr">
        <is>
          <t>QA-001</t>
        </is>
      </c>
      <c r="B5" s="73" t="n">
        <v>4</v>
      </c>
      <c r="C5" s="73" t="inlineStr">
        <is>
          <t>repair; managed local frontend `127.0.0.1:8180`, API `127.0.0.1:5100`, and</t>
        </is>
      </c>
    </row>
    <row r="6" ht="30" customHeight="1" s="78">
      <c r="A6" s="73" t="inlineStr">
        <is>
          <t>QA-001</t>
        </is>
      </c>
      <c r="B6" s="73" t="n">
        <v>5</v>
      </c>
      <c r="C6" s="73" t="inlineStr">
        <is>
          <t>sandbox `127.0.0.1:5101`. Production was not changed. The API checks used a</t>
        </is>
      </c>
    </row>
    <row r="7" ht="30" customHeight="1" s="78">
      <c r="A7" s="73" t="inlineStr">
        <is>
          <t>QA-001</t>
        </is>
      </c>
      <c r="B7" s="73" t="n">
        <v>6</v>
      </c>
      <c r="C7" s="73" t="inlineStr">
        <is>
          <t>temporary demo session, not a persistent student account.</t>
        </is>
      </c>
    </row>
    <row r="8" ht="30" customHeight="1" s="78">
      <c r="A8" s="73" t="inlineStr">
        <is>
          <t>QA-001</t>
        </is>
      </c>
      <c r="B8" s="73" t="n">
        <v>7</v>
      </c>
      <c r="C8" s="73" t="n"/>
    </row>
    <row r="9" ht="30" customHeight="1" s="78">
      <c r="A9" s="73" t="inlineStr">
        <is>
          <t>QA-001</t>
        </is>
      </c>
      <c r="B9" s="73" t="n">
        <v>8</v>
      </c>
      <c r="C9" s="73" t="inlineStr">
        <is>
          <t>## Confirmed causes</t>
        </is>
      </c>
    </row>
    <row r="10" ht="30" customHeight="1" s="78">
      <c r="A10" s="73" t="inlineStr">
        <is>
          <t>QA-001</t>
        </is>
      </c>
      <c r="B10" s="73" t="n">
        <v>9</v>
      </c>
      <c r="C10" s="73" t="n"/>
    </row>
    <row r="11" ht="30" customHeight="1" s="78">
      <c r="A11" s="73" t="inlineStr">
        <is>
          <t>QA-001</t>
        </is>
      </c>
      <c r="B11" s="73" t="n">
        <v>10</v>
      </c>
      <c r="C11" s="73" t="inlineStr">
        <is>
          <t>1. The ordinary local launchers cleared `OPENAI_API_KEY` before starting the</t>
        </is>
      </c>
    </row>
    <row r="12" ht="30" customHeight="1" s="78">
      <c r="A12" s="73" t="inlineStr">
        <is>
          <t>QA-001</t>
        </is>
      </c>
      <c r="B12" s="73" t="n">
        <v>11</v>
      </c>
      <c r="C12" s="73" t="inlineStr">
        <is>
          <t xml:space="preserve">   backend. The assignment switch could request AI, but the backend had no key.</t>
        </is>
      </c>
    </row>
    <row r="13" ht="30" customHeight="1" s="78">
      <c r="A13" s="73" t="inlineStr">
        <is>
          <t>QA-001</t>
        </is>
      </c>
      <c r="B13" s="73" t="n">
        <v>12</v>
      </c>
      <c r="C13" s="73" t="inlineStr">
        <is>
          <t>2. With the key available, submission feedback sometimes fell back because the</t>
        </is>
      </c>
    </row>
    <row r="14" ht="30" customHeight="1" s="78">
      <c r="A14" s="73" t="inlineStr">
        <is>
          <t>QA-001</t>
        </is>
      </c>
      <c r="B14" s="73" t="n">
        <v>13</v>
      </c>
      <c r="C14" s="73" t="inlineStr">
        <is>
          <t xml:space="preserve">   420-token response limit truncated the required structured JSON. A tutor</t>
        </is>
      </c>
    </row>
    <row r="15" ht="30" customHeight="1" s="78">
      <c r="A15" s="73" t="inlineStr">
        <is>
          <t>QA-001</t>
        </is>
      </c>
      <c r="B15" s="73" t="n">
        <v>14</v>
      </c>
      <c r="C15" s="73" t="inlineStr">
        <is>
          <t xml:space="preserve">   question using the same key succeeded.</t>
        </is>
      </c>
    </row>
    <row r="16" ht="30" customHeight="1" s="78">
      <c r="A16" s="73" t="inlineStr">
        <is>
          <t>QA-001</t>
        </is>
      </c>
      <c r="B16" s="73" t="n">
        <v>15</v>
      </c>
      <c r="C16" s="73" t="n"/>
    </row>
    <row r="17" ht="30" customHeight="1" s="78">
      <c r="A17" s="73" t="inlineStr">
        <is>
          <t>QA-001</t>
        </is>
      </c>
      <c r="B17" s="73" t="n">
        <v>16</v>
      </c>
      <c r="C17" s="73" t="inlineStr">
        <is>
          <t>The launchers now keep the server-side key available while the assignment</t>
        </is>
      </c>
    </row>
    <row r="18" ht="30" customHeight="1" s="78">
      <c r="A18" s="73" t="inlineStr">
        <is>
          <t>QA-001</t>
        </is>
      </c>
      <c r="B18" s="73" t="n">
        <v>17</v>
      </c>
      <c r="C18" s="73" t="inlineStr">
        <is>
          <t>switch stays off by default. The optional `-EnableAi` / `--enable-ai` flags</t>
        </is>
      </c>
    </row>
    <row r="19" ht="30" customHeight="1" s="78">
      <c r="A19" s="73" t="inlineStr">
        <is>
          <t>QA-001</t>
        </is>
      </c>
      <c r="B19" s="73" t="n">
        <v>18</v>
      </c>
      <c r="C19" s="73" t="inlineStr">
        <is>
          <t>validate key presence at startup. The tutor now requests concise fields with a</t>
        </is>
      </c>
    </row>
    <row r="20" ht="30" customHeight="1" s="78">
      <c r="A20" s="73" t="inlineStr">
        <is>
          <t>QA-001</t>
        </is>
      </c>
      <c r="B20" s="73" t="n">
        <v>19</v>
      </c>
      <c r="C20" s="73" t="inlineStr">
        <is>
          <t>1000-token output limit. Neither change makes AI part of grading.</t>
        </is>
      </c>
    </row>
    <row r="21" ht="30" customHeight="1" s="78">
      <c r="A21" s="73" t="inlineStr">
        <is>
          <t>QA-001</t>
        </is>
      </c>
      <c r="B21" s="73" t="n">
        <v>20</v>
      </c>
      <c r="C21" s="73" t="n"/>
    </row>
    <row r="22" ht="30" customHeight="1" s="78">
      <c r="A22" s="73" t="inlineStr">
        <is>
          <t>QA-001</t>
        </is>
      </c>
      <c r="B22" s="73" t="n">
        <v>21</v>
      </c>
      <c r="C22" s="73" t="inlineStr">
        <is>
          <t>## Checks</t>
        </is>
      </c>
    </row>
    <row r="23" ht="30" customHeight="1" s="78">
      <c r="A23" s="73" t="inlineStr">
        <is>
          <t>QA-001</t>
        </is>
      </c>
      <c r="B23" s="73" t="n">
        <v>22</v>
      </c>
      <c r="C23" s="73" t="n"/>
    </row>
    <row r="24" ht="30" customHeight="1" s="78">
      <c r="A24" s="73" t="inlineStr">
        <is>
          <t>QA-001</t>
        </is>
      </c>
      <c r="B24" s="73" t="n">
        <v>23</v>
      </c>
      <c r="C24" s="73" t="inlineStr">
        <is>
          <t>| Requirement | Exact check / user flow | Expected | Actual | Result |</t>
        </is>
      </c>
    </row>
    <row r="25" ht="30" customHeight="1" s="78">
      <c r="A25" s="73" t="inlineStr">
        <is>
          <t>QA-001</t>
        </is>
      </c>
      <c r="B25" s="73" t="n">
        <v>24</v>
      </c>
      <c r="C25" s="73" t="inlineStr">
        <is>
          <t>|---|---|---|---|---|</t>
        </is>
      </c>
    </row>
    <row r="26" ht="39.95" customHeight="1" s="78">
      <c r="A26" s="73" t="inlineStr">
        <is>
          <t>QA-001</t>
        </is>
      </c>
      <c r="B26" s="73" t="n">
        <v>25</v>
      </c>
      <c r="C26" s="73" t="inlineStr">
        <is>
          <t>| Ordinary launch | `run-local.ps1` with no AI flag | Three services healthy; AI available but off | All services ready; AI available `True`, off until assignment switch | PASS |</t>
        </is>
      </c>
    </row>
    <row r="27" ht="30" customHeight="1" s="78">
      <c r="A27" s="73" t="inlineStr">
        <is>
          <t>QA-001</t>
        </is>
      </c>
      <c r="B27" s="73" t="n">
        <v>26</v>
      </c>
      <c r="C27" s="73" t="inlineStr">
        <is>
          <t>| AI off | Demo `POST /assignments/1/submit`, `use_ai_tutor=false` | No tutor feedback | No tutor feedback | PASS |</t>
        </is>
      </c>
    </row>
    <row r="28" ht="30" customHeight="1" s="78">
      <c r="A28" s="73" t="inlineStr">
        <is>
          <t>QA-001</t>
        </is>
      </c>
      <c r="B28" s="73" t="n">
        <v>27</v>
      </c>
      <c r="C28" s="73" t="inlineStr">
        <is>
          <t>| AI on | Same demo submission with `use_ai_tutor=true` | OpenAI feedback; grading still returns | Tutor source `openai` | PASS |</t>
        </is>
      </c>
    </row>
    <row r="29" ht="30" customHeight="1" s="78">
      <c r="A29" s="73" t="inlineStr">
        <is>
          <t>QA-001</t>
        </is>
      </c>
      <c r="B29" s="73" t="n">
        <v>28</v>
      </c>
      <c r="C29" s="73" t="inlineStr">
        <is>
          <t>| Follow-up question | Demo `POST /assignments/1/tutor` | Nonempty OpenAI answer | Source `openai`; answer nonempty | PASS |</t>
        </is>
      </c>
    </row>
    <row r="30" ht="30" customHeight="1" s="78">
      <c r="A30" s="73" t="inlineStr">
        <is>
          <t>QA-001</t>
        </is>
      </c>
      <c r="B30" s="73" t="n">
        <v>29</v>
      </c>
      <c r="C30" s="73" t="inlineStr">
        <is>
          <t>| Tutor regressions | `python -m pytest tests/test_tutor.py tests/test_tutor_evaluations.py -q` | Tests pass | 31 passed | PASS |</t>
        </is>
      </c>
    </row>
    <row r="31" ht="30" customHeight="1" s="78">
      <c r="A31" s="73" t="inlineStr">
        <is>
          <t>QA-001</t>
        </is>
      </c>
      <c r="B31" s="73" t="n">
        <v>30</v>
      </c>
      <c r="C31" s="73" t="inlineStr">
        <is>
          <t>| Windows launcher syntax | PowerShell parser | No parse errors | No parse errors | PASS |</t>
        </is>
      </c>
    </row>
    <row r="32" ht="30" customHeight="1" s="78">
      <c r="A32" s="73" t="inlineStr">
        <is>
          <t>QA-001</t>
        </is>
      </c>
      <c r="B32" s="73" t="n">
        <v>31</v>
      </c>
      <c r="C32" s="73" t="inlineStr">
        <is>
          <t>| Ubuntu launcher syntax | Git Bash `bash -n scripts/run-local.sh` | No parse errors | No parse errors | PASS |</t>
        </is>
      </c>
    </row>
    <row r="33" ht="39.95" customHeight="1" s="78">
      <c r="A33" s="73" t="inlineStr">
        <is>
          <t>QA-001</t>
        </is>
      </c>
      <c r="B33" s="73" t="n">
        <v>32</v>
      </c>
      <c r="C33" s="73" t="inlineStr">
        <is>
          <t>| Manual Flutter click-through | Log in, toggle AI, run and ask in browser | OpenAI result visible | Not performed; API flow and UI wiring checked instead | NOT RUN |</t>
        </is>
      </c>
    </row>
    <row r="34" ht="30" customHeight="1" s="78">
      <c r="A34" s="73" t="inlineStr">
        <is>
          <t>QA-001</t>
        </is>
      </c>
      <c r="B34" s="73" t="n">
        <v>33</v>
      </c>
      <c r="C34" s="73" t="inlineStr">
        <is>
          <t>| Physical Ubuntu run | Launch and exercise on Ubuntu | Same behavior | No Ubuntu machine used | NOT RUN |</t>
        </is>
      </c>
    </row>
    <row r="35" ht="30" customHeight="1" s="78">
      <c r="A35" s="73" t="inlineStr">
        <is>
          <t>QA-001</t>
        </is>
      </c>
      <c r="B35" s="73" t="n">
        <v>34</v>
      </c>
      <c r="C35" s="73" t="n"/>
    </row>
    <row r="36" ht="30" customHeight="1" s="78">
      <c r="A36" s="73" t="inlineStr">
        <is>
          <t>QA-001</t>
        </is>
      </c>
      <c r="B36" s="73" t="n">
        <v>35</v>
      </c>
      <c r="C36" s="73" t="inlineStr">
        <is>
          <t>The two NOT RUN checks need a manual browser pass on this build and an Ubuntu</t>
        </is>
      </c>
    </row>
    <row r="37" ht="30" customHeight="1" s="78">
      <c r="A37" s="73" t="inlineStr">
        <is>
          <t>QA-001</t>
        </is>
      </c>
      <c r="B37" s="73" t="n">
        <v>36</v>
      </c>
      <c r="C37" s="73" t="inlineStr">
        <is>
          <t>device respectively before claiming those environments were exercised. OpenAI</t>
        </is>
      </c>
    </row>
    <row r="38" ht="30" customHeight="1" s="78">
      <c r="A38" s="73" t="inlineStr">
        <is>
          <t>QA-001</t>
        </is>
      </c>
      <c r="B38" s="73" t="n">
        <v>37</v>
      </c>
      <c r="C38" s="73" t="inlineStr">
        <is>
          <t>availability also depends on the configured key, account credit, network, and</t>
        </is>
      </c>
    </row>
    <row r="39" ht="30" customHeight="1" s="78">
      <c r="A39" s="73" t="inlineStr">
        <is>
          <t>QA-001</t>
        </is>
      </c>
      <c r="B39" s="73" t="n">
        <v>38</v>
      </c>
      <c r="C39" s="73" t="inlineStr">
        <is>
          <t>service status; deterministic grading remains usable when AI is unavailable.</t>
        </is>
      </c>
    </row>
    <row r="40" ht="30" customHeight="1" s="78">
      <c r="A40" s="73" t="inlineStr">
        <is>
          <t>QA-001</t>
        </is>
      </c>
      <c r="B40" s="73" t="n">
        <v>39</v>
      </c>
      <c r="C40" s="73" t="n"/>
    </row>
    <row r="41" ht="30" customHeight="1" s="78">
      <c r="A41" s="73" t="inlineStr">
        <is>
          <t>QA-001</t>
        </is>
      </c>
      <c r="B41" s="73" t="n">
        <v>40</v>
      </c>
      <c r="C41" s="73" t="inlineStr">
        <is>
          <t>`AGENTS.md` was reviewed. No durable repository or release rule changed, so it</t>
        </is>
      </c>
    </row>
    <row r="42" ht="30" customHeight="1" s="78">
      <c r="A42" s="73" t="inlineStr">
        <is>
          <t>QA-001</t>
        </is>
      </c>
      <c r="B42" s="73" t="n">
        <v>41</v>
      </c>
      <c r="C42" s="73" t="inlineStr">
        <is>
          <t>did not need an edit. This was a staging-only repair; production was not changed.</t>
        </is>
      </c>
    </row>
    <row r="43" ht="30" customHeight="1" s="78">
      <c r="A43" s="73" t="inlineStr">
        <is>
          <t>QA-001</t>
        </is>
      </c>
      <c r="B43" s="73" t="n">
        <v>42</v>
      </c>
      <c r="C43" s="73" t="n"/>
    </row>
    <row r="44" ht="30" customHeight="1" s="78">
      <c r="A44" s="73" t="inlineStr">
        <is>
          <t>QA-002</t>
        </is>
      </c>
      <c r="B44" s="73" t="n">
        <v>1</v>
      </c>
      <c r="C44" s="73" t="inlineStr">
        <is>
          <t># Automatic Local Database Backup SQA Report</t>
        </is>
      </c>
    </row>
    <row r="45" ht="30" customHeight="1" s="78">
      <c r="A45" s="73" t="inlineStr">
        <is>
          <t>QA-002</t>
        </is>
      </c>
      <c r="B45" s="73" t="n">
        <v>2</v>
      </c>
      <c r="C45" s="73" t="n"/>
    </row>
    <row r="46" ht="30" customHeight="1" s="78">
      <c r="A46" s="73" t="inlineStr">
        <is>
          <t>QA-002</t>
        </is>
      </c>
      <c r="B46" s="73" t="n">
        <v>3</v>
      </c>
      <c r="C46" s="73" t="inlineStr">
        <is>
          <t>Date: 2026-08-26</t>
        </is>
      </c>
    </row>
    <row r="47" ht="30" customHeight="1" s="78">
      <c r="A47" s="73" t="inlineStr">
        <is>
          <t>QA-002</t>
        </is>
      </c>
      <c r="B47" s="73" t="n">
        <v>4</v>
      </c>
      <c r="C47" s="73" t="n"/>
    </row>
    <row r="48" ht="30" customHeight="1" s="78">
      <c r="A48" s="73" t="inlineStr">
        <is>
          <t>QA-002</t>
        </is>
      </c>
      <c r="B48" s="73" t="n">
        <v>5</v>
      </c>
      <c r="C48" s="73" t="inlineStr">
        <is>
          <t>Environment: canonical Windows staging checkout on `PONKOJ-PC`</t>
        </is>
      </c>
    </row>
    <row r="49" ht="30" customHeight="1" s="78">
      <c r="A49" s="73" t="inlineStr">
        <is>
          <t>QA-002</t>
        </is>
      </c>
      <c r="B49" s="73" t="n">
        <v>6</v>
      </c>
      <c r="C49" s="73" t="n"/>
    </row>
    <row r="50" ht="30" customHeight="1" s="78">
      <c r="A50" s="73" t="inlineStr">
        <is>
          <t>QA-002</t>
        </is>
      </c>
      <c r="B50" s="73" t="n">
        <v>7</v>
      </c>
      <c r="C50" s="73" t="inlineStr">
        <is>
          <t>Scope: managed local PostgreSQL backup lifecycle only</t>
        </is>
      </c>
    </row>
    <row r="51" ht="30" customHeight="1" s="78">
      <c r="A51" s="73" t="inlineStr">
        <is>
          <t>QA-002</t>
        </is>
      </c>
      <c r="B51" s="73" t="n">
        <v>8</v>
      </c>
      <c r="C51" s="73" t="n"/>
    </row>
    <row r="52" ht="30" customHeight="1" s="78">
      <c r="A52" s="73" t="inlineStr">
        <is>
          <t>QA-002</t>
        </is>
      </c>
      <c r="B52" s="73" t="n">
        <v>9</v>
      </c>
      <c r="C52" s="73" t="inlineStr">
        <is>
          <t>## Result</t>
        </is>
      </c>
    </row>
    <row r="53" ht="30" customHeight="1" s="78">
      <c r="A53" s="73" t="inlineStr">
        <is>
          <t>QA-002</t>
        </is>
      </c>
      <c r="B53" s="73" t="n">
        <v>10</v>
      </c>
      <c r="C53" s="73" t="n"/>
    </row>
    <row r="54" ht="30" customHeight="1" s="78">
      <c r="A54" s="73" t="inlineStr">
        <is>
          <t>QA-002</t>
        </is>
      </c>
      <c r="B54" s="73" t="n">
        <v>11</v>
      </c>
      <c r="C54" s="73" t="inlineStr">
        <is>
          <t>The local launcher now starts a managed backup worker. It creates a verified</t>
        </is>
      </c>
    </row>
    <row r="55" ht="30" customHeight="1" s="78">
      <c r="A55" s="73" t="inlineStr">
        <is>
          <t>QA-002</t>
        </is>
      </c>
      <c r="B55" s="73" t="n">
        <v>12</v>
      </c>
      <c r="C55" s="73" t="inlineStr">
        <is>
          <t>PostgreSQL dump immediately after startup and every 10 minutes thereafter when</t>
        </is>
      </c>
    </row>
    <row r="56" ht="30" customHeight="1" s="78">
      <c r="A56" s="73" t="inlineStr">
        <is>
          <t>QA-002</t>
        </is>
      </c>
      <c r="B56" s="73" t="n">
        <v>13</v>
      </c>
      <c r="C56" s="73" t="inlineStr">
        <is>
          <t>the database has changed. The explicit stop command terminates that worker</t>
        </is>
      </c>
    </row>
    <row r="57" ht="30" customHeight="1" s="78">
      <c r="A57" s="73" t="inlineStr">
        <is>
          <t>QA-002</t>
        </is>
      </c>
      <c r="B57" s="73" t="n">
        <v>14</v>
      </c>
      <c r="C57" s="73" t="inlineStr">
        <is>
          <t>before creating the final handoff backup and releasing the device lock.</t>
        </is>
      </c>
    </row>
    <row r="58" ht="30" customHeight="1" s="78">
      <c r="A58" s="73" t="inlineStr">
        <is>
          <t>QA-002</t>
        </is>
      </c>
      <c r="B58" s="73" t="n">
        <v>15</v>
      </c>
      <c r="C58" s="73" t="n"/>
    </row>
    <row r="59" ht="30" customHeight="1" s="78">
      <c r="A59" s="73" t="inlineStr">
        <is>
          <t>QA-002</t>
        </is>
      </c>
      <c r="B59" s="73" t="n">
        <v>16</v>
      </c>
      <c r="C59" s="73" t="inlineStr">
        <is>
          <t>Closing a browser tab does not stop local services. Therefore, automatic</t>
        </is>
      </c>
    </row>
    <row r="60" ht="30" customHeight="1" s="78">
      <c r="A60" s="73" t="inlineStr">
        <is>
          <t>QA-002</t>
        </is>
      </c>
      <c r="B60" s="73" t="n">
        <v>17</v>
      </c>
      <c r="C60" s="73" t="inlineStr">
        <is>
          <t>backups continue while the managed stack remains running, but a clean</t>
        </is>
      </c>
    </row>
    <row r="61" ht="30" customHeight="1" s="78">
      <c r="A61" s="73" t="inlineStr">
        <is>
          <t>QA-002</t>
        </is>
      </c>
      <c r="B61" s="73" t="n">
        <v>18</v>
      </c>
      <c r="C61" s="73" t="inlineStr">
        <is>
          <t>`stop-local.ps1` remains mandatory before changing computers.</t>
        </is>
      </c>
    </row>
    <row r="62" ht="30" customHeight="1" s="78">
      <c r="A62" s="73" t="inlineStr">
        <is>
          <t>QA-002</t>
        </is>
      </c>
      <c r="B62" s="73" t="n">
        <v>19</v>
      </c>
      <c r="C62" s="73" t="n"/>
    </row>
    <row r="63" ht="30" customHeight="1" s="78">
      <c r="A63" s="73" t="inlineStr">
        <is>
          <t>QA-002</t>
        </is>
      </c>
      <c r="B63" s="73" t="n">
        <v>20</v>
      </c>
      <c r="C63" s="73" t="inlineStr">
        <is>
          <t>## QA evidence</t>
        </is>
      </c>
    </row>
    <row r="64" ht="30" customHeight="1" s="78">
      <c r="A64" s="73" t="inlineStr">
        <is>
          <t>QA-002</t>
        </is>
      </c>
      <c r="B64" s="73" t="n">
        <v>21</v>
      </c>
      <c r="C64" s="73" t="n"/>
    </row>
    <row r="65" ht="30" customHeight="1" s="78">
      <c r="A65" s="73" t="inlineStr">
        <is>
          <t>QA-002</t>
        </is>
      </c>
      <c r="B65" s="73" t="n">
        <v>22</v>
      </c>
      <c r="C65" s="73" t="inlineStr">
        <is>
          <t>| Check | Evidence | Result | Remaining limitation |</t>
        </is>
      </c>
    </row>
    <row r="66" ht="30" customHeight="1" s="78">
      <c r="A66" s="73" t="inlineStr">
        <is>
          <t>QA-002</t>
        </is>
      </c>
      <c r="B66" s="73" t="n">
        <v>23</v>
      </c>
      <c r="C66" s="73" t="inlineStr">
        <is>
          <t>| --- | --- | --- | --- |</t>
        </is>
      </c>
    </row>
    <row r="67" ht="30" customHeight="1" s="78">
      <c r="A67" s="73" t="inlineStr">
        <is>
          <t>QA-002</t>
        </is>
      </c>
      <c r="B67" s="73" t="n">
        <v>24</v>
      </c>
      <c r="C67" s="73" t="inlineStr">
        <is>
          <t>| PowerShell syntax | Database module, launcher, worker, and stop scripts parsed without errors | PASS | None |</t>
        </is>
      </c>
    </row>
    <row r="68" ht="30" customHeight="1" s="78">
      <c r="A68" s="73" t="inlineStr">
        <is>
          <t>QA-002</t>
        </is>
      </c>
      <c r="B68" s="73" t="n">
        <v>25</v>
      </c>
      <c r="C68" s="73" t="inlineStr">
        <is>
          <t>| Managed worker startup | Runtime state recorded `database-backup`; worker produced a verified dump | PASS | Requires Docker PostgreSQL mode |</t>
        </is>
      </c>
    </row>
    <row r="69" ht="30" customHeight="1" s="78">
      <c r="A69" s="73" t="inlineStr">
        <is>
          <t>QA-002</t>
        </is>
      </c>
      <c r="B69" s="73" t="n">
        <v>26</v>
      </c>
      <c r="C69" s="73" t="inlineStr">
        <is>
          <t>| Scheduled cycle | One-minute test interval produced a second worker log entry | PASS | Normal default is 10 minutes |</t>
        </is>
      </c>
    </row>
    <row r="70" ht="30" customHeight="1" s="78">
      <c r="A70" s="73" t="inlineStr">
        <is>
          <t>QA-002</t>
        </is>
      </c>
      <c r="B70" s="73" t="n">
        <v>27</v>
      </c>
      <c r="C70" s="73" t="inlineStr">
        <is>
          <t>| Unchanged database | Consecutive cycle reported `Database unchanged; automatic backup skipped` | PASS | PostgreSQL-only optimization |</t>
        </is>
      </c>
    </row>
    <row r="71" ht="39.95" customHeight="1" s="78">
      <c r="A71" s="73" t="inlineStr">
        <is>
          <t>QA-002</t>
        </is>
      </c>
      <c r="B71" s="73" t="n">
        <v>28</v>
      </c>
      <c r="C71" s="73" t="inlineStr">
        <is>
          <t>| Changed database | Controlled temporary-table change produced a new dump and SHA-256 manifest | PASS | Temporary probe was removed before final backup |</t>
        </is>
      </c>
    </row>
    <row r="72" ht="30" customHeight="1" s="78">
      <c r="A72" s="73" t="inlineStr">
        <is>
          <t>QA-002</t>
        </is>
      </c>
      <c r="B72" s="73" t="n">
        <v>29</v>
      </c>
      <c r="C72" s="73" t="inlineStr">
        <is>
          <t>| Backup validation | Dump creation ran `pg_restore --list`; manifest recorded checksum, schema, system ID, and WAL position | PASS | None |</t>
        </is>
      </c>
    </row>
    <row r="73" ht="39.95" customHeight="1" s="78">
      <c r="A73" s="73" t="inlineStr">
        <is>
          <t>QA-002</t>
        </is>
      </c>
      <c r="B73" s="73" t="n">
        <v>30</v>
      </c>
      <c r="C73" s="73" t="inlineStr">
        <is>
          <t>| Clean shutdown | Worker stopped first; final verified dump was saved; state and device-lock files were removed | PASS | User must run the stop command before device handoff |</t>
        </is>
      </c>
    </row>
    <row r="74" ht="39.95" customHeight="1" s="78">
      <c r="A74" s="73" t="inlineStr">
        <is>
          <t>QA-002</t>
        </is>
      </c>
      <c r="B74" s="73" t="n">
        <v>31</v>
      </c>
      <c r="C74" s="73" t="inlineStr">
        <is>
          <t>| Active services | Backend, sandbox, frontend, and PostgreSQL started successfully; backend health returned `ok` | PASS | Browser-close detection is intentionally not used |</t>
        </is>
      </c>
    </row>
    <row r="75" ht="39.95" customHeight="1" s="78">
      <c r="A75" s="73" t="inlineStr">
        <is>
          <t>QA-002</t>
        </is>
      </c>
      <c r="B75" s="73" t="n">
        <v>32</v>
      </c>
      <c r="C75" s="73" t="inlineStr">
        <is>
          <t>| Folder consolidation | Four older August 25 backups were preserved under `local_handoff_package/history/legacy-2026-08-25`; duplicate folder removed | PASS | History remains private and ignored by Git |</t>
        </is>
      </c>
    </row>
    <row r="76" ht="39.95" customHeight="1" s="78">
      <c r="A76" s="73" t="inlineStr">
        <is>
          <t>QA-002</t>
        </is>
      </c>
      <c r="B76" s="73" t="n">
        <v>33</v>
      </c>
      <c r="C76" s="73" t="inlineStr">
        <is>
          <t>| Isolated handoff regression | Automated backup, unchanged skip, checksum rejection, device lock, same-device recovery, and simulated clean-device restore preserved all table counts | PASS | Physical second-device operation was not repeated |</t>
        </is>
      </c>
    </row>
    <row r="77" ht="39.95" customHeight="1" s="78">
      <c r="A77" s="73" t="inlineStr">
        <is>
          <t>QA-002</t>
        </is>
      </c>
      <c r="B77" s="73" t="n">
        <v>34</v>
      </c>
      <c r="C77" s="73" t="inlineStr">
        <is>
          <t>| Complete local gate | 179 backend tests, dependency check, migrations, database handoff, Flutter analysis, 50 Flutter tests, release web build, and source-safety check | PASS | Existing unrelated V5.2 working-tree changes remain uncommitted |</t>
        </is>
      </c>
    </row>
    <row r="78" ht="30" customHeight="1" s="78">
      <c r="A78" s="73" t="inlineStr">
        <is>
          <t>QA-002</t>
        </is>
      </c>
      <c r="B78" s="73" t="n">
        <v>35</v>
      </c>
      <c r="C78" s="73" t="n"/>
    </row>
    <row r="79" ht="30" customHeight="1" s="78">
      <c r="A79" s="73" t="inlineStr">
        <is>
          <t>QA-002</t>
        </is>
      </c>
      <c r="B79" s="73" t="n">
        <v>36</v>
      </c>
      <c r="C79" s="73" t="inlineStr">
        <is>
          <t>## Operator rule</t>
        </is>
      </c>
    </row>
    <row r="80" ht="30" customHeight="1" s="78">
      <c r="A80" s="73" t="inlineStr">
        <is>
          <t>QA-002</t>
        </is>
      </c>
      <c r="B80" s="73" t="n">
        <v>37</v>
      </c>
      <c r="C80" s="73" t="n"/>
    </row>
    <row r="81" ht="30" customHeight="1" s="78">
      <c r="A81" s="73" t="inlineStr">
        <is>
          <t>QA-002</t>
        </is>
      </c>
      <c r="B81" s="73" t="n">
        <v>38</v>
      </c>
      <c r="C81" s="73" t="inlineStr">
        <is>
          <t>For another computer, copy only the complete `local_handoff_package` folder.</t>
        </is>
      </c>
    </row>
    <row r="82" ht="30" customHeight="1" s="78">
      <c r="A82" s="73" t="inlineStr">
        <is>
          <t>QA-002</t>
        </is>
      </c>
      <c r="B82" s="73" t="n">
        <v>39</v>
      </c>
      <c r="C82" s="73" t="inlineStr">
        <is>
          <t>Do not copy a Python environment, Docker volume, cache, or an obsolete</t>
        </is>
      </c>
    </row>
    <row r="83" ht="30" customHeight="1" s="78">
      <c r="A83" s="73" t="inlineStr">
        <is>
          <t>QA-002</t>
        </is>
      </c>
      <c r="B83" s="73" t="n">
        <v>40</v>
      </c>
      <c r="C83" s="73" t="inlineStr">
        <is>
          <t>`local_database_backups` folder. Stop the source stack and wait for OneDrive or</t>
        </is>
      </c>
    </row>
    <row r="84" ht="30" customHeight="1" s="78">
      <c r="A84" s="73" t="inlineStr">
        <is>
          <t>QA-002</t>
        </is>
      </c>
      <c r="B84" s="73" t="n">
        <v>41</v>
      </c>
      <c r="C84" s="73" t="inlineStr">
        <is>
          <t>the copy operation to finish before starting on the destination device.</t>
        </is>
      </c>
    </row>
    <row r="85" ht="30" customHeight="1" s="78">
      <c r="A85" s="73" t="inlineStr">
        <is>
          <t>QA-002</t>
        </is>
      </c>
      <c r="B85" s="73" t="n">
        <v>42</v>
      </c>
      <c r="C85" s="73" t="n"/>
    </row>
    <row r="86" ht="30" customHeight="1" s="78">
      <c r="A86" s="73" t="inlineStr">
        <is>
          <t>QA-003</t>
        </is>
      </c>
      <c r="B86" s="73" t="n">
        <v>1</v>
      </c>
      <c r="C86" s="73" t="inlineStr">
        <is>
          <t># Unified Local Handoff Package SQA Report</t>
        </is>
      </c>
    </row>
    <row r="87" ht="30" customHeight="1" s="78">
      <c r="A87" s="73" t="inlineStr">
        <is>
          <t>QA-003</t>
        </is>
      </c>
      <c r="B87" s="73" t="n">
        <v>2</v>
      </c>
      <c r="C87" s="73" t="n"/>
    </row>
    <row r="88" ht="30" customHeight="1" s="78">
      <c r="A88" s="73" t="inlineStr">
        <is>
          <t>QA-003</t>
        </is>
      </c>
      <c r="B88" s="73" t="n">
        <v>3</v>
      </c>
      <c r="C88" s="73" t="inlineStr">
        <is>
          <t>**Date:** 2026-08-25</t>
        </is>
      </c>
    </row>
    <row r="89" ht="30" customHeight="1" s="78">
      <c r="A89" s="73" t="inlineStr">
        <is>
          <t>QA-003</t>
        </is>
      </c>
      <c r="B89" s="73" t="n">
        <v>4</v>
      </c>
      <c r="C89" s="73" t="n"/>
    </row>
    <row r="90" ht="30" customHeight="1" s="78">
      <c r="A90" s="73" t="inlineStr">
        <is>
          <t>QA-003</t>
        </is>
      </c>
      <c r="B90" s="73" t="n">
        <v>5</v>
      </c>
      <c r="C90" s="73" t="inlineStr">
        <is>
          <t>**Repository:** `CS-Ponkoj/Robotics-Programming-Lab-Staging`</t>
        </is>
      </c>
    </row>
    <row r="91" ht="30" customHeight="1" s="78">
      <c r="A91" s="73" t="inlineStr">
        <is>
          <t>QA-003</t>
        </is>
      </c>
      <c r="B91" s="73" t="n">
        <v>6</v>
      </c>
      <c r="C91" s="73" t="n"/>
    </row>
    <row r="92" ht="30" customHeight="1" s="78">
      <c r="A92" s="73" t="inlineStr">
        <is>
          <t>QA-003</t>
        </is>
      </c>
      <c r="B92" s="73" t="n">
        <v>7</v>
      </c>
      <c r="C92" s="73" t="inlineStr">
        <is>
          <t>**Branch:** `main`</t>
        </is>
      </c>
    </row>
    <row r="93" ht="30" customHeight="1" s="78">
      <c r="A93" s="73" t="inlineStr">
        <is>
          <t>QA-003</t>
        </is>
      </c>
      <c r="B93" s="73" t="n">
        <v>8</v>
      </c>
      <c r="C93" s="73" t="n"/>
    </row>
    <row r="94" ht="30" customHeight="1" s="78">
      <c r="A94" s="73" t="inlineStr">
        <is>
          <t>QA-003</t>
        </is>
      </c>
      <c r="B94" s="73" t="n">
        <v>9</v>
      </c>
      <c r="C94" s="73" t="inlineStr">
        <is>
          <t>**Tested state:** local staging candidate based on `f3789b2720376e566a0183d9cf22dda4da58df6e`</t>
        </is>
      </c>
    </row>
    <row r="95" ht="30" customHeight="1" s="78">
      <c r="A95" s="73" t="inlineStr">
        <is>
          <t>QA-003</t>
        </is>
      </c>
      <c r="B95" s="73" t="n">
        <v>10</v>
      </c>
      <c r="C95" s="73" t="n"/>
    </row>
    <row r="96" ht="30" customHeight="1" s="78">
      <c r="A96" s="73" t="inlineStr">
        <is>
          <t>QA-003</t>
        </is>
      </c>
      <c r="B96" s="73" t="n">
        <v>11</v>
      </c>
      <c r="C96" s="73" t="inlineStr">
        <is>
          <t>## Outcome</t>
        </is>
      </c>
    </row>
    <row r="97" ht="30" customHeight="1" s="78">
      <c r="A97" s="73" t="inlineStr">
        <is>
          <t>QA-003</t>
        </is>
      </c>
      <c r="B97" s="73" t="n">
        <v>12</v>
      </c>
      <c r="C97" s="73" t="n"/>
    </row>
    <row r="98" ht="30" customHeight="1" s="78">
      <c r="A98" s="73" t="inlineStr">
        <is>
          <t>QA-003</t>
        </is>
      </c>
      <c r="B98" s="73" t="n">
        <v>13</v>
      </c>
      <c r="C98" s="73" t="inlineStr">
        <is>
          <t>The project now uses one ignored folder for portable private local state:</t>
        </is>
      </c>
    </row>
    <row r="99" ht="30" customHeight="1" s="78">
      <c r="A99" s="73" t="inlineStr">
        <is>
          <t>QA-003</t>
        </is>
      </c>
      <c r="B99" s="73" t="n">
        <v>14</v>
      </c>
      <c r="C99" s="73" t="n"/>
    </row>
    <row r="100" ht="30" customHeight="1" s="78">
      <c r="A100" s="73" t="inlineStr">
        <is>
          <t>QA-003</t>
        </is>
      </c>
      <c r="B100" s="73" t="n">
        <v>15</v>
      </c>
      <c r="C100" s="73" t="inlineStr">
        <is>
          <t>```text</t>
        </is>
      </c>
    </row>
    <row r="101" ht="30" customHeight="1" s="78">
      <c r="A101" s="73" t="inlineStr">
        <is>
          <t>QA-003</t>
        </is>
      </c>
      <c r="B101" s="73" t="n">
        <v>16</v>
      </c>
      <c r="C101" s="73" t="inlineStr">
        <is>
          <t>local_handoff_package/</t>
        </is>
      </c>
    </row>
    <row r="102" ht="30" customHeight="1" s="78">
      <c r="A102" s="73" t="inlineStr">
        <is>
          <t>QA-003</t>
        </is>
      </c>
      <c r="B102" s="73" t="n">
        <v>17</v>
      </c>
      <c r="C102" s="73" t="inlineStr">
        <is>
          <t>├── .env</t>
        </is>
      </c>
    </row>
    <row r="103" ht="30" customHeight="1" s="78">
      <c r="A103" s="73" t="inlineStr">
        <is>
          <t>QA-003</t>
        </is>
      </c>
      <c r="B103" s="73" t="n">
        <v>18</v>
      </c>
      <c r="C103" s="73" t="inlineStr">
        <is>
          <t>├── latest.dump</t>
        </is>
      </c>
    </row>
    <row r="104" ht="30" customHeight="1" s="78">
      <c r="A104" s="73" t="inlineStr">
        <is>
          <t>QA-003</t>
        </is>
      </c>
      <c r="B104" s="73" t="n">
        <v>19</v>
      </c>
      <c r="C104" s="73" t="inlineStr">
        <is>
          <t>├── latest.json</t>
        </is>
      </c>
    </row>
    <row r="105" ht="30" customHeight="1" s="78">
      <c r="A105" s="73" t="inlineStr">
        <is>
          <t>QA-003</t>
        </is>
      </c>
      <c r="B105" s="73" t="n">
        <v>20</v>
      </c>
      <c r="C105" s="73" t="inlineStr">
        <is>
          <t>├── previous.dump</t>
        </is>
      </c>
    </row>
    <row r="106" ht="30" customHeight="1" s="78">
      <c r="A106" s="73" t="inlineStr">
        <is>
          <t>QA-003</t>
        </is>
      </c>
      <c r="B106" s="73" t="n">
        <v>21</v>
      </c>
      <c r="C106" s="73" t="inlineStr">
        <is>
          <t>├── previous.json</t>
        </is>
      </c>
    </row>
    <row r="107" ht="30" customHeight="1" s="78">
      <c r="A107" s="73" t="inlineStr">
        <is>
          <t>QA-003</t>
        </is>
      </c>
      <c r="B107" s="73" t="n">
        <v>22</v>
      </c>
      <c r="C107" s="73" t="inlineStr">
        <is>
          <t>└── package.json</t>
        </is>
      </c>
    </row>
    <row r="108" ht="30" customHeight="1" s="78">
      <c r="A108" s="73" t="inlineStr">
        <is>
          <t>QA-003</t>
        </is>
      </c>
      <c r="B108" s="73" t="n">
        <v>23</v>
      </c>
      <c r="C108" s="73" t="inlineStr">
        <is>
          <t>```</t>
        </is>
      </c>
    </row>
    <row r="109" ht="30" customHeight="1" s="78">
      <c r="A109" s="73" t="inlineStr">
        <is>
          <t>QA-003</t>
        </is>
      </c>
      <c r="B109" s="73" t="n">
        <v>24</v>
      </c>
      <c r="C109" s="73" t="n"/>
    </row>
    <row r="110" ht="30" customHeight="1" s="78">
      <c r="A110" s="73" t="inlineStr">
        <is>
          <t>QA-003</t>
        </is>
      </c>
      <c r="B110" s="73" t="n">
        <v>25</v>
      </c>
      <c r="C110" s="73" t="inlineStr">
        <is>
          <t>The backend reads `.env` from this folder directly. The local PostgreSQL</t>
        </is>
      </c>
    </row>
    <row r="111" ht="30" customHeight="1" s="78">
      <c r="A111" s="73" t="inlineStr">
        <is>
          <t>QA-003</t>
        </is>
      </c>
      <c r="B111" s="73" t="n">
        <v>26</v>
      </c>
      <c r="C111" s="73" t="inlineStr">
        <is>
          <t>launcher restores from it and every clean stop saves back to it. No second</t>
        </is>
      </c>
    </row>
    <row r="112" ht="30" customHeight="1" s="78">
      <c r="A112" s="73" t="inlineStr">
        <is>
          <t>QA-003</t>
        </is>
      </c>
      <c r="B112" s="73" t="n">
        <v>27</v>
      </c>
      <c r="C112" s="73" t="inlineStr">
        <is>
          <t>`backend/.env`, nested `database/`, nested `private/`, clone-local database</t>
        </is>
      </c>
    </row>
    <row r="113" ht="30" customHeight="1" s="78">
      <c r="A113" s="73" t="inlineStr">
        <is>
          <t>QA-003</t>
        </is>
      </c>
      <c r="B113" s="73" t="n">
        <v>28</v>
      </c>
      <c r="C113" s="73" t="inlineStr">
        <is>
          <t>folder, or shared OneDrive database folder is used.</t>
        </is>
      </c>
    </row>
    <row r="114" ht="30" customHeight="1" s="78">
      <c r="A114" s="73" t="inlineStr">
        <is>
          <t>QA-003</t>
        </is>
      </c>
      <c r="B114" s="73" t="n">
        <v>29</v>
      </c>
      <c r="C114" s="73" t="n"/>
    </row>
    <row r="115" ht="30" customHeight="1" s="78">
      <c r="A115" s="73" t="inlineStr">
        <is>
          <t>QA-003</t>
        </is>
      </c>
      <c r="B115" s="73" t="n">
        <v>30</v>
      </c>
      <c r="C115" s="73" t="inlineStr">
        <is>
          <t>The active database dump was checksum-verified before consolidation. Obsolete</t>
        </is>
      </c>
    </row>
    <row r="116" ht="30" customHeight="1" s="78">
      <c r="A116" s="73" t="inlineStr">
        <is>
          <t>QA-003</t>
        </is>
      </c>
      <c r="B116" s="73" t="n">
        <v>31</v>
      </c>
      <c r="C116" s="73" t="inlineStr">
        <is>
          <t>copies were moved, not destroyed, to:</t>
        </is>
      </c>
    </row>
    <row r="117" ht="30" customHeight="1" s="78">
      <c r="A117" s="73" t="inlineStr">
        <is>
          <t>QA-003</t>
        </is>
      </c>
      <c r="B117" s="73" t="n">
        <v>32</v>
      </c>
      <c r="C117" s="73" t="n"/>
    </row>
    <row r="118" ht="30" customHeight="1" s="78">
      <c r="A118" s="73" t="inlineStr">
        <is>
          <t>QA-003</t>
        </is>
      </c>
      <c r="B118" s="73" t="n">
        <v>33</v>
      </c>
      <c r="C118" s="73" t="inlineStr">
        <is>
          <t>```text</t>
        </is>
      </c>
    </row>
    <row r="119" ht="30" customHeight="1" s="78">
      <c r="A119" s="73" t="inlineStr">
        <is>
          <t>QA-003</t>
        </is>
      </c>
      <c r="B119" s="73" t="n">
        <v>34</v>
      </c>
      <c r="C119" s="73" t="inlineStr">
        <is>
          <t>C:\Users\cspon\AppData\Local\RoboticsProgrammingLab\legacy-data-layouts\2026-08-25-unified-package</t>
        </is>
      </c>
    </row>
    <row r="120" ht="30" customHeight="1" s="78">
      <c r="A120" s="73" t="inlineStr">
        <is>
          <t>QA-003</t>
        </is>
      </c>
      <c r="B120" s="73" t="n">
        <v>35</v>
      </c>
      <c r="C120" s="73" t="inlineStr">
        <is>
          <t>```</t>
        </is>
      </c>
    </row>
    <row r="121" ht="30" customHeight="1" s="78">
      <c r="A121" s="73" t="inlineStr">
        <is>
          <t>QA-003</t>
        </is>
      </c>
      <c r="B121" s="73" t="n">
        <v>36</v>
      </c>
      <c r="C121" s="73" t="n"/>
    </row>
    <row r="122" ht="30" customHeight="1" s="78">
      <c r="A122" s="73" t="inlineStr">
        <is>
          <t>QA-003</t>
        </is>
      </c>
      <c r="B122" s="73" t="n">
        <v>37</v>
      </c>
      <c r="C122" s="73" t="inlineStr">
        <is>
          <t>## Verification results</t>
        </is>
      </c>
    </row>
    <row r="123" ht="30" customHeight="1" s="78">
      <c r="A123" s="73" t="inlineStr">
        <is>
          <t>QA-003</t>
        </is>
      </c>
      <c r="B123" s="73" t="n">
        <v>38</v>
      </c>
      <c r="C123" s="73" t="n"/>
    </row>
    <row r="124" ht="30" customHeight="1" s="78">
      <c r="A124" s="73" t="inlineStr">
        <is>
          <t>QA-003</t>
        </is>
      </c>
      <c r="B124" s="73" t="n">
        <v>39</v>
      </c>
      <c r="C124" s="73" t="inlineStr">
        <is>
          <t>| Requirement | Test | Result | Evidence or limitation |</t>
        </is>
      </c>
    </row>
    <row r="125" ht="30" customHeight="1" s="78">
      <c r="A125" s="73" t="inlineStr">
        <is>
          <t>QA-003</t>
        </is>
      </c>
      <c r="B125" s="73" t="n">
        <v>40</v>
      </c>
      <c r="C125" s="73" t="inlineStr">
        <is>
          <t>| --- | --- | --- | --- |</t>
        </is>
      </c>
    </row>
    <row r="126" ht="30" customHeight="1" s="78">
      <c r="A126" s="73" t="inlineStr">
        <is>
          <t>QA-003</t>
        </is>
      </c>
      <c r="B126" s="73" t="n">
        <v>41</v>
      </c>
      <c r="C126" s="73" t="inlineStr">
        <is>
          <t>| One active private-data folder | Resolved database and config paths | PASS | Both equal repository `local_handoff_package` |</t>
        </is>
      </c>
    </row>
    <row r="127" ht="39.95" customHeight="1" s="78">
      <c r="A127" s="73" t="inlineStr">
        <is>
          <t>QA-003</t>
        </is>
      </c>
      <c r="B127" s="73" t="n">
        <v>42</v>
      </c>
      <c r="C127" s="73" t="inlineStr">
        <is>
          <t>| No duplicate active paths | Filesystem inspection after migration | PASS | Old four locations absent; recovery copies are outside OneDrive in quarantine |</t>
        </is>
      </c>
    </row>
    <row r="128" ht="30" customHeight="1" s="78">
      <c r="A128" s="73" t="inlineStr">
        <is>
          <t>QA-003</t>
        </is>
      </c>
      <c r="B128" s="73" t="n">
        <v>43</v>
      </c>
      <c r="C128" s="73" t="inlineStr">
        <is>
          <t>| Database integrity | SHA-256 compared with `latest.json` | PASS | Hash matched before and after runtime stop |</t>
        </is>
      </c>
    </row>
    <row r="129" ht="39.95" customHeight="1" s="78">
      <c r="A129" s="73" t="inlineStr">
        <is>
          <t>QA-003</t>
        </is>
      </c>
      <c r="B129" s="73" t="n">
        <v>44</v>
      </c>
      <c r="C129" s="73" t="inlineStr">
        <is>
          <t>| Private config integrity | Root `.env` compared with former backend file before quarantine | PASS | SHA-256 matched; contents were not printed |</t>
        </is>
      </c>
    </row>
    <row r="130" ht="30" customHeight="1" s="78">
      <c r="A130" s="73" t="inlineStr">
        <is>
          <t>QA-003</t>
        </is>
      </c>
      <c r="B130" s="73" t="n">
        <v>45</v>
      </c>
      <c r="C130" s="73" t="inlineStr">
        <is>
          <t>| Direct config loading | Focused backend test | PASS | `ROBOTICS_ENV_FILE` selected the requested file |</t>
        </is>
      </c>
    </row>
    <row r="131" ht="30" customHeight="1" s="78">
      <c r="A131" s="73" t="inlineStr">
        <is>
          <t>QA-003</t>
        </is>
      </c>
      <c r="B131" s="73" t="n">
        <v>46</v>
      </c>
      <c r="C131" s="73" t="inlineStr">
        <is>
          <t>| Incomplete backup protection | Removed one member of a temporary pair | PASS | Resolver rejected the incomplete pair |</t>
        </is>
      </c>
    </row>
    <row r="132" ht="39.95" customHeight="1" s="78">
      <c r="A132" s="73" t="inlineStr">
        <is>
          <t>QA-003</t>
        </is>
      </c>
      <c r="B132" s="73" t="n">
        <v>47</v>
      </c>
      <c r="C132" s="73" t="inlineStr">
        <is>
          <t>| Fresh-clone handoff | Clone, apply candidate, copy package, setup, detect | PASS | Clone used package directly and did not create `backend/.env` |</t>
        </is>
      </c>
    </row>
    <row r="133" ht="30" customHeight="1" s="78">
      <c r="A133" s="73" t="inlineStr">
        <is>
          <t>QA-003</t>
        </is>
      </c>
      <c r="B133" s="73" t="n">
        <v>48</v>
      </c>
      <c r="C133" s="73" t="inlineStr">
        <is>
          <t>| First-time setup | Normal `setup-local.ps1` | PASS | Python 3.14.7, Docker Compose, and Flutter detected |</t>
        </is>
      </c>
    </row>
    <row r="134" ht="30" customHeight="1" s="78">
      <c r="A134" s="73" t="inlineStr">
        <is>
          <t>QA-003</t>
        </is>
      </c>
      <c r="B134" s="73" t="n">
        <v>49</v>
      </c>
      <c r="C134" s="73" t="inlineStr">
        <is>
          <t>| Backend regression | Full test suite | PASS | 175 tests passed |</t>
        </is>
      </c>
    </row>
    <row r="135" ht="30" customHeight="1" s="78">
      <c r="A135" s="73" t="inlineStr">
        <is>
          <t>QA-003</t>
        </is>
      </c>
      <c r="B135" s="73" t="n">
        <v>50</v>
      </c>
      <c r="C135" s="73" t="inlineStr">
        <is>
          <t>| Dependency integrity | `pip check` | PASS | No broken requirements |</t>
        </is>
      </c>
    </row>
    <row r="136" ht="30" customHeight="1" s="78">
      <c r="A136" s="73" t="inlineStr">
        <is>
          <t>QA-003</t>
        </is>
      </c>
      <c r="B136" s="73" t="n">
        <v>51</v>
      </c>
      <c r="C136" s="73" t="inlineStr">
        <is>
          <t>| Database migration and recovery | Isolated Docker handoff test | PASS | All 183 rows preserved across every application table |</t>
        </is>
      </c>
    </row>
    <row r="137" ht="30" customHeight="1" s="78">
      <c r="A137" s="73" t="inlineStr">
        <is>
          <t>QA-003</t>
        </is>
      </c>
      <c r="B137" s="73" t="n">
        <v>52</v>
      </c>
      <c r="C137" s="73" t="inlineStr">
        <is>
          <t>| Flutter analysis | Analyzer | PASS | No issues found |</t>
        </is>
      </c>
    </row>
    <row r="138" ht="30" customHeight="1" s="78">
      <c r="A138" s="73" t="inlineStr">
        <is>
          <t>QA-003</t>
        </is>
      </c>
      <c r="B138" s="73" t="n">
        <v>53</v>
      </c>
      <c r="C138" s="73" t="inlineStr">
        <is>
          <t>| Flutter regression | Widget and state tests | PASS | 49 tests passed |</t>
        </is>
      </c>
    </row>
    <row r="139" ht="30" customHeight="1" s="78">
      <c r="A139" s="73" t="inlineStr">
        <is>
          <t>QA-003</t>
        </is>
      </c>
      <c r="B139" s="73" t="n">
        <v>54</v>
      </c>
      <c r="C139" s="73" t="inlineStr">
        <is>
          <t>| Flutter release build | OneDrive-safe release build | PASS | Web build completed |</t>
        </is>
      </c>
    </row>
    <row r="140" ht="30" customHeight="1" s="78">
      <c r="A140" s="73" t="inlineStr">
        <is>
          <t>QA-003</t>
        </is>
      </c>
      <c r="B140" s="73" t="n">
        <v>55</v>
      </c>
      <c r="C140" s="73" t="inlineStr">
        <is>
          <t>| Local runtime startup | Supported launcher | PASS | Frontend, FastAPI, sandbox, and PostgreSQL became ready |</t>
        </is>
      </c>
    </row>
    <row r="141" ht="30" customHeight="1" s="78">
      <c r="A141" s="73" t="inlineStr">
        <is>
          <t>QA-003</t>
        </is>
      </c>
      <c r="B141" s="73" t="n">
        <v>56</v>
      </c>
      <c r="C141" s="73" t="inlineStr">
        <is>
          <t>| Runtime service health | HTTP checks | PASS | Frontend 200; backend and sandbox status `ok` |</t>
        </is>
      </c>
    </row>
    <row r="142" ht="39.95" customHeight="1" s="78">
      <c r="A142" s="73" t="inlineStr">
        <is>
          <t>QA-003</t>
        </is>
      </c>
      <c r="B142" s="73" t="n">
        <v>57</v>
      </c>
      <c r="C142" s="73" t="inlineStr">
        <is>
          <t>| Rendered login and student UI | In-app browser at local frontend | PASS | Login card rendered; student login showed six assignment cards and saved progress |</t>
        </is>
      </c>
    </row>
    <row r="143" ht="39.95" customHeight="1" s="78">
      <c r="A143" s="73" t="inlineStr">
        <is>
          <t>QA-003</t>
        </is>
      </c>
      <c r="B143" s="73" t="n">
        <v>58</v>
      </c>
      <c r="C143" s="73" t="inlineStr">
        <is>
          <t>| Rendered instructor UI | In-app browser at local frontend | PASS | Assignment studio showed six published assignments; research dashboard rendered |</t>
        </is>
      </c>
    </row>
    <row r="144" ht="30" customHeight="1" s="78">
      <c r="A144" s="73" t="inlineStr">
        <is>
          <t>QA-003</t>
        </is>
      </c>
      <c r="B144" s="73" t="n">
        <v>59</v>
      </c>
      <c r="C144" s="73" t="inlineStr">
        <is>
          <t>| Browser console | Warning/error inspection | PASS | No application error; one known Dart debug-runtime warning only |</t>
        </is>
      </c>
    </row>
    <row r="145" ht="39.95" customHeight="1" s="78">
      <c r="A145" s="73" t="inlineStr">
        <is>
          <t>QA-003</t>
        </is>
      </c>
      <c r="B145" s="73" t="n">
        <v>60</v>
      </c>
      <c r="C145" s="73" t="inlineStr">
        <is>
          <t>| Student and instructor access | Real local API login and role endpoints | PASS | Both demo roles authenticated; wrong password returned 401; student admin access returned 403 |</t>
        </is>
      </c>
    </row>
    <row r="146" ht="30" customHeight="1" s="78">
      <c r="A146" s="73" t="inlineStr">
        <is>
          <t>QA-003</t>
        </is>
      </c>
      <c r="B146" s="73" t="n">
        <v>61</v>
      </c>
      <c r="C146" s="73" t="inlineStr">
        <is>
          <t>| Six assignment discovery | Authenticated assignments API | PASS | IDs 1 through 6 returned |</t>
        </is>
      </c>
    </row>
    <row r="147" ht="30" customHeight="1" s="78">
      <c r="A147" s="73" t="inlineStr">
        <is>
          <t>QA-003</t>
        </is>
      </c>
      <c r="B147" s="73" t="n">
        <v>62</v>
      </c>
      <c r="C147" s="73" t="inlineStr">
        <is>
          <t>| Clean shutdown | Supported stop script | PASS | Dump refreshed, checksum valid, device lock absent |</t>
        </is>
      </c>
    </row>
    <row r="148" ht="30" customHeight="1" s="78">
      <c r="A148" s="73" t="inlineStr">
        <is>
          <t>QA-003</t>
        </is>
      </c>
      <c r="B148" s="73" t="n">
        <v>63</v>
      </c>
      <c r="C148" s="73" t="inlineStr">
        <is>
          <t>| ROS 2 Assignment 5 | Real Jazzy grader image | PASS | 7/7 checks; observed command topic behavior |</t>
        </is>
      </c>
    </row>
    <row r="149" ht="30" customHeight="1" s="78">
      <c r="A149" s="73" t="inlineStr">
        <is>
          <t>QA-003</t>
        </is>
      </c>
      <c r="B149" s="73" t="n">
        <v>64</v>
      </c>
      <c r="C149" s="73" t="inlineStr">
        <is>
          <t>| ROS 2 Assignment 6 | Real Jazzy grader image | PASS | 9/9 checks; observed obstacle-stop behavior |</t>
        </is>
      </c>
    </row>
    <row r="150" ht="30" customHeight="1" s="78">
      <c r="A150" s="73" t="inlineStr">
        <is>
          <t>QA-003</t>
        </is>
      </c>
      <c r="B150" s="73" t="n">
        <v>65</v>
      </c>
      <c r="C150" s="73" t="inlineStr">
        <is>
          <t>| Docker Compose configuration | `docker compose config --quiet` | PASS | Configuration parsed successfully |</t>
        </is>
      </c>
    </row>
    <row r="151" ht="39.95" customHeight="1" s="78">
      <c r="A151" s="73" t="inlineStr">
        <is>
          <t>QA-003</t>
        </is>
      </c>
      <c r="B151" s="73" t="n">
        <v>66</v>
      </c>
      <c r="C151" s="73" t="inlineStr">
        <is>
          <t>| Physical second computer | Run on an actual laptop or lab computer | NOT RUN | Automated fresh-clone rehearsal passed; physical-device acceptance remains |</t>
        </is>
      </c>
    </row>
    <row r="152" ht="39.95" customHeight="1" s="78">
      <c r="A152" s="73" t="inlineStr">
        <is>
          <t>QA-003</t>
        </is>
      </c>
      <c r="B152" s="73" t="n">
        <v>67</v>
      </c>
      <c r="C152" s="73" t="inlineStr">
        <is>
          <t>| Excel SQA workbook refresh | Required spreadsheet artifact runtime | BLOCKED | Runtime was unavailable in this session; Markdown report is current |</t>
        </is>
      </c>
    </row>
    <row r="153" ht="30" customHeight="1" s="78">
      <c r="A153" s="73" t="inlineStr">
        <is>
          <t>QA-003</t>
        </is>
      </c>
      <c r="B153" s="73" t="n">
        <v>68</v>
      </c>
      <c r="C153" s="73" t="n"/>
    </row>
    <row r="154" ht="30" customHeight="1" s="78">
      <c r="A154" s="73" t="inlineStr">
        <is>
          <t>QA-003</t>
        </is>
      </c>
      <c r="B154" s="73" t="n">
        <v>69</v>
      </c>
      <c r="C154" s="73" t="inlineStr">
        <is>
          <t>## Defects found and fixed during this pass</t>
        </is>
      </c>
    </row>
    <row r="155" ht="30" customHeight="1" s="78">
      <c r="A155" s="73" t="inlineStr">
        <is>
          <t>QA-003</t>
        </is>
      </c>
      <c r="B155" s="73" t="n">
        <v>70</v>
      </c>
      <c r="C155" s="73" t="n"/>
    </row>
    <row r="156" ht="30" customHeight="1" s="78">
      <c r="A156" s="73" t="inlineStr">
        <is>
          <t>QA-003</t>
        </is>
      </c>
      <c r="B156" s="73" t="n">
        <v>71</v>
      </c>
      <c r="C156" s="73" t="inlineStr">
        <is>
          <t>| Defect | Root cause | Fix | Retest |</t>
        </is>
      </c>
    </row>
    <row r="157" ht="30" customHeight="1" s="78">
      <c r="A157" s="73" t="inlineStr">
        <is>
          <t>QA-003</t>
        </is>
      </c>
      <c r="B157" s="73" t="n">
        <v>72</v>
      </c>
      <c r="C157" s="73" t="inlineStr">
        <is>
          <t>| --- | --- | --- | --- |</t>
        </is>
      </c>
    </row>
    <row r="158" ht="39.95" customHeight="1" s="78">
      <c r="A158" s="73" t="inlineStr">
        <is>
          <t>QA-003</t>
        </is>
      </c>
      <c r="B158" s="73" t="n">
        <v>73</v>
      </c>
      <c r="C158" s="73" t="inlineStr">
        <is>
          <t>| Database lock regression test failed | Updated error wording no longer contained the stable phrase recognized by the test | Restored the stable phrase and kept package-specific recovery guidance | Isolated database handoff test passed |</t>
        </is>
      </c>
    </row>
    <row r="159" ht="39.95" customHeight="1" s="78">
      <c r="A159" s="73" t="inlineStr">
        <is>
          <t>QA-003</t>
        </is>
      </c>
      <c r="B159" s="73" t="n">
        <v>74</v>
      </c>
      <c r="C159" s="73" t="inlineStr">
        <is>
          <t>| Launcher failed after services started | A forced PowerShell module import removed an exported helper before a late status lookup | Resolve the package path once before importing the database module | Full launcher start, health checks, and clean stop passed |</t>
        </is>
      </c>
    </row>
    <row r="160" ht="30" customHeight="1" s="78">
      <c r="A160" s="73" t="inlineStr">
        <is>
          <t>QA-003</t>
        </is>
      </c>
      <c r="B160" s="73" t="n">
        <v>75</v>
      </c>
      <c r="C160" s="73" t="n"/>
    </row>
    <row r="161" ht="30" customHeight="1" s="78">
      <c r="A161" s="73" t="inlineStr">
        <is>
          <t>QA-003</t>
        </is>
      </c>
      <c r="B161" s="73" t="n">
        <v>76</v>
      </c>
      <c r="C161" s="73" t="inlineStr">
        <is>
          <t>## Security and operating limits</t>
        </is>
      </c>
    </row>
    <row r="162" ht="30" customHeight="1" s="78">
      <c r="A162" s="73" t="inlineStr">
        <is>
          <t>QA-003</t>
        </is>
      </c>
      <c r="B162" s="73" t="n">
        <v>77</v>
      </c>
      <c r="C162" s="73" t="n"/>
    </row>
    <row r="163" ht="30" customHeight="1" s="78">
      <c r="A163" s="73" t="inlineStr">
        <is>
          <t>QA-003</t>
        </is>
      </c>
      <c r="B163" s="73" t="n">
        <v>78</v>
      </c>
      <c r="C163" s="73" t="inlineStr">
        <is>
          <t>- The package is ignored by Git but unencrypted. It can contain API keys,</t>
        </is>
      </c>
    </row>
    <row r="164" ht="30" customHeight="1" s="78">
      <c r="A164" s="73" t="inlineStr">
        <is>
          <t>QA-003</t>
        </is>
      </c>
      <c r="B164" s="73" t="n">
        <v>79</v>
      </c>
      <c r="C164" s="73" t="inlineStr">
        <is>
          <t xml:space="preserve">  password hashes, student work, analytics, and research records.</t>
        </is>
      </c>
    </row>
    <row r="165" ht="30" customHeight="1" s="78">
      <c r="A165" s="73" t="inlineStr">
        <is>
          <t>QA-003</t>
        </is>
      </c>
      <c r="B165" s="73" t="n">
        <v>80</v>
      </c>
      <c r="C165" s="73" t="inlineStr">
        <is>
          <t>- Never commit, email, publicly share, or leave a populated package on an</t>
        </is>
      </c>
    </row>
    <row r="166" ht="30" customHeight="1" s="78">
      <c r="A166" s="73" t="inlineStr">
        <is>
          <t>QA-003</t>
        </is>
      </c>
      <c r="B166" s="73" t="n">
        <v>81</v>
      </c>
      <c r="C166" s="73" t="inlineStr">
        <is>
          <t xml:space="preserve">  untrusted lab computer.</t>
        </is>
      </c>
    </row>
    <row r="167" ht="30" customHeight="1" s="78">
      <c r="A167" s="73" t="inlineStr">
        <is>
          <t>QA-003</t>
        </is>
      </c>
      <c r="B167" s="73" t="n">
        <v>82</v>
      </c>
      <c r="C167" s="73" t="inlineStr">
        <is>
          <t>- PostgreSQL's live Docker volume remains computer-local. Copy only the complete</t>
        </is>
      </c>
    </row>
    <row r="168" ht="30" customHeight="1" s="78">
      <c r="A168" s="73" t="inlineStr">
        <is>
          <t>QA-003</t>
        </is>
      </c>
      <c r="B168" s="73" t="n">
        <v>83</v>
      </c>
      <c r="C168" s="73" t="inlineStr">
        <is>
          <t xml:space="preserve">  stopped package between devices.</t>
        </is>
      </c>
    </row>
    <row r="169" ht="30" customHeight="1" s="78">
      <c r="A169" s="73" t="inlineStr">
        <is>
          <t>QA-003</t>
        </is>
      </c>
      <c r="B169" s="73" t="n">
        <v>84</v>
      </c>
      <c r="C169" s="73" t="inlineStr">
        <is>
          <t>- Sequential handoff is supported. Simultaneous use of the same synchronized</t>
        </is>
      </c>
    </row>
    <row r="170" ht="30" customHeight="1" s="78">
      <c r="A170" s="73" t="inlineStr">
        <is>
          <t>QA-003</t>
        </is>
      </c>
      <c r="B170" s="73" t="n">
        <v>85</v>
      </c>
      <c r="C170" s="73" t="inlineStr">
        <is>
          <t xml:space="preserve">  package is not supported.</t>
        </is>
      </c>
    </row>
    <row r="171" ht="30" customHeight="1" s="78">
      <c r="A171" s="73" t="inlineStr">
        <is>
          <t>QA-003</t>
        </is>
      </c>
      <c r="B171" s="73" t="n">
        <v>86</v>
      </c>
      <c r="C171" s="73" t="inlineStr">
        <is>
          <t>- This local package is not a replacement for encrypted institutional backup or</t>
        </is>
      </c>
    </row>
    <row r="172" ht="30" customHeight="1" s="78">
      <c r="A172" s="73" t="inlineStr">
        <is>
          <t>QA-003</t>
        </is>
      </c>
      <c r="B172" s="73" t="n">
        <v>87</v>
      </c>
      <c r="C172" s="73" t="inlineStr">
        <is>
          <t xml:space="preserve">  approved research-data governance.</t>
        </is>
      </c>
    </row>
    <row r="173" ht="30" customHeight="1" s="78">
      <c r="A173" s="73" t="inlineStr">
        <is>
          <t>QA-003</t>
        </is>
      </c>
      <c r="B173" s="73" t="n">
        <v>88</v>
      </c>
      <c r="C173" s="73" t="n"/>
    </row>
    <row r="174" ht="30" customHeight="1" s="78">
      <c r="A174" s="73" t="inlineStr">
        <is>
          <t>QA-003</t>
        </is>
      </c>
      <c r="B174" s="73" t="n">
        <v>89</v>
      </c>
      <c r="C174" s="73" t="inlineStr">
        <is>
          <t>## Publication state</t>
        </is>
      </c>
    </row>
    <row r="175" ht="30" customHeight="1" s="78">
      <c r="A175" s="73" t="inlineStr">
        <is>
          <t>QA-003</t>
        </is>
      </c>
      <c r="B175" s="73" t="n">
        <v>90</v>
      </c>
      <c r="C175" s="73" t="n"/>
    </row>
    <row r="176" ht="30" customHeight="1" s="78">
      <c r="A176" s="73" t="inlineStr">
        <is>
          <t>QA-003</t>
        </is>
      </c>
      <c r="B176" s="73" t="n">
        <v>91</v>
      </c>
      <c r="C176" s="73" t="inlineStr">
        <is>
          <t>The implementation is verified in the canonical local staging checkout but is</t>
        </is>
      </c>
    </row>
    <row r="177" ht="30" customHeight="1" s="78">
      <c r="A177" s="73" t="inlineStr">
        <is>
          <t>QA-003</t>
        </is>
      </c>
      <c r="B177" s="73" t="n">
        <v>92</v>
      </c>
      <c r="C177" s="73" t="inlineStr">
        <is>
          <t>not committed or pushed by this report. A Git publication requires separate</t>
        </is>
      </c>
    </row>
    <row r="178" ht="30" customHeight="1" s="78">
      <c r="A178" s="73" t="inlineStr">
        <is>
          <t>QA-003</t>
        </is>
      </c>
      <c r="B178" s="73" t="n">
        <v>93</v>
      </c>
      <c r="C178" s="73" t="inlineStr">
        <is>
          <t>explicit authorization.</t>
        </is>
      </c>
    </row>
    <row r="179" ht="30" customHeight="1" s="78">
      <c r="A179" s="73" t="inlineStr">
        <is>
          <t>QA-003</t>
        </is>
      </c>
      <c r="B179" s="73" t="n">
        <v>94</v>
      </c>
      <c r="C179" s="73" t="n"/>
    </row>
    <row r="180" ht="30" customHeight="1" s="78">
      <c r="A180" s="73" t="inlineStr">
        <is>
          <t>QA-004</t>
        </is>
      </c>
      <c r="B180" s="73" t="n">
        <v>1</v>
      </c>
      <c r="C180" s="73" t="inlineStr">
        <is>
          <t># Course content library — staging QA</t>
        </is>
      </c>
    </row>
    <row r="181" ht="30" customHeight="1" s="78">
      <c r="A181" s="73" t="inlineStr">
        <is>
          <t>QA-004</t>
        </is>
      </c>
      <c r="B181" s="73" t="n">
        <v>2</v>
      </c>
      <c r="C181" s="73" t="n"/>
    </row>
    <row r="182" ht="30" customHeight="1" s="78">
      <c r="A182" s="73" t="inlineStr">
        <is>
          <t>QA-004</t>
        </is>
      </c>
      <c r="B182" s="73" t="n">
        <v>3</v>
      </c>
      <c r="C182" s="73" t="inlineStr">
        <is>
          <t>Scope: Windows local staging verification only; hosted deployment was not tested.</t>
        </is>
      </c>
    </row>
    <row r="183" ht="30" customHeight="1" s="78">
      <c r="A183" s="73" t="inlineStr">
        <is>
          <t>QA-004</t>
        </is>
      </c>
      <c r="B183" s="73" t="n">
        <v>4</v>
      </c>
      <c r="C183" s="73" t="inlineStr">
        <is>
          <t>Tested source commit: `6a3992d` (`v6`).</t>
        </is>
      </c>
    </row>
    <row r="184" ht="30" customHeight="1" s="78">
      <c r="A184" s="73" t="inlineStr">
        <is>
          <t>QA-004</t>
        </is>
      </c>
      <c r="B184" s="73" t="n">
        <v>5</v>
      </c>
      <c r="C184" s="73" t="n"/>
    </row>
    <row r="185" ht="30" customHeight="1" s="78">
      <c r="A185" s="73" t="inlineStr">
        <is>
          <t>QA-004</t>
        </is>
      </c>
      <c r="B185" s="73" t="n">
        <v>6</v>
      </c>
      <c r="C185" s="73" t="inlineStr">
        <is>
          <t>## Scope</t>
        </is>
      </c>
    </row>
    <row r="186" ht="30" customHeight="1" s="78">
      <c r="A186" s="73" t="inlineStr">
        <is>
          <t>QA-004</t>
        </is>
      </c>
      <c r="B186" s="73" t="n">
        <v>7</v>
      </c>
      <c r="C186" s="73" t="n"/>
    </row>
    <row r="187" ht="30" customHeight="1" s="78">
      <c r="A187" s="73" t="inlineStr">
        <is>
          <t>QA-004</t>
        </is>
      </c>
      <c r="B187" s="73" t="n">
        <v>8</v>
      </c>
      <c r="C187" s="73" t="inlineStr">
        <is>
          <t>- Six topic pages generated from the six `course_materials/content` folders.</t>
        </is>
      </c>
    </row>
    <row r="188" ht="30" customHeight="1" s="78">
      <c r="A188" s="73" t="inlineStr">
        <is>
          <t>QA-004</t>
        </is>
      </c>
      <c r="B188" s="73" t="n">
        <v>9</v>
      </c>
      <c r="C188" s="73" t="inlineStr">
        <is>
          <t>- 34 student-facing sections: six lessons, 20 question-only exercise groups,</t>
        </is>
      </c>
    </row>
    <row r="189" ht="30" customHeight="1" s="78">
      <c r="A189" s="73" t="inlineStr">
        <is>
          <t>QA-004</t>
        </is>
      </c>
      <c r="B189" s="73" t="n">
        <v>10</v>
      </c>
      <c r="C189" s="73" t="inlineStr">
        <is>
          <t xml:space="preserve">  six quizzes, and two math-practice sections. Each topic has one 10-question</t>
        </is>
      </c>
    </row>
    <row r="190" ht="30" customHeight="1" s="78">
      <c r="A190" s="73" t="inlineStr">
        <is>
          <t>QA-004</t>
        </is>
      </c>
      <c r="B190" s="73" t="n">
        <v>11</v>
      </c>
      <c r="C190" s="73" t="inlineStr">
        <is>
          <t xml:space="preserve">  quiz; Python exercise files are not shown.</t>
        </is>
      </c>
    </row>
    <row r="191" ht="30" customHeight="1" s="78">
      <c r="A191" s="73" t="inlineStr">
        <is>
          <t>QA-004</t>
        </is>
      </c>
      <c r="B191" s="73" t="n">
        <v>12</v>
      </c>
      <c r="C191" s="73" t="inlineStr">
        <is>
          <t>- Diagrams are served as separate web images. The `References` folders,</t>
        </is>
      </c>
    </row>
    <row r="192" ht="30" customHeight="1" s="78">
      <c r="A192" s="73" t="inlineStr">
        <is>
          <t>QA-004</t>
        </is>
      </c>
      <c r="B192" s="73" t="n">
        <v>13</v>
      </c>
      <c r="C192" s="73" t="inlineStr">
        <is>
          <t xml:space="preserve">  official solution files, worked-answer blocks, and quiz answer keys are not</t>
        </is>
      </c>
    </row>
    <row r="193" ht="30" customHeight="1" s="78">
      <c r="A193" s="73" t="inlineStr">
        <is>
          <t>QA-004</t>
        </is>
      </c>
      <c r="B193" s="73" t="n">
        <v>14</v>
      </c>
      <c r="C193" s="73" t="inlineStr">
        <is>
          <t xml:space="preserve">  returned as student pages. Quiz keys are read only by the backend.</t>
        </is>
      </c>
    </row>
    <row r="194" ht="30" customHeight="1" s="78">
      <c r="A194" s="73" t="inlineStr">
        <is>
          <t>QA-004</t>
        </is>
      </c>
      <c r="B194" s="73" t="n">
        <v>15</v>
      </c>
      <c r="C194" s="73" t="inlineStr">
        <is>
          <t>- Complete-quiz submission shows a score. Persistent student quiz attempts are</t>
        </is>
      </c>
    </row>
    <row r="195" ht="30" customHeight="1" s="78">
      <c r="A195" s="73" t="inlineStr">
        <is>
          <t>QA-004</t>
        </is>
      </c>
      <c r="B195" s="73" t="n">
        <v>16</v>
      </c>
      <c r="C195" s="73" t="inlineStr">
        <is>
          <t xml:space="preserve">  saved separately from graded coding assignments. Demo and instructor quiz</t>
        </is>
      </c>
    </row>
    <row r="196" ht="30" customHeight="1" s="78">
      <c r="A196" s="73" t="inlineStr">
        <is>
          <t>QA-004</t>
        </is>
      </c>
      <c r="B196" s="73" t="n">
        <v>17</v>
      </c>
      <c r="C196" s="73" t="inlineStr">
        <is>
          <t xml:space="preserve">  previews never create quiz-attempt rows.</t>
        </is>
      </c>
    </row>
    <row r="197" ht="30" customHeight="1" s="78">
      <c r="A197" s="73" t="inlineStr">
        <is>
          <t>QA-004</t>
        </is>
      </c>
      <c r="B197" s="73" t="n">
        <v>18</v>
      </c>
      <c r="C197" s="73" t="n"/>
    </row>
    <row r="198" ht="30" customHeight="1" s="78">
      <c r="A198" s="73" t="inlineStr">
        <is>
          <t>QA-004</t>
        </is>
      </c>
      <c r="B198" s="73" t="n">
        <v>19</v>
      </c>
      <c r="C198" s="73" t="inlineStr">
        <is>
          <t>## Checks</t>
        </is>
      </c>
    </row>
    <row r="199" ht="30" customHeight="1" s="78">
      <c r="A199" s="73" t="inlineStr">
        <is>
          <t>QA-004</t>
        </is>
      </c>
      <c r="B199" s="73" t="n">
        <v>20</v>
      </c>
      <c r="C199" s="73" t="n"/>
    </row>
    <row r="200" ht="30" customHeight="1" s="78">
      <c r="A200" s="73" t="inlineStr">
        <is>
          <t>QA-004</t>
        </is>
      </c>
      <c r="B200" s="73" t="n">
        <v>21</v>
      </c>
      <c r="C200" s="73" t="inlineStr">
        <is>
          <t>| Check | Result | Evidence |</t>
        </is>
      </c>
    </row>
    <row r="201" ht="30" customHeight="1" s="78">
      <c r="A201" s="73" t="inlineStr">
        <is>
          <t>QA-004</t>
        </is>
      </c>
      <c r="B201" s="73" t="n">
        <v>22</v>
      </c>
      <c r="C201" s="73" t="inlineStr">
        <is>
          <t>| --- | --- | --- |</t>
        </is>
      </c>
    </row>
    <row r="202" ht="30" customHeight="1" s="78">
      <c r="A202" s="73" t="inlineStr">
        <is>
          <t>QA-004</t>
        </is>
      </c>
      <c r="B202" s="73" t="n">
        <v>23</v>
      </c>
      <c r="C202" s="73" t="inlineStr">
        <is>
          <t>| Authenticated access; six topics; all sections | Pass | `backend/tests/test_course_content.py` |</t>
        </is>
      </c>
    </row>
    <row r="203" ht="30" customHeight="1" s="78">
      <c r="A203" s="73" t="inlineStr">
        <is>
          <t>QA-004</t>
        </is>
      </c>
      <c r="B203" s="73" t="n">
        <v>24</v>
      </c>
      <c r="C203" s="73" t="inlineStr">
        <is>
          <t>| Quiz submit, 100% and 0% scores, rejected incomplete and invalid answers | Pass | `backend/tests/test_course_content.py` |</t>
        </is>
      </c>
    </row>
    <row r="204" ht="30" customHeight="1" s="78">
      <c r="A204" s="73" t="inlineStr">
        <is>
          <t>QA-004</t>
        </is>
      </c>
      <c r="B204" s="73" t="n">
        <v>25</v>
      </c>
      <c r="C204" s="73" t="inlineStr">
        <is>
          <t>| Student-private history, restart persistence, demo non-persistence | Pass | `backend/tests/test_course_content.py` with disposable database |</t>
        </is>
      </c>
    </row>
    <row r="205" ht="30" customHeight="1" s="78">
      <c r="A205" s="73" t="inlineStr">
        <is>
          <t>QA-004</t>
        </is>
      </c>
      <c r="B205" s="73" t="n">
        <v>26</v>
      </c>
      <c r="C205" s="73" t="inlineStr">
        <is>
          <t>| Exercise and math pages omit answer headings | Pass | Generated-page scan and backend test |</t>
        </is>
      </c>
    </row>
    <row r="206" ht="30" customHeight="1" s="78">
      <c r="A206" s="73" t="inlineStr">
        <is>
          <t>QA-004</t>
        </is>
      </c>
      <c r="B206" s="73" t="n">
        <v>27</v>
      </c>
      <c r="C206" s="73" t="inlineStr">
        <is>
          <t>| Lesson images load | Pass | Backend asset test and local browser diagram view |</t>
        </is>
      </c>
    </row>
    <row r="207" ht="30" customHeight="1" s="78">
      <c r="A207" s="73" t="inlineStr">
        <is>
          <t>QA-004</t>
        </is>
      </c>
      <c r="B207" s="73" t="n">
        <v>28</v>
      </c>
      <c r="C207" s="73" t="inlineStr">
        <is>
          <t>| Student navigation and course page | Pass | Isolated local browser with temporary in-memory database |</t>
        </is>
      </c>
    </row>
    <row r="208" ht="30" customHeight="1" s="78">
      <c r="A208" s="73" t="inlineStr">
        <is>
          <t>QA-004</t>
        </is>
      </c>
      <c r="B208" s="73" t="n">
        <v>29</v>
      </c>
      <c r="C208" s="73" t="inlineStr">
        <is>
          <t>| UTF-8 symbols and punctuation | Pass | Local browser recheck after client fix |</t>
        </is>
      </c>
    </row>
    <row r="209" ht="30" customHeight="1" s="78">
      <c r="A209" s="73" t="inlineStr">
        <is>
          <t>QA-004</t>
        </is>
      </c>
      <c r="B209" s="73" t="n">
        <v>30</v>
      </c>
      <c r="C209" s="73" t="inlineStr">
        <is>
          <t>| Mobile-width topic navigation and score-after-submit behavior | Pass | Flutter widget test at 390-pixel width |</t>
        </is>
      </c>
    </row>
    <row r="210" ht="30" customHeight="1" s="78">
      <c r="A210" s="73" t="inlineStr">
        <is>
          <t>QA-004</t>
        </is>
      </c>
      <c r="B210" s="73" t="n">
        <v>31</v>
      </c>
      <c r="C210" s="73" t="inlineStr">
        <is>
          <t>| Fresh/upgrade/rollback migration | Pass | `backend/tests/test_migrations.py` |</t>
        </is>
      </c>
    </row>
    <row r="211" ht="39.95" customHeight="1" s="78">
      <c r="A211" s="73" t="inlineStr">
        <is>
          <t>QA-004</t>
        </is>
      </c>
      <c r="B211" s="73" t="n">
        <v>32</v>
      </c>
      <c r="C211" s="73" t="inlineStr">
        <is>
          <t>| Full backend regression, dependency/compile validation, Flutter analysis/tests/release build, source completeness, and service health | Pass | `./scripts/verify-local.ps1 -ApiBaseUrl http://127.0.0.1:5100` on the Windows staging checkout |</t>
        </is>
      </c>
    </row>
    <row r="212" ht="30" customHeight="1" s="78">
      <c r="A212" s="73" t="inlineStr">
        <is>
          <t>QA-004</t>
        </is>
      </c>
      <c r="B212" s="73" t="n">
        <v>33</v>
      </c>
      <c r="C212" s="73" t="inlineStr">
        <is>
          <t>| Hosted deployment | Not run | No hosted deployment was performed |</t>
        </is>
      </c>
    </row>
    <row r="213" ht="30" customHeight="1" s="78">
      <c r="A213" s="73" t="inlineStr">
        <is>
          <t>QA-004</t>
        </is>
      </c>
      <c r="B213" s="73" t="n">
        <v>34</v>
      </c>
      <c r="C213" s="73" t="n"/>
    </row>
    <row r="214" ht="30" customHeight="1" s="78">
      <c r="A214" s="73" t="inlineStr">
        <is>
          <t>QA-004</t>
        </is>
      </c>
      <c r="B214" s="73" t="n">
        <v>35</v>
      </c>
      <c r="C214" s="73" t="inlineStr">
        <is>
          <t>## Issues found and fixed during QA</t>
        </is>
      </c>
    </row>
    <row r="215" ht="30" customHeight="1" s="78">
      <c r="A215" s="73" t="inlineStr">
        <is>
          <t>QA-004</t>
        </is>
      </c>
      <c r="B215" s="73" t="n">
        <v>36</v>
      </c>
      <c r="C215" s="73" t="n"/>
    </row>
    <row r="216" ht="30" customHeight="1" s="78">
      <c r="A216" s="73" t="inlineStr">
        <is>
          <t>QA-004</t>
        </is>
      </c>
      <c r="B216" s="73" t="n">
        <v>37</v>
      </c>
      <c r="C216" s="73" t="inlineStr">
        <is>
          <t>1. Some Word math-practice answers survived the first importer pass. The</t>
        </is>
      </c>
    </row>
    <row r="217" ht="30" customHeight="1" s="78">
      <c r="A217" s="73" t="inlineStr">
        <is>
          <t>QA-004</t>
        </is>
      </c>
      <c r="B217" s="73" t="n">
        <v>38</v>
      </c>
      <c r="C217" s="73" t="inlineStr">
        <is>
          <t xml:space="preserve">   importer now tracks actual paragraph elements and removes answer blocks.</t>
        </is>
      </c>
    </row>
    <row r="218" ht="30" customHeight="1" s="78">
      <c r="A218" s="73" t="inlineStr">
        <is>
          <t>QA-004</t>
        </is>
      </c>
      <c r="B218" s="73" t="n">
        <v>39</v>
      </c>
      <c r="C218" s="73" t="inlineStr">
        <is>
          <t>2. One exercise document contained a worked `Solution` section. All exercise</t>
        </is>
      </c>
    </row>
    <row r="219" ht="30" customHeight="1" s="78">
      <c r="A219" s="73" t="inlineStr">
        <is>
          <t>QA-004</t>
        </is>
      </c>
      <c r="B219" s="73" t="n">
        <v>40</v>
      </c>
      <c r="C219" s="73" t="inlineStr">
        <is>
          <t xml:space="preserve">   documents now strip answer/solution blocks; a regression test checks this.</t>
        </is>
      </c>
    </row>
    <row r="220" ht="30" customHeight="1" s="78">
      <c r="A220" s="73" t="inlineStr">
        <is>
          <t>QA-004</t>
        </is>
      </c>
      <c r="B220" s="73" t="n">
        <v>41</v>
      </c>
      <c r="C220" s="73" t="inlineStr">
        <is>
          <t>3. The Flutter HTTP client decoded UTF-8 lesson text as Latin-1. It now decodes</t>
        </is>
      </c>
    </row>
    <row r="221" ht="30" customHeight="1" s="78">
      <c r="A221" s="73" t="inlineStr">
        <is>
          <t>QA-004</t>
        </is>
      </c>
      <c r="B221" s="73" t="n">
        <v>42</v>
      </c>
      <c r="C221" s="73" t="inlineStr">
        <is>
          <t xml:space="preserve">   response bytes explicitly as UTF-8, preserving quotes and math symbols.</t>
        </is>
      </c>
    </row>
    <row r="222" ht="30" customHeight="1" s="78">
      <c r="A222" s="73" t="inlineStr">
        <is>
          <t>QA-004</t>
        </is>
      </c>
      <c r="B222" s="73" t="n">
        <v>43</v>
      </c>
      <c r="C222" s="73" t="inlineStr">
        <is>
          <t>4. Exercises initially displayed Python starter files. The generator now emits</t>
        </is>
      </c>
    </row>
    <row r="223" ht="30" customHeight="1" s="78">
      <c r="A223" s="73" t="inlineStr">
        <is>
          <t>QA-004</t>
        </is>
      </c>
      <c r="B223" s="73" t="n">
        <v>44</v>
      </c>
      <c r="C223" s="73" t="inlineStr">
        <is>
          <t xml:space="preserve">   only question/instruction documents and scenarios, while leaving source</t>
        </is>
      </c>
    </row>
    <row r="224" ht="30" customHeight="1" s="78">
      <c r="A224" s="73" t="inlineStr">
        <is>
          <t>QA-004</t>
        </is>
      </c>
      <c r="B224" s="73" t="n">
        <v>45</v>
      </c>
      <c r="C224" s="73" t="inlineStr">
        <is>
          <t xml:space="preserve">   Python files untouched in `course_materials/`.</t>
        </is>
      </c>
    </row>
    <row r="225" ht="30" customHeight="1" s="78">
      <c r="A225" s="73" t="inlineStr">
        <is>
          <t>QA-004</t>
        </is>
      </c>
      <c r="B225" s="73" t="n">
        <v>46</v>
      </c>
      <c r="C225" s="73" t="n"/>
    </row>
    <row r="226" ht="30" customHeight="1" s="78">
      <c r="A226" s="73" t="inlineStr">
        <is>
          <t>QA-004</t>
        </is>
      </c>
      <c r="B226" s="73" t="n">
        <v>47</v>
      </c>
      <c r="C226" s="73" t="inlineStr">
        <is>
          <t>## Remaining review</t>
        </is>
      </c>
    </row>
    <row r="227" ht="30" customHeight="1" s="78">
      <c r="A227" s="73" t="inlineStr">
        <is>
          <t>QA-004</t>
        </is>
      </c>
      <c r="B227" s="73" t="n">
        <v>48</v>
      </c>
      <c r="C227" s="73" t="n"/>
    </row>
    <row r="228" ht="30" customHeight="1" s="78">
      <c r="A228" s="73" t="inlineStr">
        <is>
          <t>QA-004</t>
        </is>
      </c>
      <c r="B228" s="73" t="n">
        <v>49</v>
      </c>
      <c r="C228" s="73" t="inlineStr">
        <is>
          <t>Four topics had no quiz in the source documents, so 40 new questions were</t>
        </is>
      </c>
    </row>
    <row r="229" ht="30" customHeight="1" s="78">
      <c r="A229" s="73" t="inlineStr">
        <is>
          <t>QA-004</t>
        </is>
      </c>
      <c r="B229" s="73" t="n">
        <v>50</v>
      </c>
      <c r="C229" s="73" t="inlineStr">
        <is>
          <t>authored from the associated lessons. The two existing 10-question quizzes</t>
        </is>
      </c>
    </row>
    <row r="230" ht="30" customHeight="1" s="78">
      <c r="A230" s="73" t="inlineStr">
        <is>
          <t>QA-004</t>
        </is>
      </c>
      <c r="B230" s="73" t="n">
        <v>51</v>
      </c>
      <c r="C230" s="73" t="inlineStr">
        <is>
          <t>remain sourced from course documents. An instructor should review all question</t>
        </is>
      </c>
    </row>
    <row r="231" ht="30" customHeight="1" s="78">
      <c r="A231" s="73" t="inlineStr">
        <is>
          <t>QA-004</t>
        </is>
      </c>
      <c r="B231" s="73" t="n">
        <v>52</v>
      </c>
      <c r="C231" s="73" t="inlineStr">
        <is>
          <t>wording, answer keys, source teaching claims, and copyright permissions before</t>
        </is>
      </c>
    </row>
    <row r="232" ht="30" customHeight="1" s="78">
      <c r="A232" s="73" t="inlineStr">
        <is>
          <t>QA-004</t>
        </is>
      </c>
      <c r="B232" s="73" t="n">
        <v>53</v>
      </c>
      <c r="C232" s="73" t="inlineStr">
        <is>
          <t>classroom use. The pre-existing local moves of PDFs into `References` were</t>
        </is>
      </c>
    </row>
    <row r="233" ht="30" customHeight="1" s="78">
      <c r="A233" s="73" t="inlineStr">
        <is>
          <t>QA-004</t>
        </is>
      </c>
      <c r="B233" s="73" t="n">
        <v>54</v>
      </c>
      <c r="C233" s="73" t="inlineStr">
        <is>
          <t>preserved and are not part of this change.</t>
        </is>
      </c>
    </row>
    <row r="234" ht="30" customHeight="1" s="78">
      <c r="A234" s="73" t="inlineStr">
        <is>
          <t>QA-004</t>
        </is>
      </c>
      <c r="B234" s="73" t="n">
        <v>55</v>
      </c>
      <c r="C234" s="73" t="n"/>
    </row>
    <row r="235" ht="30" customHeight="1" s="78">
      <c r="A235" s="73" t="inlineStr">
        <is>
          <t>QA-004</t>
        </is>
      </c>
      <c r="B235" s="73" t="n">
        <v>56</v>
      </c>
      <c r="C235" s="73" t="inlineStr">
        <is>
          <t>## Quiz follow-up verification — September 28, 2026</t>
        </is>
      </c>
    </row>
    <row r="236" ht="30" customHeight="1" s="78">
      <c r="A236" s="73" t="inlineStr">
        <is>
          <t>QA-004</t>
        </is>
      </c>
      <c r="B236" s="73" t="n">
        <v>57</v>
      </c>
      <c r="C236" s="73" t="n"/>
    </row>
    <row r="237" ht="30" customHeight="1" s="78">
      <c r="A237" s="73" t="inlineStr">
        <is>
          <t>QA-004</t>
        </is>
      </c>
      <c r="B237" s="73" t="n">
        <v>58</v>
      </c>
      <c r="C237" s="73" t="inlineStr">
        <is>
          <t>Environment: Windows staging checkout, follow-up working-tree changes against</t>
        </is>
      </c>
    </row>
    <row r="238" ht="30" customHeight="1" s="78">
      <c r="A238" s="73" t="inlineStr">
        <is>
          <t>QA-004</t>
        </is>
      </c>
      <c r="B238" s="73" t="n">
        <v>59</v>
      </c>
      <c r="C238" s="73" t="inlineStr">
        <is>
          <t>`831f5cd`; disposable PostgreSQL 17 and isolated browser preview. Shared Neon</t>
        </is>
      </c>
    </row>
    <row r="239" ht="30" customHeight="1" s="78">
      <c r="A239" s="73" t="inlineStr">
        <is>
          <t>QA-004</t>
        </is>
      </c>
      <c r="B239" s="73" t="n">
        <v>60</v>
      </c>
      <c r="C239" s="73" t="inlineStr">
        <is>
          <t>and live deployment were not modified. The normal local launcher applies</t>
        </is>
      </c>
    </row>
    <row r="240" ht="30" customHeight="1" s="78">
      <c r="A240" s="73" t="inlineStr">
        <is>
          <t>QA-004</t>
        </is>
      </c>
      <c r="B240" s="73" t="n">
        <v>61</v>
      </c>
      <c r="C240" s="73" t="inlineStr">
        <is>
          <t>`0006_course_quiz_attempts` on restart.</t>
        </is>
      </c>
    </row>
    <row r="241" ht="30" customHeight="1" s="78">
      <c r="A241" s="73" t="inlineStr">
        <is>
          <t>QA-004</t>
        </is>
      </c>
      <c r="B241" s="73" t="n">
        <v>62</v>
      </c>
      <c r="C241" s="73" t="n"/>
    </row>
    <row r="242" ht="30" customHeight="1" s="78">
      <c r="A242" s="73" t="inlineStr">
        <is>
          <t>QA-004</t>
        </is>
      </c>
      <c r="B242" s="73" t="n">
        <v>63</v>
      </c>
      <c r="C242" s="73" t="inlineStr">
        <is>
          <t>| Check | Result | Evidence |</t>
        </is>
      </c>
    </row>
    <row r="243" ht="30" customHeight="1" s="78">
      <c r="A243" s="73" t="inlineStr">
        <is>
          <t>QA-004</t>
        </is>
      </c>
      <c r="B243" s="73" t="n">
        <v>64</v>
      </c>
      <c r="C243" s="73" t="inlineStr">
        <is>
          <t>| --- | --- | --- |</t>
        </is>
      </c>
    </row>
    <row r="244" ht="30" customHeight="1" s="78">
      <c r="A244" s="73" t="inlineStr">
        <is>
          <t>QA-004</t>
        </is>
      </c>
      <c r="B244" s="73" t="n">
        <v>65</v>
      </c>
      <c r="C244" s="73" t="inlineStr">
        <is>
          <t>| All six quizzes at 0%, 50%, and 100% | Pass | API assertions in disposable PostgreSQL and course-content regression tests |</t>
        </is>
      </c>
    </row>
    <row r="245" ht="39.95" customHeight="1" s="78">
      <c r="A245" s="73" t="inlineStr">
        <is>
          <t>QA-004</t>
        </is>
      </c>
      <c r="B245" s="73" t="n">
        <v>66</v>
      </c>
      <c r="C245" s="73" t="inlineStr">
        <is>
          <t>| Populated migration, restart persistence, student isolation, rollback/re-upgrade | Pass | Disposable PostgreSQL verification; migration regression tests |</t>
        </is>
      </c>
    </row>
    <row r="246" ht="39.95" customHeight="1" s="78">
      <c r="A246" s="73" t="inlineStr">
        <is>
          <t>QA-004</t>
        </is>
      </c>
      <c r="B246" s="73" t="n">
        <v>67</v>
      </c>
      <c r="C246" s="73" t="inlineStr">
        <is>
          <t>| Browser submission and saved history | Pass | Path Planning: 100% in initial isolated test; 50% with five right/five wrong using PostgreSQL; saved score remains after reopening |</t>
        </is>
      </c>
    </row>
    <row r="247" ht="30" customHeight="1" s="78">
      <c r="A247" s="73" t="inlineStr">
        <is>
          <t>QA-004</t>
        </is>
      </c>
      <c r="B247" s="73" t="n">
        <v>68</v>
      </c>
      <c r="C247" s="73" t="inlineStr">
        <is>
          <t>| Keyboard answer selection and submission | Pass | Browser radio controls selected with Space; submit with Enter |</t>
        </is>
      </c>
    </row>
    <row r="248" ht="30" customHeight="1" s="78">
      <c r="A248" s="73" t="inlineStr">
        <is>
          <t>QA-004</t>
        </is>
      </c>
      <c r="B248" s="73" t="n">
        <v>69</v>
      </c>
      <c r="C248" s="73" t="inlineStr">
        <is>
          <t>| Demo and instructor preview do not save student attempts | Pass | Course-content regression tests |</t>
        </is>
      </c>
    </row>
    <row r="249" ht="39.95" customHeight="1" s="78">
      <c r="A249" s="73" t="inlineStr">
        <is>
          <t>QA-004</t>
        </is>
      </c>
      <c r="B249" s="73" t="n">
        <v>70</v>
      </c>
      <c r="C249" s="73" t="inlineStr">
        <is>
          <t>| Flutter regression, analysis, release build, dependency integrity | Pass | 77 widget/unit tests; no analyzer issues; release web build; `pip check` |</t>
        </is>
      </c>
    </row>
    <row r="250" ht="39.95" customHeight="1" s="78">
      <c r="A250" s="73" t="inlineStr">
        <is>
          <t>QA-004</t>
        </is>
      </c>
      <c r="B250" s="73" t="n">
        <v>71</v>
      </c>
      <c r="C250" s="73" t="inlineStr">
        <is>
          <t>| Final full backend rerun | Fail | 206 passed, 7 failed because maintained answers were moved from `manual_sqa_answers/` to untracked `assignments_answers/` during verification; tests still reference the old path |</t>
        </is>
      </c>
    </row>
    <row r="251" ht="30" customHeight="1" s="78">
      <c r="A251" s="73" t="inlineStr">
        <is>
          <t>QA-004</t>
        </is>
      </c>
      <c r="B251" s="73" t="n">
        <v>72</v>
      </c>
      <c r="C251" s="73" t="inlineStr">
        <is>
          <t>| Shared Neon migration and hosted validation | Not run | No shared/live database mutation or deployment in this follow-up |</t>
        </is>
      </c>
    </row>
    <row r="252" ht="30" customHeight="1" s="78">
      <c r="A252" s="73" t="inlineStr">
        <is>
          <t>QA-004</t>
        </is>
      </c>
      <c r="B252" s="73" t="n">
        <v>73</v>
      </c>
      <c r="C252" s="73" t="n"/>
    </row>
    <row r="253" ht="30" customHeight="1" s="78">
      <c r="A253" s="73" t="inlineStr">
        <is>
          <t>QA-004</t>
        </is>
      </c>
      <c r="B253" s="73" t="n">
        <v>74</v>
      </c>
      <c r="C253" s="73" t="inlineStr">
        <is>
          <t>The unrelated answer-folder move was preserved. Do not claim a complete release</t>
        </is>
      </c>
    </row>
    <row r="254" ht="30" customHeight="1" s="78">
      <c r="A254" s="73" t="inlineStr">
        <is>
          <t>QA-004</t>
        </is>
      </c>
      <c r="B254" s="73" t="n">
        <v>75</v>
      </c>
      <c r="C254" s="73" t="inlineStr">
        <is>
          <t>gate until the owner confirms that rename and its dependent paths are updated,</t>
        </is>
      </c>
    </row>
    <row r="255" ht="30" customHeight="1" s="78">
      <c r="A255" s="73" t="inlineStr">
        <is>
          <t>QA-004</t>
        </is>
      </c>
      <c r="B255" s="73" t="n">
        <v>76</v>
      </c>
      <c r="C255" s="73" t="inlineStr">
        <is>
          <t>then reruns the full suite. A transient 401 occurred in the disposable</t>
        </is>
      </c>
    </row>
    <row r="256" ht="30" customHeight="1" s="78">
      <c r="A256" s="73" t="inlineStr">
        <is>
          <t>QA-004</t>
        </is>
      </c>
      <c r="B256" s="73" t="n">
        <v>77</v>
      </c>
      <c r="C256" s="73" t="inlineStr">
        <is>
          <t>in-memory browser setup; it was not reproduced in the PostgreSQL browser</t>
        </is>
      </c>
    </row>
    <row r="257" ht="30" customHeight="1" s="78">
      <c r="A257" s="73" t="inlineStr">
        <is>
          <t>QA-004</t>
        </is>
      </c>
      <c r="B257" s="73" t="n">
        <v>78</v>
      </c>
      <c r="C257" s="73" t="inlineStr">
        <is>
          <t>recheck. Temporary QA services/database were stopped and discarded; actual</t>
        </is>
      </c>
    </row>
    <row r="258" ht="30" customHeight="1" s="78">
      <c r="A258" s="73" t="inlineStr">
        <is>
          <t>QA-004</t>
        </is>
      </c>
      <c r="B258" s="73" t="n">
        <v>79</v>
      </c>
      <c r="C258" s="73" t="inlineStr">
        <is>
          <t>study data was untouched.</t>
        </is>
      </c>
    </row>
    <row r="259" ht="30" customHeight="1" s="78">
      <c r="A259" s="73" t="inlineStr">
        <is>
          <t>QA-004</t>
        </is>
      </c>
      <c r="B259" s="73" t="n">
        <v>80</v>
      </c>
      <c r="C259" s="73" t="n"/>
    </row>
    <row r="260" ht="30" customHeight="1" s="78">
      <c r="A260" s="73" t="inlineStr">
        <is>
          <t>QA-004</t>
        </is>
      </c>
      <c r="B260" s="73" t="n">
        <v>81</v>
      </c>
      <c r="C260" s="73" t="inlineStr">
        <is>
          <t>## Content-card quiz progress — September 28, 2026</t>
        </is>
      </c>
    </row>
    <row r="261" ht="30" customHeight="1" s="78">
      <c r="A261" s="73" t="inlineStr">
        <is>
          <t>QA-004</t>
        </is>
      </c>
      <c r="B261" s="73" t="n">
        <v>82</v>
      </c>
      <c r="C261" s="73" t="n"/>
    </row>
    <row r="262" ht="30" customHeight="1" s="78">
      <c r="A262" s="73" t="inlineStr">
        <is>
          <t>QA-004</t>
        </is>
      </c>
      <c r="B262" s="73" t="n">
        <v>83</v>
      </c>
      <c r="C262" s="73" t="inlineStr">
        <is>
          <t>Course cards now display latest and best scores, current-version attempt count,</t>
        </is>
      </c>
    </row>
    <row r="263" ht="30" customHeight="1" s="78">
      <c r="A263" s="73" t="inlineStr">
        <is>
          <t>QA-004</t>
        </is>
      </c>
      <c r="B263" s="73" t="n">
        <v>84</v>
      </c>
      <c r="C263" s="73" t="inlineStr">
        <is>
          <t>submission status, and a score-colored bar. Returning from a topic reloads the</t>
        </is>
      </c>
    </row>
    <row r="264" ht="30" customHeight="1" s="78">
      <c r="A264" s="73" t="inlineStr">
        <is>
          <t>QA-004</t>
        </is>
      </c>
      <c r="B264" s="73" t="n">
        <v>85</v>
      </c>
      <c r="C264" s="73" t="inlineStr">
        <is>
          <t>catalog. Old quiz versions do not contribute to the current card. Demo progress</t>
        </is>
      </c>
    </row>
    <row r="265" ht="30" customHeight="1" s="78">
      <c r="A265" s="73" t="inlineStr">
        <is>
          <t>QA-004</t>
        </is>
      </c>
      <c r="B265" s="73" t="n">
        <v>86</v>
      </c>
      <c r="C265" s="73" t="inlineStr">
        <is>
          <t>is session-memory-only, labeled temporary, and isolated between demo sessions;</t>
        </is>
      </c>
    </row>
    <row r="266" ht="30" customHeight="1" s="78">
      <c r="A266" s="73" t="inlineStr">
        <is>
          <t>QA-004</t>
        </is>
      </c>
      <c r="B266" s="73" t="n">
        <v>87</v>
      </c>
      <c r="C266" s="73" t="inlineStr">
        <is>
          <t>instructor previews do not create student progress.</t>
        </is>
      </c>
    </row>
    <row r="267" ht="30" customHeight="1" s="78">
      <c r="A267" s="73" t="inlineStr">
        <is>
          <t>QA-004</t>
        </is>
      </c>
      <c r="B267" s="73" t="n">
        <v>88</v>
      </c>
      <c r="C267" s="73" t="n"/>
    </row>
    <row r="268" ht="30" customHeight="1" s="78">
      <c r="A268" s="73" t="inlineStr">
        <is>
          <t>QA-004</t>
        </is>
      </c>
      <c r="B268" s="73" t="n">
        <v>89</v>
      </c>
      <c r="C268" s="73" t="inlineStr">
        <is>
          <t>| Check | Result | Evidence |</t>
        </is>
      </c>
    </row>
    <row r="269" ht="30" customHeight="1" s="78">
      <c r="A269" s="73" t="inlineStr">
        <is>
          <t>QA-004</t>
        </is>
      </c>
      <c r="B269" s="73" t="n">
        <v>90</v>
      </c>
      <c r="C269" s="73" t="inlineStr">
        <is>
          <t>|---|---|---|</t>
        </is>
      </c>
    </row>
    <row r="270" ht="30" customHeight="1" s="78">
      <c r="A270" s="73" t="inlineStr">
        <is>
          <t>QA-004</t>
        </is>
      </c>
      <c r="B270" s="73" t="n">
        <v>91</v>
      </c>
      <c r="C270" s="73" t="inlineStr">
        <is>
          <t>| Course API regression | PASS | 9 tests; current-version latest/best/count, student isolation, and demo isolation/non-persistence |</t>
        </is>
      </c>
    </row>
    <row r="271" ht="30" customHeight="1" s="78">
      <c r="A271" s="73" t="inlineStr">
        <is>
          <t>QA-004</t>
        </is>
      </c>
      <c r="B271" s="73" t="n">
        <v>92</v>
      </c>
      <c r="C271" s="73" t="inlineStr">
        <is>
          <t>| Flutter analysis and tests | PASS | No analyzer issues; 78 tests, including mobile catalog and zero-score presentation |</t>
        </is>
      </c>
    </row>
    <row r="272" ht="30" customHeight="1" s="78">
      <c r="A272" s="73" t="inlineStr">
        <is>
          <t>QA-004</t>
        </is>
      </c>
      <c r="B272" s="73" t="n">
        <v>93</v>
      </c>
      <c r="C272" s="73" t="inlineStr">
        <is>
          <t>| Release web build | PASS | OneDrive-safe build using the normal backend address, http://127.0.0.1:5100 |</t>
        </is>
      </c>
    </row>
    <row r="273" ht="39.95" customHeight="1" s="78">
      <c r="A273" s="73" t="inlineStr">
        <is>
          <t>QA-004</t>
        </is>
      </c>
      <c r="B273" s="73" t="n">
        <v>94</v>
      </c>
      <c r="C273" s="73" t="inlineStr">
        <is>
          <t>| Manual browser and shared Neon verification | NOT RUN | This follow-up used automated API/widget tests; the normal running stack was not restarted or its database modified |</t>
        </is>
      </c>
    </row>
    <row r="274" ht="30" customHeight="1" s="78">
      <c r="A274" s="73" t="inlineStr">
        <is>
          <t>QA-004</t>
        </is>
      </c>
      <c r="B274" s="73" t="n">
        <v>95</v>
      </c>
      <c r="C274" s="73" t="n"/>
    </row>
    <row r="275" ht="30" customHeight="1" s="78">
      <c r="A275" s="73" t="inlineStr">
        <is>
          <t>QA-004</t>
        </is>
      </c>
      <c r="B275" s="73" t="n">
        <v>96</v>
      </c>
      <c r="C275" s="73" t="inlineStr">
        <is>
          <t>No schema change was added for card progress. No commit, push, or deployment was</t>
        </is>
      </c>
    </row>
    <row r="276" ht="30" customHeight="1" s="78">
      <c r="A276" s="73" t="inlineStr">
        <is>
          <t>QA-004</t>
        </is>
      </c>
      <c r="B276" s="73" t="n">
        <v>97</v>
      </c>
      <c r="C276" s="73" t="inlineStr">
        <is>
          <t>performed. Existing answer-folder rename/full-suite blocker above is unchanged.</t>
        </is>
      </c>
    </row>
    <row r="277" ht="30" customHeight="1" s="78">
      <c r="A277" s="73" t="inlineStr">
        <is>
          <t>QA-004</t>
        </is>
      </c>
      <c r="B277" s="73" t="n">
        <v>98</v>
      </c>
      <c r="C277" s="73" t="n"/>
    </row>
    <row r="278" ht="30" customHeight="1" s="78">
      <c r="A278" s="73" t="inlineStr">
        <is>
          <t>QA-004</t>
        </is>
      </c>
      <c r="B278" s="73" t="n">
        <v>99</v>
      </c>
      <c r="C278" s="73" t="inlineStr">
        <is>
          <t>### Consistent progress badges on every card</t>
        </is>
      </c>
    </row>
    <row r="279" ht="30" customHeight="1" s="78">
      <c r="A279" s="73" t="inlineStr">
        <is>
          <t>QA-004</t>
        </is>
      </c>
      <c r="B279" s="73" t="n">
        <v>100</v>
      </c>
      <c r="C279" s="73" t="n"/>
    </row>
    <row r="280" ht="30" customHeight="1" s="78">
      <c r="A280" s="73" t="inlineStr">
        <is>
          <t>QA-004</t>
        </is>
      </c>
      <c r="B280" s="73" t="n">
        <v>101</v>
      </c>
      <c r="C280" s="73" t="inlineStr">
        <is>
          <t>Every course card now always displays `Attempted: N`, `Best score`, and</t>
        </is>
      </c>
    </row>
    <row r="281" ht="30" customHeight="1" s="78">
      <c r="A281" s="73" t="inlineStr">
        <is>
          <t>QA-004</t>
        </is>
      </c>
      <c r="B281" s="73" t="n">
        <v>102</v>
      </c>
      <c r="C281" s="73" t="inlineStr">
        <is>
          <t>`Last score` in rounded assignment-style badges. Missing scores use a neutral</t>
        </is>
      </c>
    </row>
    <row r="282" ht="30" customHeight="1" s="78">
      <c r="A282" s="73" t="inlineStr">
        <is>
          <t>QA-004</t>
        </is>
      </c>
      <c r="B282" s="73" t="n">
        <v>103</v>
      </c>
      <c r="C282" s="73" t="inlineStr">
        <is>
          <t>dash, not a false 0%; submitted zero scores remain red 0%. Best and last badges</t>
        </is>
      </c>
    </row>
    <row r="283" ht="30" customHeight="1" s="78">
      <c r="A283" s="73" t="inlineStr">
        <is>
          <t>QA-004</t>
        </is>
      </c>
      <c r="B283" s="73" t="n">
        <v>104</v>
      </c>
      <c r="C283" s="73" t="inlineStr">
        <is>
          <t>are colored independently using the existing red-to-green performance palette.</t>
        </is>
      </c>
    </row>
    <row r="284" ht="30" customHeight="1" s="78">
      <c r="A284" s="73" t="inlineStr">
        <is>
          <t>QA-004</t>
        </is>
      </c>
      <c r="B284" s="73" t="n">
        <v>105</v>
      </c>
      <c r="C284" s="73" t="inlineStr">
        <is>
          <t>Focused course widget tests: 3 passed, including all five unstarted cards,</t>
        </is>
      </c>
    </row>
    <row r="285" ht="30" customHeight="1" s="78">
      <c r="A285" s="73" t="inlineStr">
        <is>
          <t>QA-004</t>
        </is>
      </c>
      <c r="B285" s="73" t="n">
        <v>106</v>
      </c>
      <c r="C285" s="73" t="inlineStr">
        <is>
          <t>submitted progress, zero-score distinction, and mobile-width layout. Flutter</t>
        </is>
      </c>
    </row>
    <row r="286" ht="30" customHeight="1" s="78">
      <c r="A286" s="73" t="inlineStr">
        <is>
          <t>QA-004</t>
        </is>
      </c>
      <c r="B286" s="73" t="n">
        <v>107</v>
      </c>
      <c r="C286" s="73" t="inlineStr">
        <is>
          <t>analysis passed. This visual follow-up does not change grading or persistence.</t>
        </is>
      </c>
    </row>
    <row r="287" ht="30" customHeight="1" s="78">
      <c r="A287" s="73" t="inlineStr">
        <is>
          <t>QA-004</t>
        </is>
      </c>
      <c r="B287" s="73" t="n">
        <v>108</v>
      </c>
      <c r="C287" s="73" t="n"/>
    </row>
    <row r="288" ht="30" customHeight="1" s="78">
      <c r="A288" s="73" t="inlineStr">
        <is>
          <t>QA-004</t>
        </is>
      </c>
      <c r="B288" s="73" t="n">
        <v>109</v>
      </c>
      <c r="C288" s="73" t="inlineStr">
        <is>
          <t>### Shared course header and navigation</t>
        </is>
      </c>
    </row>
    <row r="289" ht="30" customHeight="1" s="78">
      <c r="A289" s="73" t="inlineStr">
        <is>
          <t>QA-004</t>
        </is>
      </c>
      <c r="B289" s="73" t="n">
        <v>110</v>
      </c>
      <c r="C289" s="73" t="n"/>
    </row>
    <row r="290" ht="30" customHeight="1" s="78">
      <c r="A290" s="73" t="inlineStr">
        <is>
          <t>QA-004</t>
        </is>
      </c>
      <c r="B290" s="73" t="n">
        <v>111</v>
      </c>
      <c r="C290" s="73" t="inlineStr">
        <is>
          <t>Assignment and course pages reuse `frontend/lib/widgets/landing_page_header.dart`</t>
        </is>
      </c>
    </row>
    <row r="291" ht="30" customHeight="1" s="78">
      <c r="A291" s="73" t="inlineStr">
        <is>
          <t>QA-004</t>
        </is>
      </c>
      <c r="B291" s="73" t="n">
        <v>112</v>
      </c>
      <c r="C291" s="73" t="inlineStr">
        <is>
          <t>for the branded logo/title, authenticated account name/menu, role-specific study</t>
        </is>
      </c>
    </row>
    <row r="292" ht="30" customHeight="1" s="78">
      <c r="A292" s="73" t="inlineStr">
        <is>
          <t>QA-004</t>
        </is>
      </c>
      <c r="B292" s="73" t="n">
        <v>113</v>
      </c>
      <c r="C292" s="73" t="inlineStr">
        <is>
          <t>dashboard and instructor studio. Course catalog and topic pages include Home;</t>
        </is>
      </c>
    </row>
    <row r="293" ht="30" customHeight="1" s="78">
      <c r="A293" s="73" t="inlineStr">
        <is>
          <t>QA-004</t>
        </is>
      </c>
      <c r="B293" s="73" t="n">
        <v>114</v>
      </c>
      <c r="C293" s="73" t="inlineStr">
        <is>
          <t>the catalog includes Assignments/Contents navigation. Sign-out removes nested</t>
        </is>
      </c>
    </row>
    <row r="294" ht="30" customHeight="1" s="78">
      <c r="A294" s="73" t="inlineStr">
        <is>
          <t>QA-004</t>
        </is>
      </c>
      <c r="B294" s="73" t="n">
        <v>115</v>
      </c>
      <c r="C294" s="73" t="inlineStr">
        <is>
          <t>course routes after the logout callback completes. Narrow-screen navigation</t>
        </is>
      </c>
    </row>
    <row r="295" ht="30" customHeight="1" s="78">
      <c r="A295" s="73" t="inlineStr">
        <is>
          <t>QA-004</t>
        </is>
      </c>
      <c r="B295" s="73" t="n">
        <v>116</v>
      </c>
      <c r="C295" s="73" t="inlineStr">
        <is>
          <t>wraps instead of overflowing, and the shared header uses a compact layout.</t>
        </is>
      </c>
    </row>
    <row r="296" ht="30" customHeight="1" s="78">
      <c r="A296" s="73" t="inlineStr">
        <is>
          <t>QA-004</t>
        </is>
      </c>
      <c r="B296" s="73" t="n">
        <v>117</v>
      </c>
      <c r="C296" s="73" t="n"/>
    </row>
    <row r="297" ht="30" customHeight="1" s="78">
      <c r="A297" s="73" t="inlineStr">
        <is>
          <t>QA-004</t>
        </is>
      </c>
      <c r="B297" s="73" t="n">
        <v>118</v>
      </c>
      <c r="C297" s="73" t="inlineStr">
        <is>
          <t>Verification: all 79 Flutter tests passed and analysis found no issues. Added</t>
        </is>
      </c>
    </row>
    <row r="298" ht="30" customHeight="1" s="78">
      <c r="A298" s="73" t="inlineStr">
        <is>
          <t>QA-004</t>
        </is>
      </c>
      <c r="B298" s="73" t="n">
        <v>119</v>
      </c>
      <c r="C298" s="73" t="inlineStr">
        <is>
          <t>widget coverage checks branding, account name/menu, Assignments/Home navigation,</t>
        </is>
      </c>
    </row>
    <row r="299" ht="30" customHeight="1" s="78">
      <c r="A299" s="73" t="inlineStr">
        <is>
          <t>QA-004</t>
        </is>
      </c>
      <c r="B299" s="73" t="n">
        <v>120</v>
      </c>
      <c r="C299" s="73" t="inlineStr">
        <is>
          <t>sign-out, and the topic header at mobile width. Browser inspection and normal</t>
        </is>
      </c>
    </row>
    <row r="300" ht="30" customHeight="1" s="78">
      <c r="A300" s="73" t="inlineStr">
        <is>
          <t>QA-004</t>
        </is>
      </c>
      <c r="B300" s="73" t="n">
        <v>121</v>
      </c>
      <c r="C300" s="73" t="inlineStr">
        <is>
          <t>runtime restart were not performed in this follow-up. No backend, database,</t>
        </is>
      </c>
    </row>
    <row r="301" ht="30" customHeight="1" s="78">
      <c r="A301" s="73" t="inlineStr">
        <is>
          <t>QA-004</t>
        </is>
      </c>
      <c r="B301" s="73" t="n">
        <v>122</v>
      </c>
      <c r="C301" s="73" t="inlineStr">
        <is>
          <t>grading, or live-system change; no commit or push. AGENTS.md did not require</t>
        </is>
      </c>
    </row>
    <row r="302" ht="30" customHeight="1" s="78">
      <c r="A302" s="73" t="inlineStr">
        <is>
          <t>QA-004</t>
        </is>
      </c>
      <c r="B302" s="73" t="n">
        <v>123</v>
      </c>
      <c r="C302" s="73" t="inlineStr">
        <is>
          <t>another update for this presentation-only change.</t>
        </is>
      </c>
    </row>
    <row r="303" ht="30" customHeight="1" s="78">
      <c r="A303" s="73" t="inlineStr">
        <is>
          <t>QA-004</t>
        </is>
      </c>
      <c r="B303" s="73" t="n">
        <v>124</v>
      </c>
      <c r="C303" s="73" t="n"/>
    </row>
    <row r="304" ht="30" customHeight="1" s="78">
      <c r="A304" s="73" t="inlineStr">
        <is>
          <t>QA-004</t>
        </is>
      </c>
      <c r="B304" s="73" t="n">
        <v>125</v>
      </c>
      <c r="C304" s="73" t="inlineStr">
        <is>
          <t>### Fixed-header catalog toggle correction</t>
        </is>
      </c>
    </row>
    <row r="305" ht="30" customHeight="1" s="78">
      <c r="A305" s="73" t="inlineStr">
        <is>
          <t>QA-004</t>
        </is>
      </c>
      <c r="B305" s="73" t="n">
        <v>126</v>
      </c>
      <c r="C305" s="73" t="n"/>
    </row>
    <row r="306" ht="30" customHeight="1" s="78">
      <c r="A306" s="73" t="inlineStr">
        <is>
          <t>QA-004</t>
        </is>
      </c>
      <c r="B306" s="73" t="n">
        <v>127</v>
      </c>
      <c r="C306" s="73" t="inlineStr">
        <is>
          <t>The main landing page now keeps one header mounted while Assignments/Contents</t>
        </is>
      </c>
    </row>
    <row r="307" ht="30" customHeight="1" s="78">
      <c r="A307" s="73" t="inlineStr">
        <is>
          <t>QA-004</t>
        </is>
      </c>
      <c r="B307" s="73" t="n">
        <v>128</v>
      </c>
      <c r="C307" s="73" t="inlineStr">
        <is>
          <t>switches only the body below it. Both selections share the same logo, title,</t>
        </is>
      </c>
    </row>
    <row r="308" ht="30" customHeight="1" s="78">
      <c r="A308" s="73" t="inlineStr">
        <is>
          <t>QA-004</t>
        </is>
      </c>
      <c r="B308" s="73" t="n">
        <v>129</v>
      </c>
      <c r="C308" s="73" t="inlineStr">
        <is>
          <t>subtitle, back/Home controls and account menu. The selector is centered below</t>
        </is>
      </c>
    </row>
    <row r="309" ht="30" customHeight="1" s="78">
      <c r="A309" s="73" t="inlineStr">
        <is>
          <t>QA-004</t>
        </is>
      </c>
      <c r="B309" s="73" t="n">
        <v>130</v>
      </c>
      <c r="C309" s="73" t="inlineStr">
        <is>
          <t>the header. Contents no longer opens a separate catalog route in this workflow.</t>
        </is>
      </c>
    </row>
    <row r="310" ht="30" customHeight="1" s="78">
      <c r="A310" s="73" t="inlineStr">
        <is>
          <t>QA-004</t>
        </is>
      </c>
      <c r="B310" s="73" t="n">
        <v>131</v>
      </c>
      <c r="C310" s="73" t="inlineStr">
        <is>
          <t>Home/back on the main shell selects Assignments. Course-topic routes retain</t>
        </is>
      </c>
    </row>
    <row r="311" ht="30" customHeight="1" s="78">
      <c r="A311" s="73" t="inlineStr">
        <is>
          <t>QA-004</t>
        </is>
      </c>
      <c r="B311" s="73" t="n">
        <v>132</v>
      </c>
      <c r="C311" s="73" t="inlineStr">
        <is>
          <t>the shared header.</t>
        </is>
      </c>
    </row>
    <row r="312" ht="30" customHeight="1" s="78">
      <c r="A312" s="73" t="inlineStr">
        <is>
          <t>QA-004</t>
        </is>
      </c>
      <c r="B312" s="73" t="n">
        <v>133</v>
      </c>
      <c r="C312" s="73" t="n"/>
    </row>
    <row r="313" ht="30" customHeight="1" s="78">
      <c r="A313" s="73" t="inlineStr">
        <is>
          <t>QA-004</t>
        </is>
      </c>
      <c r="B313" s="73" t="n">
        <v>134</v>
      </c>
      <c r="C313" s="73" t="inlineStr">
        <is>
          <t>Focused course tests: 5 passed; analyzer: no issues. The new navigation test</t>
        </is>
      </c>
    </row>
    <row r="314" ht="30" customHeight="1" s="78">
      <c r="A314" s="73" t="inlineStr">
        <is>
          <t>QA-004</t>
        </is>
      </c>
      <c r="B314" s="73" t="n">
        <v>135</v>
      </c>
      <c r="C314" s="73" t="inlineStr">
        <is>
          <t>verifies that the exact header element remains mounted across both selections,</t>
        </is>
      </c>
    </row>
    <row r="315" ht="30" customHeight="1" s="78">
      <c r="A315" s="73" t="inlineStr">
        <is>
          <t>QA-004</t>
        </is>
      </c>
      <c r="B315" s="73" t="n">
        <v>136</v>
      </c>
      <c r="C315" s="73" t="inlineStr">
        <is>
          <t>there is only one header, and Home returns to Assignments. The prior 79-test</t>
        </is>
      </c>
    </row>
    <row r="316" ht="30" customHeight="1" s="78">
      <c r="A316" s="73" t="inlineStr">
        <is>
          <t>QA-004</t>
        </is>
      </c>
      <c r="B316" s="73" t="n">
        <v>137</v>
      </c>
      <c r="C316" s="73" t="inlineStr">
        <is>
          <t>regression predates this toggle correction; manual browser inspection and</t>
        </is>
      </c>
    </row>
    <row r="317" ht="30" customHeight="1" s="78">
      <c r="A317" s="73" t="inlineStr">
        <is>
          <t>QA-004</t>
        </is>
      </c>
      <c r="B317" s="73" t="n">
        <v>138</v>
      </c>
      <c r="C317" s="73" t="inlineStr">
        <is>
          <t>runtime restart remain pending. No commit, push, or live change.</t>
        </is>
      </c>
    </row>
    <row r="318" ht="30" customHeight="1" s="78">
      <c r="A318" s="73" t="inlineStr">
        <is>
          <t>QA-004</t>
        </is>
      </c>
      <c r="B318" s="73" t="n">
        <v>139</v>
      </c>
      <c r="C318" s="73" t="n"/>
    </row>
    <row r="319" ht="30" customHeight="1" s="78">
      <c r="A319" s="73" t="inlineStr">
        <is>
          <t>QA-005</t>
        </is>
      </c>
      <c r="B319" s="73" t="n">
        <v>1</v>
      </c>
      <c r="C319" s="73" t="inlineStr">
        <is>
          <t># Python Editor Upgrade SQA Report</t>
        </is>
      </c>
    </row>
    <row r="320" ht="30" customHeight="1" s="78">
      <c r="A320" s="73" t="inlineStr">
        <is>
          <t>QA-005</t>
        </is>
      </c>
      <c r="B320" s="73" t="n">
        <v>2</v>
      </c>
      <c r="C320" s="73" t="n"/>
    </row>
    <row r="321" ht="30" customHeight="1" s="78">
      <c r="A321" s="73" t="inlineStr">
        <is>
          <t>QA-005</t>
        </is>
      </c>
      <c r="B321" s="73" t="n">
        <v>3</v>
      </c>
      <c r="C321" s="73" t="inlineStr">
        <is>
          <t>Date: 2026-09-24</t>
        </is>
      </c>
    </row>
    <row r="322" ht="30" customHeight="1" s="78">
      <c r="A322" s="73" t="inlineStr">
        <is>
          <t>QA-005</t>
        </is>
      </c>
      <c r="B322" s="73" t="n">
        <v>4</v>
      </c>
      <c r="C322" s="73" t="inlineStr">
        <is>
          <t>Scope: staging local application only; production was not changed.</t>
        </is>
      </c>
    </row>
    <row r="323" ht="30" customHeight="1" s="78">
      <c r="A323" s="73" t="inlineStr">
        <is>
          <t>QA-005</t>
        </is>
      </c>
      <c r="B323" s="73" t="n">
        <v>5</v>
      </c>
      <c r="C323" s="73" t="n"/>
    </row>
    <row r="324" ht="30" customHeight="1" s="78">
      <c r="A324" s="73" t="inlineStr">
        <is>
          <t>QA-005</t>
        </is>
      </c>
      <c r="B324" s="73" t="n">
        <v>6</v>
      </c>
      <c r="C324" s="73" t="inlineStr">
        <is>
          <t>## Implemented behavior</t>
        </is>
      </c>
    </row>
    <row r="325" ht="30" customHeight="1" s="78">
      <c r="A325" s="73" t="inlineStr">
        <is>
          <t>QA-005</t>
        </is>
      </c>
      <c r="B325" s="73" t="n">
        <v>7</v>
      </c>
      <c r="C325" s="73" t="n"/>
    </row>
    <row r="326" ht="30" customHeight="1" s="78">
      <c r="A326" s="73" t="inlineStr">
        <is>
          <t>QA-005</t>
        </is>
      </c>
      <c r="B326" s="73" t="n">
        <v>8</v>
      </c>
      <c r="C326" s="73" t="inlineStr">
        <is>
          <t>| Area | Result | Evidence |</t>
        </is>
      </c>
    </row>
    <row r="327" ht="30" customHeight="1" s="78">
      <c r="A327" s="73" t="inlineStr">
        <is>
          <t>QA-005</t>
        </is>
      </c>
      <c r="B327" s="73" t="n">
        <v>9</v>
      </c>
      <c r="C327" s="73" t="inlineStr">
        <is>
          <t>|---|---|---|</t>
        </is>
      </c>
    </row>
    <row r="328" ht="30" customHeight="1" s="78">
      <c r="A328" s="73" t="inlineStr">
        <is>
          <t>QA-005</t>
        </is>
      </c>
      <c r="B328" s="73" t="n">
        <v>10</v>
      </c>
      <c r="C328" s="73" t="inlineStr">
        <is>
          <t>| Multi-line Tab indentation | Pass | Selected lines are indented without replacing the selection |</t>
        </is>
      </c>
    </row>
    <row r="329" ht="30" customHeight="1" s="78">
      <c r="A329" s="73" t="inlineStr">
        <is>
          <t>QA-005</t>
        </is>
      </c>
      <c r="B329" s="73" t="n">
        <v>11</v>
      </c>
      <c r="C329" s="73" t="inlineStr">
        <is>
          <t>| Multi-line Shift+Tab outdent | Pass | Selected lines are outdented as a block |</t>
        </is>
      </c>
    </row>
    <row r="330" ht="30" customHeight="1" s="78">
      <c r="A330" s="73" t="inlineStr">
        <is>
          <t>QA-005</t>
        </is>
      </c>
      <c r="B330" s="73" t="n">
        <v>12</v>
      </c>
      <c r="C330" s="73" t="inlineStr">
        <is>
          <t>| Ctrl+Y redo | Pass | Editor history redo is explicitly supported; Ctrl+Shift+Z remains available |</t>
        </is>
      </c>
    </row>
    <row r="331" ht="30" customHeight="1" s="78">
      <c r="A331" s="73" t="inlineStr">
        <is>
          <t>QA-005</t>
        </is>
      </c>
      <c r="B331" s="73" t="n">
        <v>13</v>
      </c>
      <c r="C331" s="73" t="inlineStr">
        <is>
          <t>| Draft durability | Pass | Persistent accounts save by user, assignment ID, and exact version in PostgreSQL, with a local fallback |</t>
        </is>
      </c>
    </row>
    <row r="332" ht="30" customHeight="1" s="78">
      <c r="A332" s="73" t="inlineStr">
        <is>
          <t>QA-005</t>
        </is>
      </c>
      <c r="B332" s="73" t="n">
        <v>14</v>
      </c>
      <c r="C332" s="73" t="inlineStr">
        <is>
          <t>| Demo isolation | Pass | Demo draft writes never enter PostgreSQL |</t>
        </is>
      </c>
    </row>
    <row r="333" ht="30" customHeight="1" s="78">
      <c r="A333" s="73" t="inlineStr">
        <is>
          <t>QA-005</t>
        </is>
      </c>
      <c r="B333" s="73" t="n">
        <v>15</v>
      </c>
      <c r="C333" s="73" t="inlineStr">
        <is>
          <t>| Save status | Pass | Saving, saved, and cloud-save-failed states are visible without blocking local editing |</t>
        </is>
      </c>
    </row>
    <row r="334" ht="30" customHeight="1" s="78">
      <c r="A334" s="73" t="inlineStr">
        <is>
          <t>QA-005</t>
        </is>
      </c>
      <c r="B334" s="73" t="n">
        <v>16</v>
      </c>
      <c r="C334" s="73" t="inlineStr">
        <is>
          <t>| Ctrl+S save | Pass | Focused editor saves immediately; the browser test showed a session-save confirmation in demo mode |</t>
        </is>
      </c>
    </row>
    <row r="335" ht="30" customHeight="1" s="78">
      <c r="A335" s="73" t="inlineStr">
        <is>
          <t>QA-005</t>
        </is>
      </c>
      <c r="B335" s="73" t="n">
        <v>17</v>
      </c>
      <c r="C335" s="73" t="inlineStr">
        <is>
          <t>| Editor color theme | Pass | Editor tools switches between dark and light syntax themes without changing the code or selection |</t>
        </is>
      </c>
    </row>
    <row r="336" ht="30" customHeight="1" s="78">
      <c r="A336" s="73" t="inlineStr">
        <is>
          <t>QA-005</t>
        </is>
      </c>
      <c r="B336" s="73" t="n">
        <v>18</v>
      </c>
      <c r="C336" s="73" t="inlineStr">
        <is>
          <t>| Restore starter code | Pass | Confirmation is required; both server and local draft copies are cleared |</t>
        </is>
      </c>
    </row>
    <row r="337" ht="30" customHeight="1" s="78">
      <c r="A337" s="73" t="inlineStr">
        <is>
          <t>QA-005</t>
        </is>
      </c>
      <c r="B337" s="73" t="n">
        <v>19</v>
      </c>
      <c r="C337" s="73" t="inlineStr">
        <is>
          <t>| Error line assistance | Pass | Valid Python traceback lines are highlighted and shown in the file status bar |</t>
        </is>
      </c>
    </row>
    <row r="338" ht="30" customHeight="1" s="78">
      <c r="A338" s="73" t="inlineStr">
        <is>
          <t>QA-005</t>
        </is>
      </c>
      <c r="B338" s="73" t="n">
        <v>20</v>
      </c>
      <c r="C338" s="73" t="inlineStr">
        <is>
          <t>| Find and replace | Pass | Manual Find and Replace all actions are available in Editor tools |</t>
        </is>
      </c>
    </row>
    <row r="339" ht="30" customHeight="1" s="78">
      <c r="A339" s="73" t="inlineStr">
        <is>
          <t>QA-005</t>
        </is>
      </c>
      <c r="B339" s="73" t="n">
        <v>21</v>
      </c>
      <c r="C339" s="73" t="inlineStr">
        <is>
          <t>| Font controls | Pass | Manual increase/decrease controls are bounded from 12 to 22 points |</t>
        </is>
      </c>
    </row>
    <row r="340" ht="30" customHeight="1" s="78">
      <c r="A340" s="73" t="inlineStr">
        <is>
          <t>QA-005</t>
        </is>
      </c>
      <c r="B340" s="73" t="n">
        <v>22</v>
      </c>
      <c r="C340" s="73" t="inlineStr">
        <is>
          <t>| Shortcut help | Pass | The editor lists its supported keyboard shortcuts |</t>
        </is>
      </c>
    </row>
    <row r="341" ht="30" customHeight="1" s="78">
      <c r="A341" s="73" t="inlineStr">
        <is>
          <t>QA-005</t>
        </is>
      </c>
      <c r="B341" s="73" t="n">
        <v>23</v>
      </c>
      <c r="C341" s="73" t="inlineStr">
        <is>
          <t>| Python/API help | Pass | Completion uses Python names plus functions, parameters, imports, and visible assignment project APIs |</t>
        </is>
      </c>
    </row>
    <row r="342" ht="39.95" customHeight="1" s="78">
      <c r="A342" s="73" t="inlineStr">
        <is>
          <t>QA-005</t>
        </is>
      </c>
      <c r="B342" s="73" t="n">
        <v>24</v>
      </c>
      <c r="C342" s="73" t="inlineStr">
        <is>
          <t>| Manual Python formatting | Pass | Black formatting runs only when selected and never executes student code; syntax errors return safe feedback |</t>
        </is>
      </c>
    </row>
    <row r="343" ht="30" customHeight="1" s="78">
      <c r="A343" s="73" t="inlineStr">
        <is>
          <t>QA-005</t>
        </is>
      </c>
      <c r="B343" s="73" t="n">
        <v>25</v>
      </c>
      <c r="C343" s="73" t="inlineStr">
        <is>
          <t>| ROS Python formatting | Pass | The formatter supports both `python` and `python-ros2` assignments |</t>
        </is>
      </c>
    </row>
    <row r="344" ht="30" customHeight="1" s="78">
      <c r="A344" s="73" t="inlineStr">
        <is>
          <t>QA-005</t>
        </is>
      </c>
      <c r="B344" s="73" t="n">
        <v>26</v>
      </c>
      <c r="C344" s="73" t="inlineStr">
        <is>
          <t>| Responsive editor toolbar | Pass | Desktop split view and narrow/mobile layouts render without overflow in widget tests |</t>
        </is>
      </c>
    </row>
    <row r="345" ht="30" customHeight="1" s="78">
      <c r="A345" s="73" t="inlineStr">
        <is>
          <t>QA-005</t>
        </is>
      </c>
      <c r="B345" s="73" t="n">
        <v>27</v>
      </c>
      <c r="C345" s="73" t="n"/>
    </row>
    <row r="346" ht="30" customHeight="1" s="78">
      <c r="A346" s="73" t="inlineStr">
        <is>
          <t>QA-005</t>
        </is>
      </c>
      <c r="B346" s="73" t="n">
        <v>28</v>
      </c>
      <c r="C346" s="73" t="inlineStr">
        <is>
          <t>## Automated verification</t>
        </is>
      </c>
    </row>
    <row r="347" ht="30" customHeight="1" s="78">
      <c r="A347" s="73" t="inlineStr">
        <is>
          <t>QA-005</t>
        </is>
      </c>
      <c r="B347" s="73" t="n">
        <v>29</v>
      </c>
      <c r="C347" s="73" t="n"/>
    </row>
    <row r="348" ht="30" customHeight="1" s="78">
      <c r="A348" s="73" t="inlineStr">
        <is>
          <t>QA-005</t>
        </is>
      </c>
      <c r="B348" s="73" t="n">
        <v>30</v>
      </c>
      <c r="C348" s="73" t="inlineStr">
        <is>
          <t>| Check | Result |</t>
        </is>
      </c>
    </row>
    <row r="349" ht="30" customHeight="1" s="78">
      <c r="A349" s="73" t="inlineStr">
        <is>
          <t>QA-005</t>
        </is>
      </c>
      <c r="B349" s="73" t="n">
        <v>31</v>
      </c>
      <c r="C349" s="73" t="inlineStr">
        <is>
          <t>|---|---|</t>
        </is>
      </c>
    </row>
    <row r="350" ht="30" customHeight="1" s="78">
      <c r="A350" s="73" t="inlineStr">
        <is>
          <t>QA-005</t>
        </is>
      </c>
      <c r="B350" s="73" t="n">
        <v>32</v>
      </c>
      <c r="C350" s="73" t="inlineStr">
        <is>
          <t>| Backend dependency check | Pass — no broken requirements |</t>
        </is>
      </c>
    </row>
    <row r="351" ht="30" customHeight="1" s="78">
      <c r="A351" s="73" t="inlineStr">
        <is>
          <t>QA-005</t>
        </is>
      </c>
      <c r="B351" s="73" t="n">
        <v>33</v>
      </c>
      <c r="C351" s="73" t="inlineStr">
        <is>
          <t>| Backend tests | Pass — 205 tests |</t>
        </is>
      </c>
    </row>
    <row r="352" ht="30" customHeight="1" s="78">
      <c r="A352" s="73" t="inlineStr">
        <is>
          <t>QA-005</t>
        </is>
      </c>
      <c r="B352" s="73" t="n">
        <v>34</v>
      </c>
      <c r="C352" s="73" t="inlineStr">
        <is>
          <t>| Focused editor and API tests | Pass |</t>
        </is>
      </c>
    </row>
    <row r="353" ht="30" customHeight="1" s="78">
      <c r="A353" s="73" t="inlineStr">
        <is>
          <t>QA-005</t>
        </is>
      </c>
      <c r="B353" s="73" t="n">
        <v>35</v>
      </c>
      <c r="C353" s="73" t="inlineStr">
        <is>
          <t>| Flutter analysis | Pass — no issues |</t>
        </is>
      </c>
    </row>
    <row r="354" ht="30" customHeight="1" s="78">
      <c r="A354" s="73" t="inlineStr">
        <is>
          <t>QA-005</t>
        </is>
      </c>
      <c r="B354" s="73" t="n">
        <v>36</v>
      </c>
      <c r="C354" s="73" t="inlineStr">
        <is>
          <t>| Flutter tests | Pass — 61 tests |</t>
        </is>
      </c>
    </row>
    <row r="355" ht="30" customHeight="1" s="78">
      <c r="A355" s="73" t="inlineStr">
        <is>
          <t>QA-005</t>
        </is>
      </c>
      <c r="B355" s="73" t="n">
        <v>37</v>
      </c>
      <c r="C355" s="73" t="inlineStr">
        <is>
          <t>| Flutter release web build | Pass |</t>
        </is>
      </c>
    </row>
    <row r="356" ht="30" customHeight="1" s="78">
      <c r="A356" s="73" t="inlineStr">
        <is>
          <t>QA-005</t>
        </is>
      </c>
      <c r="B356" s="73" t="n">
        <v>38</v>
      </c>
      <c r="C356" s="73" t="inlineStr">
        <is>
          <t>| PostgreSQL migration | Pass — staging Neon upgraded from `0004` to `0005_code_drafts` |</t>
        </is>
      </c>
    </row>
    <row r="357" ht="30" customHeight="1" s="78">
      <c r="A357" s="73" t="inlineStr">
        <is>
          <t>QA-005</t>
        </is>
      </c>
      <c r="B357" s="73" t="n">
        <v>39</v>
      </c>
      <c r="C357" s="73" t="n"/>
    </row>
    <row r="358" ht="30" customHeight="1" s="78">
      <c r="A358" s="73" t="inlineStr">
        <is>
          <t>QA-005</t>
        </is>
      </c>
      <c r="B358" s="73" t="n">
        <v>40</v>
      </c>
      <c r="C358" s="73" t="inlineStr">
        <is>
          <t>## Manual staging verification</t>
        </is>
      </c>
    </row>
    <row r="359" ht="30" customHeight="1" s="78">
      <c r="A359" s="73" t="inlineStr">
        <is>
          <t>QA-005</t>
        </is>
      </c>
      <c r="B359" s="73" t="n">
        <v>41</v>
      </c>
      <c r="C359" s="73" t="n"/>
    </row>
    <row r="360" ht="30" customHeight="1" s="78">
      <c r="A360" s="73" t="inlineStr">
        <is>
          <t>QA-005</t>
        </is>
      </c>
      <c r="B360" s="73" t="n">
        <v>42</v>
      </c>
      <c r="C360" s="73" t="inlineStr">
        <is>
          <t>| Check | Result |</t>
        </is>
      </c>
    </row>
    <row r="361" ht="30" customHeight="1" s="78">
      <c r="A361" s="73" t="inlineStr">
        <is>
          <t>QA-005</t>
        </is>
      </c>
      <c r="B361" s="73" t="n">
        <v>43</v>
      </c>
      <c r="C361" s="73" t="inlineStr">
        <is>
          <t>|---|---|</t>
        </is>
      </c>
    </row>
    <row r="362" ht="30" customHeight="1" s="78">
      <c r="A362" s="73" t="inlineStr">
        <is>
          <t>QA-005</t>
        </is>
      </c>
      <c r="B362" s="73" t="n">
        <v>44</v>
      </c>
      <c r="C362" s="73" t="inlineStr">
        <is>
          <t>| Student login | Pass |</t>
        </is>
      </c>
    </row>
    <row r="363" ht="30" customHeight="1" s="78">
      <c r="A363" s="73" t="inlineStr">
        <is>
          <t>QA-005</t>
        </is>
      </c>
      <c r="B363" s="73" t="n">
        <v>45</v>
      </c>
      <c r="C363" s="73" t="inlineStr">
        <is>
          <t>| Assignment 1 editor opens | Pass |</t>
        </is>
      </c>
    </row>
    <row r="364" ht="30" customHeight="1" s="78">
      <c r="A364" s="73" t="inlineStr">
        <is>
          <t>QA-005</t>
        </is>
      </c>
      <c r="B364" s="73" t="n">
        <v>46</v>
      </c>
      <c r="C364" s="73" t="inlineStr">
        <is>
          <t>| Editor tools are visible | Pass |</t>
        </is>
      </c>
    </row>
    <row r="365" ht="30" customHeight="1" s="78">
      <c r="A365" s="73" t="inlineStr">
        <is>
          <t>QA-005</t>
        </is>
      </c>
      <c r="B365" s="73" t="n">
        <v>47</v>
      </c>
      <c r="C365" s="73" t="inlineStr">
        <is>
          <t>| Manual formatter responds | Pass |</t>
        </is>
      </c>
    </row>
    <row r="366" ht="30" customHeight="1" s="78">
      <c r="A366" s="73" t="inlineStr">
        <is>
          <t>QA-005</t>
        </is>
      </c>
      <c r="B366" s="73" t="n">
        <v>48</v>
      </c>
      <c r="C366" s="73" t="inlineStr">
        <is>
          <t>| Restore-starter confirmation and cleanup | Pass |</t>
        </is>
      </c>
    </row>
    <row r="367" ht="30" customHeight="1" s="78">
      <c r="A367" s="73" t="inlineStr">
        <is>
          <t>QA-005</t>
        </is>
      </c>
      <c r="B367" s="73" t="n">
        <v>49</v>
      </c>
      <c r="C367" s="73" t="inlineStr">
        <is>
          <t>| Light theme | Pass — selected in the local browser and syntax colors changed while code stayed intact |</t>
        </is>
      </c>
    </row>
    <row r="368" ht="30" customHeight="1" s="78">
      <c r="A368" s="73" t="inlineStr">
        <is>
          <t>QA-005</t>
        </is>
      </c>
      <c r="B368" s="73" t="n">
        <v>50</v>
      </c>
      <c r="C368" s="73" t="inlineStr">
        <is>
          <t>| Ctrl+S in focused editor | Pass — showed the demo-session save confirmation; no browser Save dialog appeared |</t>
        </is>
      </c>
    </row>
    <row r="369" ht="30" customHeight="1" s="78">
      <c r="A369" s="73" t="inlineStr">
        <is>
          <t>QA-005</t>
        </is>
      </c>
      <c r="B369" s="73" t="n">
        <v>51</v>
      </c>
      <c r="C369" s="73" t="inlineStr">
        <is>
          <t>| Local API, sandbox, frontend, and database startup | Pass |</t>
        </is>
      </c>
    </row>
    <row r="370" ht="30" customHeight="1" s="78">
      <c r="A370" s="73" t="inlineStr">
        <is>
          <t>QA-005</t>
        </is>
      </c>
      <c r="B370" s="73" t="n">
        <v>52</v>
      </c>
      <c r="C370" s="73" t="n"/>
    </row>
    <row r="371" ht="30" customHeight="1" s="78">
      <c r="A371" s="73" t="inlineStr">
        <is>
          <t>QA-005</t>
        </is>
      </c>
      <c r="B371" s="73" t="n">
        <v>53</v>
      </c>
      <c r="C371" s="73" t="inlineStr">
        <is>
          <t>## Safety and limitations</t>
        </is>
      </c>
    </row>
    <row r="372" ht="30" customHeight="1" s="78">
      <c r="A372" s="73" t="inlineStr">
        <is>
          <t>QA-005</t>
        </is>
      </c>
      <c r="B372" s="73" t="n">
        <v>54</v>
      </c>
      <c r="C372" s="73" t="n"/>
    </row>
    <row r="373" ht="30" customHeight="1" s="78">
      <c r="A373" s="73" t="inlineStr">
        <is>
          <t>QA-005</t>
        </is>
      </c>
      <c r="B373" s="73" t="n">
        <v>55</v>
      </c>
      <c r="C373" s="73" t="inlineStr">
        <is>
          <t>- Test-case grading, scores, hidden tests, tutoring policy, and assignment</t>
        </is>
      </c>
    </row>
    <row r="374" ht="30" customHeight="1" s="78">
      <c r="A374" s="73" t="inlineStr">
        <is>
          <t>QA-005</t>
        </is>
      </c>
      <c r="B374" s="73" t="n">
        <v>56</v>
      </c>
      <c r="C374" s="73" t="inlineStr">
        <is>
          <t xml:space="preserve">  content were not changed by this editor work.</t>
        </is>
      </c>
    </row>
    <row r="375" ht="30" customHeight="1" s="78">
      <c r="A375" s="73" t="inlineStr">
        <is>
          <t>QA-005</t>
        </is>
      </c>
      <c r="B375" s="73" t="n">
        <v>57</v>
      </c>
      <c r="C375" s="73" t="inlineStr">
        <is>
          <t>- Formatting is explicit and server-side; it parses and rewrites Python but</t>
        </is>
      </c>
    </row>
    <row r="376" ht="30" customHeight="1" s="78">
      <c r="A376" s="73" t="inlineStr">
        <is>
          <t>QA-005</t>
        </is>
      </c>
      <c r="B376" s="73" t="n">
        <v>58</v>
      </c>
      <c r="C376" s="73" t="inlineStr">
        <is>
          <t xml:space="preserve">  does not run the submission.</t>
        </is>
      </c>
    </row>
    <row r="377" ht="30" customHeight="1" s="78">
      <c r="A377" s="73" t="inlineStr">
        <is>
          <t>QA-005</t>
        </is>
      </c>
      <c r="B377" s="73" t="n">
        <v>59</v>
      </c>
      <c r="C377" s="73" t="inlineStr">
        <is>
          <t>- The browser fallback cannot replace PostgreSQL for cross-device recovery.</t>
        </is>
      </c>
    </row>
    <row r="378" ht="30" customHeight="1" s="78">
      <c r="A378" s="73" t="inlineStr">
        <is>
          <t>QA-005</t>
        </is>
      </c>
      <c r="B378" s="73" t="n">
        <v>60</v>
      </c>
      <c r="C378" s="73" t="inlineStr">
        <is>
          <t>- Editor theme selection is currently per open assignment page; it returns to</t>
        </is>
      </c>
    </row>
    <row r="379" ht="30" customHeight="1" s="78">
      <c r="A379" s="73" t="inlineStr">
        <is>
          <t>QA-005</t>
        </is>
      </c>
      <c r="B379" s="73" t="n">
        <v>61</v>
      </c>
      <c r="C379" s="73" t="inlineStr">
        <is>
          <t xml:space="preserve">  dark when the workspace is reopened. Persistence was not requested or tested.</t>
        </is>
      </c>
    </row>
    <row r="380" ht="30" customHeight="1" s="78">
      <c r="A380" s="73" t="inlineStr">
        <is>
          <t>QA-005</t>
        </is>
      </c>
      <c r="B380" s="73" t="n">
        <v>62</v>
      </c>
      <c r="C380" s="73" t="inlineStr">
        <is>
          <t>- Hardware-level Ubuntu and a second physical computer were not re-tested in</t>
        </is>
      </c>
    </row>
    <row r="381" ht="30" customHeight="1" s="78">
      <c r="A381" s="73" t="inlineStr">
        <is>
          <t>QA-005</t>
        </is>
      </c>
      <c r="B381" s="73" t="n">
        <v>63</v>
      </c>
      <c r="C381" s="73" t="inlineStr">
        <is>
          <t xml:space="preserve">  this editor pass. Existing cross-platform scripts were left unchanged.</t>
        </is>
      </c>
    </row>
    <row r="382" ht="30" customHeight="1" s="78">
      <c r="A382" s="73" t="inlineStr">
        <is>
          <t>QA-005</t>
        </is>
      </c>
      <c r="B382" s="73" t="n">
        <v>64</v>
      </c>
      <c r="C382" s="73" t="inlineStr">
        <is>
          <t>- The repository already contained unrelated Assignment 4 changes on branch</t>
        </is>
      </c>
    </row>
    <row r="383" ht="30" customHeight="1" s="78">
      <c r="A383" s="73" t="inlineStr">
        <is>
          <t>QA-005</t>
        </is>
      </c>
      <c r="B383" s="73" t="n">
        <v>65</v>
      </c>
      <c r="C383" s="73" t="inlineStr">
        <is>
          <t xml:space="preserve">  `fix/assignment-4-starter-score`; those files were preserved and were not</t>
        </is>
      </c>
    </row>
    <row r="384" ht="30" customHeight="1" s="78">
      <c r="A384" s="73" t="inlineStr">
        <is>
          <t>QA-005</t>
        </is>
      </c>
      <c r="B384" s="73" t="n">
        <v>66</v>
      </c>
      <c r="C384" s="73" t="inlineStr">
        <is>
          <t xml:space="preserve">  included as editor work.</t>
        </is>
      </c>
    </row>
    <row r="385" ht="30" customHeight="1" s="78">
      <c r="A385" s="73" t="inlineStr">
        <is>
          <t>QA-005</t>
        </is>
      </c>
      <c r="B385" s="73" t="n">
        <v>67</v>
      </c>
      <c r="C385" s="73" t="n"/>
    </row>
    <row r="386" ht="30" customHeight="1" s="78">
      <c r="A386" s="73" t="inlineStr">
        <is>
          <t>QA-006</t>
        </is>
      </c>
      <c r="B386" s="73" t="n">
        <v>1</v>
      </c>
      <c r="C386" s="73" t="inlineStr">
        <is>
          <t># Assignment Grading Integrity SQA Report</t>
        </is>
      </c>
    </row>
    <row r="387" ht="30" customHeight="1" s="78">
      <c r="A387" s="73" t="inlineStr">
        <is>
          <t>QA-006</t>
        </is>
      </c>
      <c r="B387" s="73" t="n">
        <v>2</v>
      </c>
      <c r="C387" s="73" t="n"/>
    </row>
    <row r="388" ht="30" customHeight="1" s="78">
      <c r="A388" s="73" t="inlineStr">
        <is>
          <t>QA-006</t>
        </is>
      </c>
      <c r="B388" s="73" t="n">
        <v>3</v>
      </c>
      <c r="C388" s="73" t="inlineStr">
        <is>
          <t>Date: 2026-09-23</t>
        </is>
      </c>
    </row>
    <row r="389" ht="30" customHeight="1" s="78">
      <c r="A389" s="73" t="inlineStr">
        <is>
          <t>QA-006</t>
        </is>
      </c>
      <c r="B389" s="73" t="n">
        <v>4</v>
      </c>
      <c r="C389" s="73" t="inlineStr">
        <is>
          <t>Branch: fix/grading-integrity</t>
        </is>
      </c>
    </row>
    <row r="390" ht="39.95" customHeight="1" s="78">
      <c r="A390" s="73" t="inlineStr">
        <is>
          <t>QA-006</t>
        </is>
      </c>
      <c r="B390" s="73" t="n">
        <v>5</v>
      </c>
      <c r="C390" s="73" t="inlineStr">
        <is>
          <t>Release state: V5.5 baseline and student-facing fixes are on staging `main`; the September 24 Assignment 4 starter correction has been verified locally and is tracked separately in Git history</t>
        </is>
      </c>
    </row>
    <row r="391" ht="30" customHeight="1" s="78">
      <c r="A391" s="73" t="inlineStr">
        <is>
          <t>QA-006</t>
        </is>
      </c>
      <c r="B391" s="73" t="n">
        <v>6</v>
      </c>
      <c r="C391" s="73" t="n"/>
    </row>
    <row r="392" ht="30" customHeight="1" s="78">
      <c r="A392" s="73" t="inlineStr">
        <is>
          <t>QA-006</t>
        </is>
      </c>
      <c r="B392" s="73" t="n">
        <v>7</v>
      </c>
      <c r="C392" s="73" t="inlineStr">
        <is>
          <t>## Outcome</t>
        </is>
      </c>
    </row>
    <row r="393" ht="30" customHeight="1" s="78">
      <c r="A393" s="73" t="inlineStr">
        <is>
          <t>QA-006</t>
        </is>
      </c>
      <c r="B393" s="73" t="n">
        <v>8</v>
      </c>
      <c r="C393" s="73" t="n"/>
    </row>
    <row r="394" ht="39.95" customHeight="1" s="78">
      <c r="A394" s="73" t="inlineStr">
        <is>
          <t>QA-006</t>
        </is>
      </c>
      <c r="B394" s="73" t="n">
        <v>9</v>
      </c>
      <c r="C394" s="73" t="inlineStr">
        <is>
          <t>All confirmed grading issues from the partial-answer QA were repaired. Assignments 1–4 now grade reusable functions across deterministic server-only scenarios. Assignments 5–6 retain their ROS 2 behavior graders, and their displayed rubrics now match the implemented test weights.</t>
        </is>
      </c>
    </row>
    <row r="395" ht="30" customHeight="1" s="78">
      <c r="A395" s="73" t="inlineStr">
        <is>
          <t>QA-006</t>
        </is>
      </c>
      <c r="B395" s="73" t="n">
        <v>10</v>
      </c>
      <c r="C395" s="73" t="n"/>
    </row>
    <row r="396" ht="54" customHeight="1" s="78">
      <c r="A396" s="73" t="inlineStr">
        <is>
          <t>QA-006</t>
        </is>
      </c>
      <c r="B396" s="73" t="n">
        <v>11</v>
      </c>
      <c r="C396" s="73" t="inlineStr">
        <is>
          <t>The follow-up human-style QA also confirmed that the grader correctly rejects code with a missing helper. The apparent 100% result was stale feedback from the student's previous successful run, not a new score for the edited code. The workspace now hides stale results as soon as code changes and identifies the stored value as a previous score.</t>
        </is>
      </c>
    </row>
    <row r="397" ht="30" customHeight="1" s="78">
      <c r="A397" s="73" t="inlineStr">
        <is>
          <t>QA-006</t>
        </is>
      </c>
      <c r="B397" s="73" t="n">
        <v>12</v>
      </c>
      <c r="C397" s="73" t="n"/>
    </row>
    <row r="398" ht="30" customHeight="1" s="78">
      <c r="A398" s="73" t="inlineStr">
        <is>
          <t>QA-006</t>
        </is>
      </c>
      <c r="B398" s="73" t="n">
        <v>13</v>
      </c>
      <c r="C398" s="73" t="inlineStr">
        <is>
          <t>## Repaired issues</t>
        </is>
      </c>
    </row>
    <row r="399" ht="30" customHeight="1" s="78">
      <c r="A399" s="73" t="inlineStr">
        <is>
          <t>QA-006</t>
        </is>
      </c>
      <c r="B399" s="73" t="n">
        <v>14</v>
      </c>
      <c r="C399" s="73" t="n"/>
    </row>
    <row r="400" ht="30" customHeight="1" s="78">
      <c r="A400" s="73" t="inlineStr">
        <is>
          <t>QA-006</t>
        </is>
      </c>
      <c r="B400" s="73" t="n">
        <v>15</v>
      </c>
      <c r="C400" s="73" t="inlineStr">
        <is>
          <t>| ID | Confirmed issue | Repair | Verification | Result |</t>
        </is>
      </c>
    </row>
    <row r="401" ht="30" customHeight="1" s="78">
      <c r="A401" s="73" t="inlineStr">
        <is>
          <t>QA-006</t>
        </is>
      </c>
      <c r="B401" s="73" t="n">
        <v>16</v>
      </c>
      <c r="C401" s="73" t="inlineStr">
        <is>
          <t>|---|---|---|---|---|</t>
        </is>
      </c>
    </row>
    <row r="402" ht="39.95" customHeight="1" s="78">
      <c r="A402" s="73" t="inlineStr">
        <is>
          <t>QA-006</t>
        </is>
      </c>
      <c r="B402" s="73" t="n">
        <v>17</v>
      </c>
      <c r="C402" s="73" t="inlineStr">
        <is>
          <t>| GI-001 | The Run endpoint awarded 100% to any executable Python submission | Run and Submit now use the same assignment-specific grader | API contract tests | Pass |</t>
        </is>
      </c>
    </row>
    <row r="403" ht="39.95" customHeight="1" s="78">
      <c r="A403" s="73" t="inlineStr">
        <is>
          <t>QA-006</t>
        </is>
      </c>
      <c r="B403" s="73" t="n">
        <v>18</v>
      </c>
      <c r="C403" s="73" t="inlineStr">
        <is>
          <t>| GI-002 | Assignments 1–4 could pass with hardcoded displayed values | Added the modular PythonFunctionGrader and multiple hidden parameter scenarios | Official, partial, hardcoded, syntax, and runtime tests | Pass |</t>
        </is>
      </c>
    </row>
    <row r="404" ht="39.95" customHeight="1" s="78">
      <c r="A404" s="73" t="inlineStr">
        <is>
          <t>QA-006</t>
        </is>
      </c>
      <c r="B404" s="73" t="n">
        <v>19</v>
      </c>
      <c r="C404" s="73" t="inlineStr">
        <is>
          <t>| GI-003 | Python-assignment feedback was too generic | Added criterion-specific failure guidance without exposing hidden inputs or answers | Grader feedback tests | Pass |</t>
        </is>
      </c>
    </row>
    <row r="405" ht="39.95" customHeight="1" s="78">
      <c r="A405" s="73" t="inlineStr">
        <is>
          <t>QA-006</t>
        </is>
      </c>
      <c r="B405" s="73" t="n">
        <v>20</v>
      </c>
      <c r="C405" s="73" t="inlineStr">
        <is>
          <t>| GI-004 | Assignment 4 allowed only 0%, 50%, or 100% | Expanded the rubric to five independently checked 20% criteria | Mixed answer scored 60% | Pass |</t>
        </is>
      </c>
    </row>
    <row r="406" ht="39.95" customHeight="1" s="78">
      <c r="A406" s="73" t="inlineStr">
        <is>
          <t>QA-006</t>
        </is>
      </c>
      <c r="B406" s="73" t="n">
        <v>21</v>
      </c>
      <c r="C406" s="73" t="inlineStr">
        <is>
          <t>| GI-005 | Assignment 3 used 12.5% criteria but displayed integer scores without explanation | Instructions now state that the final total is rounded to the nearest whole percent | Instruction and score tests | Pass |</t>
        </is>
      </c>
    </row>
    <row r="407" ht="39.95" customHeight="1" s="78">
      <c r="A407" s="73" t="inlineStr">
        <is>
          <t>QA-006</t>
        </is>
      </c>
      <c r="B407" s="73" t="n">
        <v>22</v>
      </c>
      <c r="C407" s="73" t="inlineStr">
        <is>
          <t>| GI-006 | ROS rubrics did not match the behavior-harness weights | Aligned Assignment 5 to 20/20/30/30 and Assignment 6 to 15/20/20/35/10 | Derived rubric-to-harness regression test | Pass |</t>
        </is>
      </c>
    </row>
    <row r="408" ht="39.95" customHeight="1" s="78">
      <c r="A408" s="73" t="inlineStr">
        <is>
          <t>QA-006</t>
        </is>
      </c>
      <c r="B408" s="73" t="n">
        <v>23</v>
      </c>
      <c r="C408" s="73" t="inlineStr">
        <is>
          <t>| GI-007 | Instructor validation rejected the new function grader | Added configuration validation for function name, criteria, cases, arguments, and expected outputs | Assignment Studio validate/edit/publish tests | Pass |</t>
        </is>
      </c>
    </row>
    <row r="409" ht="39.95" customHeight="1" s="78">
      <c r="A409" s="73" t="inlineStr">
        <is>
          <t>QA-006</t>
        </is>
      </c>
      <c r="B409" s="73" t="n">
        <v>24</v>
      </c>
      <c r="C409" s="73" t="inlineStr">
        <is>
          <t>| GI-008 | Editing code after a successful run left the old 100% result visible | Hide the Results panel after an edit and label the saved value as `Previous score` until the student runs again | Manual Chrome QA and Flutter widget tests | Pass |</t>
        </is>
      </c>
    </row>
    <row r="410" ht="39.95" customHeight="1" s="78">
      <c r="A410" s="73" t="inlineStr">
        <is>
          <t>QA-006</t>
        </is>
      </c>
      <c r="B410" s="73" t="n">
        <v>25</v>
      </c>
      <c r="C410" s="73" t="inlineStr">
        <is>
          <t>| GI-009 | The Flutter client recalculated scores as passed checks divided by total checks | Use the backend's authoritative weighted score and show the unweighted check pass rate separately | Weighted-score widget regression test | Pass |</t>
        </is>
      </c>
    </row>
    <row r="411" ht="30" customHeight="1" s="78">
      <c r="A411" s="73" t="inlineStr">
        <is>
          <t>QA-006</t>
        </is>
      </c>
      <c r="B411" s="73" t="n">
        <v>26</v>
      </c>
      <c r="C411" s="73" t="n"/>
    </row>
    <row r="412" ht="30" customHeight="1" s="78">
      <c r="A412" s="73" t="inlineStr">
        <is>
          <t>QA-006</t>
        </is>
      </c>
      <c r="B412" s="73" t="n">
        <v>27</v>
      </c>
      <c r="C412" s="73" t="inlineStr">
        <is>
          <t>## Student-style mutation checks</t>
        </is>
      </c>
    </row>
    <row r="413" ht="30" customHeight="1" s="78">
      <c r="A413" s="73" t="inlineStr">
        <is>
          <t>QA-006</t>
        </is>
      </c>
      <c r="B413" s="73" t="n">
        <v>28</v>
      </c>
      <c r="C413" s="73" t="n"/>
    </row>
    <row r="414" ht="30" customHeight="1" s="78">
      <c r="A414" s="73" t="inlineStr">
        <is>
          <t>QA-006</t>
        </is>
      </c>
      <c r="B414" s="73" t="n">
        <v>29</v>
      </c>
      <c r="C414" s="73" t="inlineStr">
        <is>
          <t>Each maintained answer was changed in a realistic student-like way and run through the active local API.</t>
        </is>
      </c>
    </row>
    <row r="415" ht="30" customHeight="1" s="78">
      <c r="A415" s="73" t="inlineStr">
        <is>
          <t>QA-006</t>
        </is>
      </c>
      <c r="B415" s="73" t="n">
        <v>30</v>
      </c>
      <c r="C415" s="73" t="n"/>
    </row>
    <row r="416" ht="30" customHeight="1" s="78">
      <c r="A416" s="73" t="inlineStr">
        <is>
          <t>QA-006</t>
        </is>
      </c>
      <c r="B416" s="73" t="n">
        <v>31</v>
      </c>
      <c r="C416" s="73" t="inlineStr">
        <is>
          <t>| Assignment | Mutation | Score | Passed | Execution completed | Passed checks | Result |</t>
        </is>
      </c>
    </row>
    <row r="417" ht="30" customHeight="1" s="78">
      <c r="A417" s="73" t="inlineStr">
        <is>
          <t>QA-006</t>
        </is>
      </c>
      <c r="B417" s="73" t="n">
        <v>32</v>
      </c>
      <c r="C417" s="73" t="inlineStr">
        <is>
          <t>|---|---|---:|---|---|---:|---|</t>
        </is>
      </c>
    </row>
    <row r="418" ht="30" customHeight="1" s="78">
      <c r="A418" s="73" t="inlineStr">
        <is>
          <t>QA-006</t>
        </is>
      </c>
      <c r="B418" s="73" t="n">
        <v>33</v>
      </c>
      <c r="C418" s="73" t="inlineStr">
        <is>
          <t>| 1 | Commented out the distance helper | 0% | No | No (`NameError`) | 0/4 | Pass |</t>
        </is>
      </c>
    </row>
    <row r="419" ht="30" customHeight="1" s="78">
      <c r="A419" s="73" t="inlineStr">
        <is>
          <t>QA-006</t>
        </is>
      </c>
      <c r="B419" s="73" t="n">
        <v>34</v>
      </c>
      <c r="C419" s="73" t="inlineStr">
        <is>
          <t>| 2 | Commented out the distance helper | 0% | No | No | 0/4 | Pass |</t>
        </is>
      </c>
    </row>
    <row r="420" ht="30" customHeight="1" s="78">
      <c r="A420" s="73" t="inlineStr">
        <is>
          <t>QA-006</t>
        </is>
      </c>
      <c r="B420" s="73" t="n">
        <v>35</v>
      </c>
      <c r="C420" s="73" t="inlineStr">
        <is>
          <t>| 3 | Commented out the route helper | 0% | No | No | 0/8 | Pass |</t>
        </is>
      </c>
    </row>
    <row r="421" ht="30" customHeight="1" s="78">
      <c r="A421" s="73" t="inlineStr">
        <is>
          <t>QA-006</t>
        </is>
      </c>
      <c r="B421" s="73" t="n">
        <v>36</v>
      </c>
      <c r="C421" s="73" t="inlineStr">
        <is>
          <t>| 4 | Renamed the required function | 0% | No | No | 0/5 | Pass |</t>
        </is>
      </c>
    </row>
    <row r="422" ht="30" customHeight="1" s="78">
      <c r="A422" s="73" t="inlineStr">
        <is>
          <t>QA-006</t>
        </is>
      </c>
      <c r="B422" s="73" t="n">
        <v>37</v>
      </c>
      <c r="C422" s="73" t="inlineStr">
        <is>
          <t>| 5 | Commented out the ROS publisher | 20% | No | Yes | 2/7 | Pass |</t>
        </is>
      </c>
    </row>
    <row r="423" ht="30" customHeight="1" s="78">
      <c r="A423" s="73" t="inlineStr">
        <is>
          <t>QA-006</t>
        </is>
      </c>
      <c r="B423" s="73" t="n">
        <v>38</v>
      </c>
      <c r="C423" s="73" t="inlineStr">
        <is>
          <t>| 6 | Commented out the ROS publisher | 10% | No | Yes | 1/9 | Pass |</t>
        </is>
      </c>
    </row>
    <row r="424" ht="30" customHeight="1" s="78">
      <c r="A424" s="73" t="inlineStr">
        <is>
          <t>QA-006</t>
        </is>
      </c>
      <c r="B424" s="73" t="n">
        <v>39</v>
      </c>
      <c r="C424" s="73" t="n"/>
    </row>
    <row r="425" ht="39.95" customHeight="1" s="78">
      <c r="A425" s="73" t="inlineStr">
        <is>
          <t>QA-006</t>
        </is>
      </c>
      <c r="B425" s="73" t="n">
        <v>40</v>
      </c>
      <c r="C425" s="73" t="inlineStr">
        <is>
          <t>Assignments 5 and 6 intentionally award limited weighted credit for valid package/node structure even when driving behavior is incomplete. The client now displays these exact backend scores rather than converting the check counts to 29% and 11%.</t>
        </is>
      </c>
    </row>
    <row r="426" ht="30" customHeight="1" s="78">
      <c r="A426" s="73" t="inlineStr">
        <is>
          <t>QA-006</t>
        </is>
      </c>
      <c r="B426" s="73" t="n">
        <v>41</v>
      </c>
      <c r="C426" s="73" t="n"/>
    </row>
    <row r="427" ht="30" customHeight="1" s="78">
      <c r="A427" s="73" t="inlineStr">
        <is>
          <t>QA-006</t>
        </is>
      </c>
      <c r="B427" s="73" t="n">
        <v>42</v>
      </c>
      <c r="C427" s="73" t="inlineStr">
        <is>
          <t>## Assignment scoring checks</t>
        </is>
      </c>
    </row>
    <row r="428" ht="30" customHeight="1" s="78">
      <c r="A428" s="73" t="inlineStr">
        <is>
          <t>QA-006</t>
        </is>
      </c>
      <c r="B428" s="73" t="n">
        <v>43</v>
      </c>
      <c r="C428" s="73" t="n"/>
    </row>
    <row r="429" ht="30" customHeight="1" s="78">
      <c r="A429" s="73" t="inlineStr">
        <is>
          <t>QA-006</t>
        </is>
      </c>
      <c r="B429" s="73" t="n">
        <v>44</v>
      </c>
      <c r="C429" s="73" t="inlineStr">
        <is>
          <t>| Assignment | Official answer | Mixed answer | Copied displayed values | Runtime grader |</t>
        </is>
      </c>
    </row>
    <row r="430" ht="30" customHeight="1" s="78">
      <c r="A430" s="73" t="inlineStr">
        <is>
          <t>QA-006</t>
        </is>
      </c>
      <c r="B430" s="73" t="n">
        <v>45</v>
      </c>
      <c r="C430" s="73" t="inlineStr">
        <is>
          <t>|---|---:|---:|---|---|</t>
        </is>
      </c>
    </row>
    <row r="431" ht="30" customHeight="1" s="78">
      <c r="A431" s="73" t="inlineStr">
        <is>
          <t>QA-006</t>
        </is>
      </c>
      <c r="B431" s="73" t="n">
        <v>46</v>
      </c>
      <c r="C431" s="73" t="inlineStr">
        <is>
          <t>| 1: Bug2 route | 100% | 25% | Rejected | Python sandbox |</t>
        </is>
      </c>
    </row>
    <row r="432" ht="30" customHeight="1" s="78">
      <c r="A432" s="73" t="inlineStr">
        <is>
          <t>QA-006</t>
        </is>
      </c>
      <c r="B432" s="73" t="n">
        <v>47</v>
      </c>
      <c r="C432" s="73" t="inlineStr">
        <is>
          <t>| 2: Bug route | 100% | 25% | Rejected | Python sandbox |</t>
        </is>
      </c>
    </row>
    <row r="433" ht="30" customHeight="1" s="78">
      <c r="A433" s="73" t="inlineStr">
        <is>
          <t>QA-006</t>
        </is>
      </c>
      <c r="B433" s="73" t="n">
        <v>48</v>
      </c>
      <c r="C433" s="73" t="inlineStr">
        <is>
          <t>| 3: Elevator routes | 100% | 50% | Rejected | Python sandbox |</t>
        </is>
      </c>
    </row>
    <row r="434" ht="30" customHeight="1" s="78">
      <c r="A434" s="73" t="inlineStr">
        <is>
          <t>QA-006</t>
        </is>
      </c>
      <c r="B434" s="73" t="n">
        <v>49</v>
      </c>
      <c r="C434" s="73" t="inlineStr">
        <is>
          <t>| 4: VFH | 100% | 60% | Rejected | Python sandbox |</t>
        </is>
      </c>
    </row>
    <row r="435" ht="30" customHeight="1" s="78">
      <c r="A435" s="73" t="inlineStr">
        <is>
          <t>QA-006</t>
        </is>
      </c>
      <c r="B435" s="73" t="n">
        <v>50</v>
      </c>
      <c r="C435" s="73" t="inlineStr">
        <is>
          <t>| 5: ROS 2 drive and stop | 100%; 7/7 checks | Weighted by passed behaviors | Not applicable | Real Docker ROS 2 grader |</t>
        </is>
      </c>
    </row>
    <row r="436" ht="30" customHeight="1" s="78">
      <c r="A436" s="73" t="inlineStr">
        <is>
          <t>QA-006</t>
        </is>
      </c>
      <c r="B436" s="73" t="n">
        <v>51</v>
      </c>
      <c r="C436" s="73" t="inlineStr">
        <is>
          <t>| 6: ROS 2 obstacle stop | 100%; 9/9 checks | Weighted by passed behaviors | Not applicable | Real Docker ROS 2 grader |</t>
        </is>
      </c>
    </row>
    <row r="437" ht="30" customHeight="1" s="78">
      <c r="A437" s="73" t="inlineStr">
        <is>
          <t>QA-006</t>
        </is>
      </c>
      <c r="B437" s="73" t="n">
        <v>52</v>
      </c>
      <c r="C437" s="73" t="n"/>
    </row>
    <row r="438" ht="30" customHeight="1" s="78">
      <c r="A438" s="73" t="inlineStr">
        <is>
          <t>QA-006</t>
        </is>
      </c>
      <c r="B438" s="73" t="n">
        <v>53</v>
      </c>
      <c r="C438" s="73" t="inlineStr">
        <is>
          <t>## Final verification</t>
        </is>
      </c>
    </row>
    <row r="439" ht="30" customHeight="1" s="78">
      <c r="A439" s="73" t="inlineStr">
        <is>
          <t>QA-006</t>
        </is>
      </c>
      <c r="B439" s="73" t="n">
        <v>54</v>
      </c>
      <c r="C439" s="73" t="n"/>
    </row>
    <row r="440" ht="30" customHeight="1" s="78">
      <c r="A440" s="73" t="inlineStr">
        <is>
          <t>QA-006</t>
        </is>
      </c>
      <c r="B440" s="73" t="n">
        <v>55</v>
      </c>
      <c r="C440" s="73" t="inlineStr">
        <is>
          <t>| Gate | Evidence | Result |</t>
        </is>
      </c>
    </row>
    <row r="441" ht="30" customHeight="1" s="78">
      <c r="A441" s="73" t="inlineStr">
        <is>
          <t>QA-006</t>
        </is>
      </c>
      <c r="B441" s="73" t="n">
        <v>56</v>
      </c>
      <c r="C441" s="73" t="inlineStr">
        <is>
          <t>|---|---|---|</t>
        </is>
      </c>
    </row>
    <row r="442" ht="30" customHeight="1" s="78">
      <c r="A442" s="73" t="inlineStr">
        <is>
          <t>QA-006</t>
        </is>
      </c>
      <c r="B442" s="73" t="n">
        <v>57</v>
      </c>
      <c r="C442" s="73" t="inlineStr">
        <is>
          <t>| Backend regression | 200 pytest tests passed | Pass |</t>
        </is>
      </c>
    </row>
    <row r="443" ht="30" customHeight="1" s="78">
      <c r="A443" s="73" t="inlineStr">
        <is>
          <t>QA-006</t>
        </is>
      </c>
      <c r="B443" s="73" t="n">
        <v>58</v>
      </c>
      <c r="C443" s="73" t="inlineStr">
        <is>
          <t>| Dependency integrity | pip check reported no broken requirements | Pass |</t>
        </is>
      </c>
    </row>
    <row r="444" ht="30" customHeight="1" s="78">
      <c r="A444" s="73" t="inlineStr">
        <is>
          <t>QA-006</t>
        </is>
      </c>
      <c r="B444" s="73" t="n">
        <v>59</v>
      </c>
      <c r="C444" s="73" t="inlineStr">
        <is>
          <t>| Flutter static analysis | No issues found | Pass |</t>
        </is>
      </c>
    </row>
    <row r="445" ht="30" customHeight="1" s="78">
      <c r="A445" s="73" t="inlineStr">
        <is>
          <t>QA-006</t>
        </is>
      </c>
      <c r="B445" s="73" t="n">
        <v>60</v>
      </c>
      <c r="C445" s="73" t="inlineStr">
        <is>
          <t>| Flutter automated tests | 52 tests passed | Pass |</t>
        </is>
      </c>
    </row>
    <row r="446" ht="30" customHeight="1" s="78">
      <c r="A446" s="73" t="inlineStr">
        <is>
          <t>QA-006</t>
        </is>
      </c>
      <c r="B446" s="73" t="n">
        <v>61</v>
      </c>
      <c r="C446" s="73" t="inlineStr">
        <is>
          <t>| Flutter release web build | Release build completed in the OneDrive-safe build directory | Pass |</t>
        </is>
      </c>
    </row>
    <row r="447" ht="39.95" customHeight="1" s="78">
      <c r="A447" s="73" t="inlineStr">
        <is>
          <t>QA-006</t>
        </is>
      </c>
      <c r="B447" s="73" t="n">
        <v>62</v>
      </c>
      <c r="C447" s="73" t="inlineStr">
        <is>
          <t>| Manual stale-result scenario | Correct answer produced 100%; editing the code hid the result and labeled 100% as the previous score; rerunning broken code produced 0% | Pass |</t>
        </is>
      </c>
    </row>
    <row r="448" ht="39.95" customHeight="1" s="78">
      <c r="A448" s="73" t="inlineStr">
        <is>
          <t>QA-006</t>
        </is>
      </c>
      <c r="B448" s="73" t="n">
        <v>63</v>
      </c>
      <c r="C448" s="73" t="inlineStr">
        <is>
          <t>| Weighted-score UI regression | A response with one of two checks passing and a backend score of 35% displayed score 35% and pass rate 50% | Pass |</t>
        </is>
      </c>
    </row>
    <row r="449" ht="30" customHeight="1" s="78">
      <c r="A449" s="73" t="inlineStr">
        <is>
          <t>QA-006</t>
        </is>
      </c>
      <c r="B449" s="73" t="n">
        <v>64</v>
      </c>
      <c r="C449" s="73" t="inlineStr">
        <is>
          <t>| ROS 2 Assignment 5 | Real Docker grader passed 7/7 checks; 78 Twist messages at about 10.0 Hz | Pass |</t>
        </is>
      </c>
    </row>
    <row r="450" ht="30" customHeight="1" s="78">
      <c r="A450" s="73" t="inlineStr">
        <is>
          <t>QA-006</t>
        </is>
      </c>
      <c r="B450" s="73" t="n">
        <v>65</v>
      </c>
      <c r="C450" s="73" t="inlineStr">
        <is>
          <t>| ROS 2 Assignment 6 | Real Docker grader passed 9/9 checks; 44 settled Twist messages at about 9.2 Hz | Pass |</t>
        </is>
      </c>
    </row>
    <row r="451" ht="30" customHeight="1" s="78">
      <c r="A451" s="73" t="inlineStr">
        <is>
          <t>QA-006</t>
        </is>
      </c>
      <c r="B451" s="73" t="n">
        <v>66</v>
      </c>
      <c r="C451" s="73" t="n"/>
    </row>
    <row r="452" ht="30" customHeight="1" s="78">
      <c r="A452" s="73" t="inlineStr">
        <is>
          <t>QA-006</t>
        </is>
      </c>
      <c r="B452" s="73" t="n">
        <v>67</v>
      </c>
      <c r="C452" s="73" t="inlineStr">
        <is>
          <t>## Security and research safeguards</t>
        </is>
      </c>
    </row>
    <row r="453" ht="30" customHeight="1" s="78">
      <c r="A453" s="73" t="inlineStr">
        <is>
          <t>QA-006</t>
        </is>
      </c>
      <c r="B453" s="73" t="n">
        <v>68</v>
      </c>
      <c r="C453" s="73" t="n"/>
    </row>
    <row r="454" ht="30" customHeight="1" s="78">
      <c r="A454" s="73" t="inlineStr">
        <is>
          <t>QA-006</t>
        </is>
      </c>
      <c r="B454" s="73" t="n">
        <v>69</v>
      </c>
      <c r="C454" s="73" t="inlineStr">
        <is>
          <t>- Hidden parameter scenarios remain in server-side assignment configuration and are excluded from student API responses.</t>
        </is>
      </c>
    </row>
    <row r="455" ht="30" customHeight="1" s="78">
      <c r="A455" s="73" t="inlineStr">
        <is>
          <t>QA-006</t>
        </is>
      </c>
      <c r="B455" s="73" t="n">
        <v>70</v>
      </c>
      <c r="C455" s="73" t="inlineStr">
        <is>
          <t>- Student output generated during hidden function calls is discarded.</t>
        </is>
      </c>
    </row>
    <row r="456" ht="30" customHeight="1" s="78">
      <c r="A456" s="73" t="inlineStr">
        <is>
          <t>QA-006</t>
        </is>
      </c>
      <c r="B456" s="73" t="n">
        <v>71</v>
      </c>
      <c r="C456" s="73" t="inlineStr">
        <is>
          <t>- The grader reports criterion-level guidance without returning hidden inputs or official solution code.</t>
        </is>
      </c>
    </row>
    <row r="457" ht="30" customHeight="1" s="78">
      <c r="A457" s="73" t="inlineStr">
        <is>
          <t>QA-006</t>
        </is>
      </c>
      <c r="B457" s="73" t="n">
        <v>72</v>
      </c>
      <c r="C457" s="73" t="inlineStr">
        <is>
          <t>- AI remains optional and does not affect test-driven scores.</t>
        </is>
      </c>
    </row>
    <row r="458" ht="30" customHeight="1" s="78">
      <c r="A458" s="73" t="inlineStr">
        <is>
          <t>QA-006</t>
        </is>
      </c>
      <c r="B458" s="73" t="n">
        <v>73</v>
      </c>
      <c r="C458" s="73" t="inlineStr">
        <is>
          <t>- Assignment versions were increased so future submissions retain the exact content and grading version used.</t>
        </is>
      </c>
    </row>
    <row r="459" ht="30" customHeight="1" s="78">
      <c r="A459" s="73" t="inlineStr">
        <is>
          <t>QA-006</t>
        </is>
      </c>
      <c r="B459" s="73" t="n">
        <v>74</v>
      </c>
      <c r="C459" s="73" t="n"/>
    </row>
    <row r="460" ht="30" customHeight="1" s="78">
      <c r="A460" s="73" t="inlineStr">
        <is>
          <t>QA-006</t>
        </is>
      </c>
      <c r="B460" s="73" t="n">
        <v>75</v>
      </c>
      <c r="C460" s="73" t="inlineStr">
        <is>
          <t>## Remaining limitations</t>
        </is>
      </c>
    </row>
    <row r="461" ht="30" customHeight="1" s="78">
      <c r="A461" s="73" t="inlineStr">
        <is>
          <t>QA-006</t>
        </is>
      </c>
      <c r="B461" s="73" t="n">
        <v>76</v>
      </c>
      <c r="C461" s="73" t="n"/>
    </row>
    <row r="462" ht="30" customHeight="1" s="78">
      <c r="A462" s="73" t="inlineStr">
        <is>
          <t>QA-006</t>
        </is>
      </c>
      <c r="B462" s="73" t="n">
        <v>77</v>
      </c>
      <c r="C462" s="73" t="inlineStr">
        <is>
          <t>- Docker Desktop with Linux containers is required to grade Assignments 5 and 6 locally.</t>
        </is>
      </c>
    </row>
    <row r="463" ht="30" customHeight="1" s="78">
      <c r="A463" s="73" t="inlineStr">
        <is>
          <t>QA-006</t>
        </is>
      </c>
      <c r="B463" s="73" t="n">
        <v>78</v>
      </c>
      <c r="C463" s="73" t="inlineStr">
        <is>
          <t>- No physical mobile-device test was performed; the narrow-screen Flutter widget test passed.</t>
        </is>
      </c>
    </row>
    <row r="464" ht="30" customHeight="1" s="78">
      <c r="A464" s="73" t="inlineStr">
        <is>
          <t>QA-006</t>
        </is>
      </c>
      <c r="B464" s="73" t="n">
        <v>79</v>
      </c>
      <c r="C464" s="73" t="inlineStr">
        <is>
          <t>- The September 24 Assignment 4 starter correction has not been deployed to production.</t>
        </is>
      </c>
    </row>
    <row r="465" ht="30" customHeight="1" s="78">
      <c r="A465" s="73" t="inlineStr">
        <is>
          <t>QA-006</t>
        </is>
      </c>
      <c r="B465" s="73" t="n">
        <v>80</v>
      </c>
      <c r="C465" s="73" t="n"/>
    </row>
    <row r="466" ht="30" customHeight="1" s="78">
      <c r="A466" s="73" t="inlineStr">
        <is>
          <t>QA-006</t>
        </is>
      </c>
      <c r="B466" s="73" t="n">
        <v>81</v>
      </c>
      <c r="C466" s="73" t="inlineStr">
        <is>
          <t>## September 24 follow-up: untouched Assignment 4 starter</t>
        </is>
      </c>
    </row>
    <row r="467" ht="30" customHeight="1" s="78">
      <c r="A467" s="73" t="inlineStr">
        <is>
          <t>QA-006</t>
        </is>
      </c>
      <c r="B467" s="73" t="n">
        <v>82</v>
      </c>
      <c r="C467" s="73" t="n"/>
    </row>
    <row r="468" ht="30" customHeight="1" s="78">
      <c r="A468" s="73" t="inlineStr">
        <is>
          <t>QA-006</t>
        </is>
      </c>
      <c r="B468" s="73" t="n">
        <v>83</v>
      </c>
      <c r="C468" s="73" t="inlineStr">
        <is>
          <t>Environment: canonical Windows staging checkout and local app, based on staging `main` commit `cb1c565`; Neon staging database; AI disabled.</t>
        </is>
      </c>
    </row>
    <row r="469" ht="30" customHeight="1" s="78">
      <c r="A469" s="73" t="inlineStr">
        <is>
          <t>QA-006</t>
        </is>
      </c>
      <c r="B469" s="73" t="n">
        <v>84</v>
      </c>
      <c r="C469" s="73" t="n"/>
    </row>
    <row r="470" ht="30" customHeight="1" s="78">
      <c r="A470" s="73" t="inlineStr">
        <is>
          <t>QA-006</t>
        </is>
      </c>
      <c r="B470" s="73" t="n">
        <v>85</v>
      </c>
      <c r="C470" s="73" t="inlineStr">
        <is>
          <t>| Check | Expected | Actual | Result |</t>
        </is>
      </c>
    </row>
    <row r="471" ht="30" customHeight="1" s="78">
      <c r="A471" s="73" t="inlineStr">
        <is>
          <t>QA-006</t>
        </is>
      </c>
      <c r="B471" s="73" t="n">
        <v>86</v>
      </c>
      <c r="C471" s="73" t="inlineStr">
        <is>
          <t>|---|---|---|---|</t>
        </is>
      </c>
    </row>
    <row r="472" ht="39.95" customHeight="1" s="78">
      <c r="A472" s="73" t="inlineStr">
        <is>
          <t>QA-006</t>
        </is>
      </c>
      <c r="B472" s="73" t="n">
        <v>87</v>
      </c>
      <c r="C472" s="73" t="inlineStr">
        <is>
          <t>| Untouched starter | Runs successfully and earns 0% because no student task is completed | Assignment version 7 returned 0%, execution succeeded, and all five criteria failed | PASS |</t>
        </is>
      </c>
    </row>
    <row r="473" ht="39.95" customHeight="1" s="78">
      <c r="A473" s="73" t="inlineStr">
        <is>
          <t>QA-006</t>
        </is>
      </c>
      <c r="B473" s="73" t="n">
        <v>88</v>
      </c>
      <c r="C473" s="73" t="inlineStr">
        <is>
          <t>| Student browser flow | Untouched starter shows 0% after Run tests | Clean Chrome student-demo session showed 0%, Passed 0, Failed 5, and output `5 0 0.0 0 0.0` | PASS |</t>
        </is>
      </c>
    </row>
    <row r="474" ht="30" customHeight="1" s="78">
      <c r="A474" s="73" t="inlineStr">
        <is>
          <t>QA-006</t>
        </is>
      </c>
      <c r="B474" s="73" t="n">
        <v>89</v>
      </c>
      <c r="C474" s="73" t="inlineStr">
        <is>
          <t>| Official answer | Still earns 100% | Focused classroom test passed | PASS |</t>
        </is>
      </c>
    </row>
    <row r="475" ht="30" customHeight="1" s="78">
      <c r="A475" s="73" t="inlineStr">
        <is>
          <t>QA-006</t>
        </is>
      </c>
      <c r="B475" s="73" t="n">
        <v>90</v>
      </c>
      <c r="C475" s="73" t="inlineStr">
        <is>
          <t>| Partial answer | Retains rubric-based partial credit | Focused classroom test returned the expected 60% | PASS |</t>
        </is>
      </c>
    </row>
    <row r="476" ht="39.95" customHeight="1" s="78">
      <c r="A476" s="73" t="inlineStr">
        <is>
          <t>QA-006</t>
        </is>
      </c>
      <c r="B476" s="73" t="n">
        <v>91</v>
      </c>
      <c r="C476" s="73" t="inlineStr">
        <is>
          <t>| Existing assignment upgrade | New seed version loads without changing older attempt versions | Local app served version 7 after restart; assignment repository upgrade test passed | PASS |</t>
        </is>
      </c>
    </row>
    <row r="477" ht="30" customHeight="1" s="78">
      <c r="A477" s="73" t="inlineStr">
        <is>
          <t>QA-006</t>
        </is>
      </c>
      <c r="B477" s="73" t="n">
        <v>92</v>
      </c>
      <c r="C477" s="73" t="inlineStr">
        <is>
          <t>| Backend regression | No backend failures | 201 backend tests passed | PASS |</t>
        </is>
      </c>
    </row>
    <row r="478" ht="30" customHeight="1" s="78">
      <c r="A478" s="73" t="inlineStr">
        <is>
          <t>QA-006</t>
        </is>
      </c>
      <c r="B478" s="73" t="n">
        <v>93</v>
      </c>
      <c r="C478" s="73" t="n"/>
    </row>
    <row r="479" ht="54" customHeight="1" s="78">
      <c r="A479" s="73" t="inlineStr">
        <is>
          <t>QA-006</t>
        </is>
      </c>
      <c r="B479" s="73" t="n">
        <v>94</v>
      </c>
      <c r="C479" s="73" t="inlineStr">
        <is>
          <t>Confirmed cause: version 6 supplied working code for the complete-sector and inclusive-window criteria, so its untouched starter earned two 20-point criteria. Version 7 leaves those operations for the student while keeping the starter executable. Existing browser drafts are scoped by assignment version, so an old version 6 draft is not loaded as version 7 code.</t>
        </is>
      </c>
    </row>
    <row r="480" ht="30" customHeight="1" s="78">
      <c r="A480" s="73" t="inlineStr">
        <is>
          <t>QA-006</t>
        </is>
      </c>
      <c r="B480" s="73" t="n">
        <v>95</v>
      </c>
      <c r="C480" s="73" t="n"/>
    </row>
    <row r="481" ht="30" customHeight="1" s="78">
      <c r="A481" s="73" t="inlineStr">
        <is>
          <t>QA-007</t>
        </is>
      </c>
      <c r="B481" s="73" t="n">
        <v>1</v>
      </c>
      <c r="C481" s="73" t="inlineStr">
        <is>
          <t># Local PostgreSQL OneDrive Handoff SQA Report</t>
        </is>
      </c>
    </row>
    <row r="482" ht="30" customHeight="1" s="78">
      <c r="A482" s="73" t="inlineStr">
        <is>
          <t>QA-007</t>
        </is>
      </c>
      <c r="B482" s="73" t="n">
        <v>2</v>
      </c>
      <c r="C482" s="73" t="n"/>
    </row>
    <row r="483" ht="30" customHeight="1" s="78">
      <c r="A483" s="73" t="inlineStr">
        <is>
          <t>QA-007</t>
        </is>
      </c>
      <c r="B483" s="73" t="n">
        <v>3</v>
      </c>
      <c r="C483" s="73" t="inlineStr">
        <is>
          <t>**Date:** 2026-08-24</t>
        </is>
      </c>
    </row>
    <row r="484" ht="30" customHeight="1" s="78">
      <c r="A484" s="73" t="inlineStr">
        <is>
          <t>QA-007</t>
        </is>
      </c>
      <c r="B484" s="73" t="n">
        <v>4</v>
      </c>
      <c r="C484" s="73" t="inlineStr">
        <is>
          <t>**Repository:** `CS-Ponkoj/Robotics-Programming-Lab-Staging`</t>
        </is>
      </c>
    </row>
    <row r="485" ht="30" customHeight="1" s="78">
      <c r="A485" s="73" t="inlineStr">
        <is>
          <t>QA-007</t>
        </is>
      </c>
      <c r="B485" s="73" t="n">
        <v>5</v>
      </c>
      <c r="C485" s="73" t="inlineStr">
        <is>
          <t>**Branch:** `feature/local-postgres-onedrive-handoff`</t>
        </is>
      </c>
    </row>
    <row r="486" ht="30" customHeight="1" s="78">
      <c r="A486" s="73" t="inlineStr">
        <is>
          <t>QA-007</t>
        </is>
      </c>
      <c r="B486" s="73" t="n">
        <v>6</v>
      </c>
      <c r="C486" s="73" t="inlineStr">
        <is>
          <t>**Base commit:** `c36a9da1b6391393d9fc60294af54ce75cd9814d`</t>
        </is>
      </c>
    </row>
    <row r="487" ht="30" customHeight="1" s="78">
      <c r="A487" s="73" t="inlineStr">
        <is>
          <t>QA-007</t>
        </is>
      </c>
      <c r="B487" s="73" t="n">
        <v>7</v>
      </c>
      <c r="C487" s="73" t="inlineStr">
        <is>
          <t>**Environment:** `PONKOJ-PC`, Windows x64, Python 3.14.7, PostgreSQL 17,</t>
        </is>
      </c>
    </row>
    <row r="488" ht="30" customHeight="1" s="78">
      <c r="A488" s="73" t="inlineStr">
        <is>
          <t>QA-007</t>
        </is>
      </c>
      <c r="B488" s="73" t="n">
        <v>8</v>
      </c>
      <c r="C488" s="73" t="inlineStr">
        <is>
          <t>Docker Desktop Linux containers, Flutter web, AI disabled</t>
        </is>
      </c>
    </row>
    <row r="489" ht="30" customHeight="1" s="78">
      <c r="A489" s="73" t="inlineStr">
        <is>
          <t>QA-007</t>
        </is>
      </c>
      <c r="B489" s="73" t="n">
        <v>9</v>
      </c>
      <c r="C489" s="73" t="n"/>
    </row>
    <row r="490" ht="30" customHeight="1" s="78">
      <c r="A490" s="73" t="inlineStr">
        <is>
          <t>QA-007</t>
        </is>
      </c>
      <c r="B490" s="73" t="n">
        <v>10</v>
      </c>
      <c r="C490" s="73" t="inlineStr">
        <is>
          <t>## Decision</t>
        </is>
      </c>
    </row>
    <row r="491" ht="30" customHeight="1" s="78">
      <c r="A491" s="73" t="inlineStr">
        <is>
          <t>QA-007</t>
        </is>
      </c>
      <c r="B491" s="73" t="n">
        <v>11</v>
      </c>
      <c r="C491" s="73" t="n"/>
    </row>
    <row r="492" ht="30" customHeight="1" s="78">
      <c r="A492" s="73" t="inlineStr">
        <is>
          <t>QA-007</t>
        </is>
      </c>
      <c r="B492" s="73" t="n">
        <v>12</v>
      </c>
      <c r="C492" s="73" t="inlineStr">
        <is>
          <t>**PASS for local staging use on the primary desktop.** The default launcher now</t>
        </is>
      </c>
    </row>
    <row r="493" ht="30" customHeight="1" s="78">
      <c r="A493" s="73" t="inlineStr">
        <is>
          <t>QA-007</t>
        </is>
      </c>
      <c r="B493" s="73" t="n">
        <v>13</v>
      </c>
      <c r="C493" s="73" t="inlineStr">
        <is>
          <t>uses PostgreSQL in a computer-local Docker volume and creates a verified logical</t>
        </is>
      </c>
    </row>
    <row r="494" ht="30" customHeight="1" s="78">
      <c r="A494" s="73" t="inlineStr">
        <is>
          <t>QA-007</t>
        </is>
      </c>
      <c r="B494" s="73" t="n">
        <v>14</v>
      </c>
      <c r="C494" s="73" t="inlineStr">
        <is>
          <t>backup in the OneDrive project on clean shutdown. Existing SQLite files were</t>
        </is>
      </c>
    </row>
    <row r="495" ht="30" customHeight="1" s="78">
      <c r="A495" s="73" t="inlineStr">
        <is>
          <t>QA-007</t>
        </is>
      </c>
      <c r="B495" s="73" t="n">
        <v>15</v>
      </c>
      <c r="C495" s="73" t="inlineStr">
        <is>
          <t>preserved. The latest repeatable migration copied the canonical SQLite</t>
        </is>
      </c>
    </row>
    <row r="496" ht="30" customHeight="1" s="78">
      <c r="A496" s="73" t="inlineStr">
        <is>
          <t>QA-007</t>
        </is>
      </c>
      <c r="B496" s="73" t="n">
        <v>16</v>
      </c>
      <c r="C496" s="73" t="inlineStr">
        <is>
          <t>database's 183 current application rows into an empty PostgreSQL database. The</t>
        </is>
      </c>
    </row>
    <row r="497" ht="30" customHeight="1" s="78">
      <c r="A497" s="73" t="inlineStr">
        <is>
          <t>QA-007</t>
        </is>
      </c>
      <c r="B497" s="73" t="n">
        <v>17</v>
      </c>
      <c r="C497" s="73" t="inlineStr">
        <is>
          <t>data survived backup, volume destruction, clean-device restore, application</t>
        </is>
      </c>
    </row>
    <row r="498" ht="30" customHeight="1" s="78">
      <c r="A498" s="73" t="inlineStr">
        <is>
          <t>QA-007</t>
        </is>
      </c>
      <c r="B498" s="73" t="n">
        <v>18</v>
      </c>
      <c r="C498" s="73" t="inlineStr">
        <is>
          <t>restart, and integrated assignment submissions.</t>
        </is>
      </c>
    </row>
    <row r="499" ht="30" customHeight="1" s="78">
      <c r="A499" s="73" t="inlineStr">
        <is>
          <t>QA-007</t>
        </is>
      </c>
      <c r="B499" s="73" t="n">
        <v>19</v>
      </c>
      <c r="C499" s="73" t="n"/>
    </row>
    <row r="500" ht="30" customHeight="1" s="78">
      <c r="A500" s="73" t="inlineStr">
        <is>
          <t>QA-007</t>
        </is>
      </c>
      <c r="B500" s="73" t="n">
        <v>20</v>
      </c>
      <c r="C500" s="73" t="inlineStr">
        <is>
          <t>This is a sequential desktop/laptop handoff workflow. It does not support</t>
        </is>
      </c>
    </row>
    <row r="501" ht="30" customHeight="1" s="78">
      <c r="A501" s="73" t="inlineStr">
        <is>
          <t>QA-007</t>
        </is>
      </c>
      <c r="B501" s="73" t="n">
        <v>21</v>
      </c>
      <c r="C501" s="73" t="inlineStr">
        <is>
          <t>simultaneous use. A physical laptop and real OneDrive transfer remain to be</t>
        </is>
      </c>
    </row>
    <row r="502" ht="30" customHeight="1" s="78">
      <c r="A502" s="73" t="inlineStr">
        <is>
          <t>QA-007</t>
        </is>
      </c>
      <c r="B502" s="73" t="n">
        <v>22</v>
      </c>
      <c r="C502" s="73" t="inlineStr">
        <is>
          <t>rehearsed before treating cross-device operation as fully verified.</t>
        </is>
      </c>
    </row>
    <row r="503" ht="30" customHeight="1" s="78">
      <c r="A503" s="73" t="inlineStr">
        <is>
          <t>QA-007</t>
        </is>
      </c>
      <c r="B503" s="73" t="n">
        <v>23</v>
      </c>
      <c r="C503" s="73" t="n"/>
    </row>
    <row r="504" ht="30" customHeight="1" s="78">
      <c r="A504" s="73" t="inlineStr">
        <is>
          <t>QA-007</t>
        </is>
      </c>
      <c r="B504" s="73" t="n">
        <v>24</v>
      </c>
      <c r="C504" s="73" t="inlineStr">
        <is>
          <t>## Database behavior</t>
        </is>
      </c>
    </row>
    <row r="505" ht="30" customHeight="1" s="78">
      <c r="A505" s="73" t="inlineStr">
        <is>
          <t>QA-007</t>
        </is>
      </c>
      <c r="B505" s="73" t="n">
        <v>25</v>
      </c>
      <c r="C505" s="73" t="n"/>
    </row>
    <row r="506" ht="30" customHeight="1" s="78">
      <c r="A506" s="73" t="inlineStr">
        <is>
          <t>QA-007</t>
        </is>
      </c>
      <c r="B506" s="73" t="n">
        <v>26</v>
      </c>
      <c r="C506" s="73" t="inlineStr">
        <is>
          <t>| Requirement | Evidence | Result |</t>
        </is>
      </c>
    </row>
    <row r="507" ht="30" customHeight="1" s="78">
      <c r="A507" s="73" t="inlineStr">
        <is>
          <t>QA-007</t>
        </is>
      </c>
      <c r="B507" s="73" t="n">
        <v>27</v>
      </c>
      <c r="C507" s="73" t="inlineStr">
        <is>
          <t>| --- | --- | --- |</t>
        </is>
      </c>
    </row>
    <row r="508" ht="30" customHeight="1" s="78">
      <c r="A508" s="73" t="inlineStr">
        <is>
          <t>QA-007</t>
        </is>
      </c>
      <c r="B508" s="73" t="n">
        <v>28</v>
      </c>
      <c r="C508" s="73" t="inlineStr">
        <is>
          <t>| PostgreSQL default | `run-local.ps1` started PostgreSQL 17 and `/health` reported `database=postgresql` | PASS |</t>
        </is>
      </c>
    </row>
    <row r="509" ht="30" customHeight="1" s="78">
      <c r="A509" s="73" t="inlineStr">
        <is>
          <t>QA-007</t>
        </is>
      </c>
      <c r="B509" s="73" t="n">
        <v>29</v>
      </c>
      <c r="C509" s="73" t="inlineStr">
        <is>
          <t>| Active files stay out of OneDrive | PostgreSQL used Docker volume `robotics-lab-local_robotics_postgres_data` | PASS |</t>
        </is>
      </c>
    </row>
    <row r="510" ht="30" customHeight="1" s="78">
      <c r="A510" s="73" t="inlineStr">
        <is>
          <t>QA-007</t>
        </is>
      </c>
      <c r="B510" s="73" t="n">
        <v>30</v>
      </c>
      <c r="C510" s="73" t="inlineStr">
        <is>
          <t>| First-run migration | Alembic upgraded a fresh PostgreSQL database through `0003_standardize_existing_data` | PASS |</t>
        </is>
      </c>
    </row>
    <row r="511" ht="30" customHeight="1" s="78">
      <c r="A511" s="73" t="inlineStr">
        <is>
          <t>QA-007</t>
        </is>
      </c>
      <c r="B511" s="73" t="n">
        <v>31</v>
      </c>
      <c r="C511" s="73" t="inlineStr">
        <is>
          <t>| Existing data preserved | Read-only transfer copied all 183 current application rows from `robotics_lab_staging.db` | PASS |</t>
        </is>
      </c>
    </row>
    <row r="512" ht="30" customHeight="1" s="78">
      <c r="A512" s="73" t="inlineStr">
        <is>
          <t>QA-007</t>
        </is>
      </c>
      <c r="B512" s="73" t="n">
        <v>32</v>
      </c>
      <c r="C512" s="73" t="inlineStr">
        <is>
          <t>| No unsafe merge | Transfer code rejects a non-empty target; idempotent first-start mode skips it | PASS |</t>
        </is>
      </c>
    </row>
    <row r="513" ht="30" customHeight="1" s="78">
      <c r="A513" s="73" t="inlineStr">
        <is>
          <t>QA-007</t>
        </is>
      </c>
      <c r="B513" s="73" t="n">
        <v>33</v>
      </c>
      <c r="C513" s="73" t="inlineStr">
        <is>
          <t>| Complete backup | `pg_dump --format=custom` produced `latest.dump`; `pg_restore --list` validated it | PASS |</t>
        </is>
      </c>
    </row>
    <row r="514" ht="30" customHeight="1" s="78">
      <c r="A514" s="73" t="inlineStr">
        <is>
          <t>QA-007</t>
        </is>
      </c>
      <c r="B514" s="73" t="n">
        <v>34</v>
      </c>
      <c r="C514" s="73" t="inlineStr">
        <is>
          <t>| Copy integrity | SHA-256 of the copied dump matched `latest.json` | PASS |</t>
        </is>
      </c>
    </row>
    <row r="515" ht="30" customHeight="1" s="78">
      <c r="A515" s="73" t="inlineStr">
        <is>
          <t>QA-007</t>
        </is>
      </c>
      <c r="B515" s="73" t="n">
        <v>35</v>
      </c>
      <c r="C515" s="73" t="inlineStr">
        <is>
          <t>| Damaged-copy rejection | A deliberately modified test dump was rejected before restore | PASS |</t>
        </is>
      </c>
    </row>
    <row r="516" ht="30" customHeight="1" s="78">
      <c r="A516" s="73" t="inlineStr">
        <is>
          <t>QA-007</t>
        </is>
      </c>
      <c r="B516" s="73" t="n">
        <v>36</v>
      </c>
      <c r="C516" s="73" t="inlineStr">
        <is>
          <t>| Recovery point | The preceding successful dump and manifest are retained as `previous.*` | PASS |</t>
        </is>
      </c>
    </row>
    <row r="517" ht="30" customHeight="1" s="78">
      <c r="A517" s="73" t="inlineStr">
        <is>
          <t>QA-007</t>
        </is>
      </c>
      <c r="B517" s="73" t="n">
        <v>37</v>
      </c>
      <c r="C517" s="73" t="inlineStr">
        <is>
          <t>| Device exclusion | A simulated second computer was rejected while the first device lock existed | PASS |</t>
        </is>
      </c>
    </row>
    <row r="518" ht="30" customHeight="1" s="78">
      <c r="A518" s="73" t="inlineStr">
        <is>
          <t>QA-007</t>
        </is>
      </c>
      <c r="B518" s="73" t="n">
        <v>38</v>
      </c>
      <c r="C518" s="73" t="inlineStr">
        <is>
          <t>| Clean-device restore | An isolated Docker volume was destroyed and recreated; the synchronized dump restored | PASS |</t>
        </is>
      </c>
    </row>
    <row r="519" ht="39.95" customHeight="1" s="78">
      <c r="A519" s="73" t="inlineStr">
        <is>
          <t>QA-007</t>
        </is>
      </c>
      <c r="B519" s="73" t="n">
        <v>39</v>
      </c>
      <c r="C519" s="73" t="inlineStr">
        <is>
          <t>| Same-device volume-loss restore | The isolated volume was destroyed while retaining the original device sync marker; missing schema forced a verified restore | PASS |</t>
        </is>
      </c>
    </row>
    <row r="520" ht="30" customHeight="1" s="78">
      <c r="A520" s="73" t="inlineStr">
        <is>
          <t>QA-007</t>
        </is>
      </c>
      <c r="B520" s="73" t="n">
        <v>40</v>
      </c>
      <c r="C520" s="73" t="inlineStr">
        <is>
          <t>| Row-count reconciliation | All nine application-table counts matched after restore | PASS |</t>
        </is>
      </c>
    </row>
    <row r="521" ht="30" customHeight="1" s="78">
      <c r="A521" s="73" t="inlineStr">
        <is>
          <t>QA-007</t>
        </is>
      </c>
      <c r="B521" s="73" t="n">
        <v>41</v>
      </c>
      <c r="C521" s="73" t="inlineStr">
        <is>
          <t>| Restart persistence | The real local stack restarted with PostgreSQL and retained all 62 submissions | PASS |</t>
        </is>
      </c>
    </row>
    <row r="522" ht="30" customHeight="1" s="78">
      <c r="A522" s="73" t="inlineStr">
        <is>
          <t>QA-007</t>
        </is>
      </c>
      <c r="B522" s="73" t="n">
        <v>42</v>
      </c>
      <c r="C522" s="73" t="inlineStr">
        <is>
          <t>| SQLite fallback | Explicit `-UseSqlite` behavior is retained for disposable troubleshooting | PASS |</t>
        </is>
      </c>
    </row>
    <row r="523" ht="30" customHeight="1" s="78">
      <c r="A523" s="73" t="inlineStr">
        <is>
          <t>QA-007</t>
        </is>
      </c>
      <c r="B523" s="73" t="n">
        <v>43</v>
      </c>
      <c r="C523" s="73" t="inlineStr">
        <is>
          <t>| Secrets and generated data | Dumps, manifests, locks, local databases, and `.env` remain ignored by Git | PASS |</t>
        </is>
      </c>
    </row>
    <row r="524" ht="30" customHeight="1" s="78">
      <c r="A524" s="73" t="inlineStr">
        <is>
          <t>QA-007</t>
        </is>
      </c>
      <c r="B524" s="73" t="n">
        <v>44</v>
      </c>
      <c r="C524" s="73" t="n"/>
    </row>
    <row r="525" ht="30" customHeight="1" s="78">
      <c r="A525" s="73" t="inlineStr">
        <is>
          <t>QA-007</t>
        </is>
      </c>
      <c r="B525" s="73" t="n">
        <v>45</v>
      </c>
      <c r="C525" s="73" t="inlineStr">
        <is>
          <t>## Latest verified legacy-source row counts</t>
        </is>
      </c>
    </row>
    <row r="526" ht="30" customHeight="1" s="78">
      <c r="A526" s="73" t="inlineStr">
        <is>
          <t>QA-007</t>
        </is>
      </c>
      <c r="B526" s="73" t="n">
        <v>46</v>
      </c>
      <c r="C526" s="73" t="n"/>
    </row>
    <row r="527" ht="30" customHeight="1" s="78">
      <c r="A527" s="73" t="inlineStr">
        <is>
          <t>QA-007</t>
        </is>
      </c>
      <c r="B527" s="73" t="n">
        <v>47</v>
      </c>
      <c r="C527" s="73" t="inlineStr">
        <is>
          <t>| Table | Rows |</t>
        </is>
      </c>
    </row>
    <row r="528" ht="30" customHeight="1" s="78">
      <c r="A528" s="73" t="inlineStr">
        <is>
          <t>QA-007</t>
        </is>
      </c>
      <c r="B528" s="73" t="n">
        <v>48</v>
      </c>
      <c r="C528" s="73" t="inlineStr">
        <is>
          <t>| --- | ---: |</t>
        </is>
      </c>
    </row>
    <row r="529" ht="30" customHeight="1" s="78">
      <c r="A529" s="73" t="inlineStr">
        <is>
          <t>QA-007</t>
        </is>
      </c>
      <c r="B529" s="73" t="n">
        <v>49</v>
      </c>
      <c r="C529" s="73" t="inlineStr">
        <is>
          <t>| `assignments` | 6 |</t>
        </is>
      </c>
    </row>
    <row r="530" ht="30" customHeight="1" s="78">
      <c r="A530" s="73" t="inlineStr">
        <is>
          <t>QA-007</t>
        </is>
      </c>
      <c r="B530" s="73" t="n">
        <v>50</v>
      </c>
      <c r="C530" s="73" t="inlineStr">
        <is>
          <t>| `users` | 2 |</t>
        </is>
      </c>
    </row>
    <row r="531" ht="30" customHeight="1" s="78">
      <c r="A531" s="73" t="inlineStr">
        <is>
          <t>QA-007</t>
        </is>
      </c>
      <c r="B531" s="73" t="n">
        <v>51</v>
      </c>
      <c r="C531" s="73" t="inlineStr">
        <is>
          <t>| `submissions` | 40 |</t>
        </is>
      </c>
    </row>
    <row r="532" ht="30" customHeight="1" s="78">
      <c r="A532" s="73" t="inlineStr">
        <is>
          <t>QA-007</t>
        </is>
      </c>
      <c r="B532" s="73" t="n">
        <v>52</v>
      </c>
      <c r="C532" s="73" t="inlineStr">
        <is>
          <t>| `hint_interactions` | 5 |</t>
        </is>
      </c>
    </row>
    <row r="533" ht="30" customHeight="1" s="78">
      <c r="A533" s="73" t="inlineStr">
        <is>
          <t>QA-007</t>
        </is>
      </c>
      <c r="B533" s="73" t="n">
        <v>53</v>
      </c>
      <c r="C533" s="73" t="inlineStr">
        <is>
          <t>| `study_sessions` | 4 |</t>
        </is>
      </c>
    </row>
    <row r="534" ht="30" customHeight="1" s="78">
      <c r="A534" s="73" t="inlineStr">
        <is>
          <t>QA-007</t>
        </is>
      </c>
      <c r="B534" s="73" t="n">
        <v>54</v>
      </c>
      <c r="C534" s="73" t="inlineStr">
        <is>
          <t>| `learning_events` | 31 |</t>
        </is>
      </c>
    </row>
    <row r="535" ht="30" customHeight="1" s="78">
      <c r="A535" s="73" t="inlineStr">
        <is>
          <t>QA-007</t>
        </is>
      </c>
      <c r="B535" s="73" t="n">
        <v>55</v>
      </c>
      <c r="C535" s="73" t="inlineStr">
        <is>
          <t>| `auth_sessions` | 44 |</t>
        </is>
      </c>
    </row>
    <row r="536" ht="30" customHeight="1" s="78">
      <c r="A536" s="73" t="inlineStr">
        <is>
          <t>QA-007</t>
        </is>
      </c>
      <c r="B536" s="73" t="n">
        <v>56</v>
      </c>
      <c r="C536" s="73" t="inlineStr">
        <is>
          <t>| `password_reset_tokens` | 0 |</t>
        </is>
      </c>
    </row>
    <row r="537" ht="30" customHeight="1" s="78">
      <c r="A537" s="73" t="inlineStr">
        <is>
          <t>QA-007</t>
        </is>
      </c>
      <c r="B537" s="73" t="n">
        <v>57</v>
      </c>
      <c r="C537" s="73" t="inlineStr">
        <is>
          <t>| `audit_events` | 51 |</t>
        </is>
      </c>
    </row>
    <row r="538" ht="30" customHeight="1" s="78">
      <c r="A538" s="73" t="inlineStr">
        <is>
          <t>QA-007</t>
        </is>
      </c>
      <c r="B538" s="73" t="n">
        <v>58</v>
      </c>
      <c r="C538" s="73" t="inlineStr">
        <is>
          <t>| **Total** | **183** |</t>
        </is>
      </c>
    </row>
    <row r="539" ht="30" customHeight="1" s="78">
      <c r="A539" s="73" t="inlineStr">
        <is>
          <t>QA-007</t>
        </is>
      </c>
      <c r="B539" s="73" t="n">
        <v>59</v>
      </c>
      <c r="C539" s="73" t="n"/>
    </row>
    <row r="540" ht="30" customHeight="1" s="78">
      <c r="A540" s="73" t="inlineStr">
        <is>
          <t>QA-007</t>
        </is>
      </c>
      <c r="B540" s="73" t="n">
        <v>60</v>
      </c>
      <c r="C540" s="73" t="inlineStr">
        <is>
          <t>## Application QA against PostgreSQL</t>
        </is>
      </c>
    </row>
    <row r="541" ht="30" customHeight="1" s="78">
      <c r="A541" s="73" t="inlineStr">
        <is>
          <t>QA-007</t>
        </is>
      </c>
      <c r="B541" s="73" t="n">
        <v>61</v>
      </c>
      <c r="C541" s="73" t="n"/>
    </row>
    <row r="542" ht="30" customHeight="1" s="78">
      <c r="A542" s="73" t="inlineStr">
        <is>
          <t>QA-007</t>
        </is>
      </c>
      <c r="B542" s="73" t="n">
        <v>62</v>
      </c>
      <c r="C542" s="73" t="inlineStr">
        <is>
          <t>| Flow | Actual result | Result |</t>
        </is>
      </c>
    </row>
    <row r="543" ht="30" customHeight="1" s="78">
      <c r="A543" s="73" t="inlineStr">
        <is>
          <t>QA-007</t>
        </is>
      </c>
      <c r="B543" s="73" t="n">
        <v>63</v>
      </c>
      <c r="C543" s="73" t="inlineStr">
        <is>
          <t>| --- | --- | --- |</t>
        </is>
      </c>
    </row>
    <row r="544" ht="30" customHeight="1" s="78">
      <c r="A544" s="73" t="inlineStr">
        <is>
          <t>QA-007</t>
        </is>
      </c>
      <c r="B544" s="73" t="n">
        <v>64</v>
      </c>
      <c r="C544" s="73" t="inlineStr">
        <is>
          <t>| Health | Backend and sandbox returned healthy; backend named PostgreSQL | PASS |</t>
        </is>
      </c>
    </row>
    <row r="545" ht="30" customHeight="1" s="78">
      <c r="A545" s="73" t="inlineStr">
        <is>
          <t>QA-007</t>
        </is>
      </c>
      <c r="B545" s="73" t="n">
        <v>65</v>
      </c>
      <c r="C545" s="73" t="inlineStr">
        <is>
          <t>| Demo catalog | Temporary demo opened and displayed all six assignments | PASS |</t>
        </is>
      </c>
    </row>
    <row r="546" ht="30" customHeight="1" s="78">
      <c r="A546" s="73" t="inlineStr">
        <is>
          <t>QA-007</t>
        </is>
      </c>
      <c r="B546" s="73" t="n">
        <v>66</v>
      </c>
      <c r="C546" s="73" t="inlineStr">
        <is>
          <t>| Demo grading | Assignment 1 starter ran to a controlled 0%, 0/4 result | PASS |</t>
        </is>
      </c>
    </row>
    <row r="547" ht="30" customHeight="1" s="78">
      <c r="A547" s="73" t="inlineStr">
        <is>
          <t>QA-007</t>
        </is>
      </c>
      <c r="B547" s="73" t="n">
        <v>67</v>
      </c>
      <c r="C547" s="73" t="inlineStr">
        <is>
          <t>| Demo reset | Browser refresh returned to login and cleared demo work | PASS |</t>
        </is>
      </c>
    </row>
    <row r="548" ht="30" customHeight="1" s="78">
      <c r="A548" s="73" t="inlineStr">
        <is>
          <t>QA-007</t>
        </is>
      </c>
      <c r="B548" s="73" t="n">
        <v>68</v>
      </c>
      <c r="C548" s="73" t="inlineStr">
        <is>
          <t>| Student authentication | Login and `/auth/me` returned the student role | PASS |</t>
        </is>
      </c>
    </row>
    <row r="549" ht="30" customHeight="1" s="78">
      <c r="A549" s="73" t="inlineStr">
        <is>
          <t>QA-007</t>
        </is>
      </c>
      <c r="B549" s="73" t="n">
        <v>69</v>
      </c>
      <c r="C549" s="73" t="inlineStr">
        <is>
          <t>| Instructor authentication | Login and `/auth/me` returned the instructor role | PASS |</t>
        </is>
      </c>
    </row>
    <row r="550" ht="30" customHeight="1" s="78">
      <c r="A550" s="73" t="inlineStr">
        <is>
          <t>QA-007</t>
        </is>
      </c>
      <c r="B550" s="73" t="n">
        <v>70</v>
      </c>
      <c r="C550" s="73" t="inlineStr">
        <is>
          <t>| Role authorization | Student request to instructor research summary returned HTTP 403 | PASS |</t>
        </is>
      </c>
    </row>
    <row r="551" ht="30" customHeight="1" s="78">
      <c r="A551" s="73" t="inlineStr">
        <is>
          <t>QA-007</t>
        </is>
      </c>
      <c r="B551" s="73" t="n">
        <v>71</v>
      </c>
      <c r="C551" s="73" t="inlineStr">
        <is>
          <t>| Student progress | Student research/progress endpoint returned HTTP 200 | PASS |</t>
        </is>
      </c>
    </row>
    <row r="552" ht="30" customHeight="1" s="78">
      <c r="A552" s="73" t="inlineStr">
        <is>
          <t>QA-007</t>
        </is>
      </c>
      <c r="B552" s="73" t="n">
        <v>72</v>
      </c>
      <c r="C552" s="73" t="inlineStr">
        <is>
          <t>| Instructor analytics | Instructor research summary returned HTTP 200 | PASS |</t>
        </is>
      </c>
    </row>
    <row r="553" ht="30" customHeight="1" s="78">
      <c r="A553" s="73" t="inlineStr">
        <is>
          <t>QA-007</t>
        </is>
      </c>
      <c r="B553" s="73" t="n">
        <v>73</v>
      </c>
      <c r="C553" s="73" t="inlineStr">
        <is>
          <t>| Assignment inventory | Authenticated API returned six assignments | PASS |</t>
        </is>
      </c>
    </row>
    <row r="554" ht="30" customHeight="1" s="78">
      <c r="A554" s="73" t="inlineStr">
        <is>
          <t>QA-007</t>
        </is>
      </c>
      <c r="B554" s="73" t="n">
        <v>74</v>
      </c>
      <c r="C554" s="73" t="inlineStr">
        <is>
          <t>| Maintained answers, Assignments 1-4 | Every maintained Python answer returned 100%; every starter/incorrect answer returned 0% | PASS |</t>
        </is>
      </c>
    </row>
    <row r="555" ht="30" customHeight="1" s="78">
      <c r="A555" s="73" t="inlineStr">
        <is>
          <t>QA-007</t>
        </is>
      </c>
      <c r="B555" s="73" t="n">
        <v>75</v>
      </c>
      <c r="C555" s="73" t="inlineStr">
        <is>
          <t>| Maintained answers, Assignments 5-6 | Real Docker ROS graders returned 7/7 and 9/9; integrated maintained answers returned 100% | PASS |</t>
        </is>
      </c>
    </row>
    <row r="556" ht="30" customHeight="1" s="78">
      <c r="A556" s="73" t="inlineStr">
        <is>
          <t>QA-007</t>
        </is>
      </c>
      <c r="B556" s="73" t="n">
        <v>76</v>
      </c>
      <c r="C556" s="73" t="inlineStr">
        <is>
          <t>| Incorrect ROS answers | Assignment 5 starter returned 20%; Assignment 6 starter returned 10%; neither was accepted as complete | PASS |</t>
        </is>
      </c>
    </row>
    <row r="557" ht="30" customHeight="1" s="78">
      <c r="A557" s="73" t="inlineStr">
        <is>
          <t>QA-007</t>
        </is>
      </c>
      <c r="B557" s="73" t="n">
        <v>77</v>
      </c>
      <c r="C557" s="73" t="inlineStr">
        <is>
          <t>| Syntax and runtime errors | Syntax failure and controlled runtime failure returned structured non-passing results | PASS |</t>
        </is>
      </c>
    </row>
    <row r="558" ht="30" customHeight="1" s="78">
      <c r="A558" s="73" t="inlineStr">
        <is>
          <t>QA-007</t>
        </is>
      </c>
      <c r="B558" s="73" t="n">
        <v>78</v>
      </c>
      <c r="C558" s="73" t="inlineStr">
        <is>
          <t>| Infinite loop | Execution stopped after the five-second limit with `timeout` status | PASS |</t>
        </is>
      </c>
    </row>
    <row r="559" ht="30" customHeight="1" s="78">
      <c r="A559" s="73" t="inlineStr">
        <is>
          <t>QA-007</t>
        </is>
      </c>
      <c r="B559" s="73" t="n">
        <v>79</v>
      </c>
      <c r="C559" s="73" t="inlineStr">
        <is>
          <t>| Unsafe import | `import os` was rejected without executing student code | PASS |</t>
        </is>
      </c>
    </row>
    <row r="560" ht="30" customHeight="1" s="78">
      <c r="A560" s="73" t="inlineStr">
        <is>
          <t>QA-007</t>
        </is>
      </c>
      <c r="B560" s="73" t="n">
        <v>80</v>
      </c>
      <c r="C560" s="73" t="inlineStr">
        <is>
          <t>| Excessive output | Public run completed but output was capped at 20,019 characters and marked `[output truncated]` | PASS |</t>
        </is>
      </c>
    </row>
    <row r="561" ht="30" customHeight="1" s="78">
      <c r="A561" s="73" t="inlineStr">
        <is>
          <t>QA-007</t>
        </is>
      </c>
      <c r="B561" s="73" t="n">
        <v>81</v>
      </c>
      <c r="C561" s="73" t="inlineStr">
        <is>
          <t>| Oversized request | A 100,001-character submission was rejected with HTTP 413 | PASS |</t>
        </is>
      </c>
    </row>
    <row r="562" ht="30" customHeight="1" s="78">
      <c r="A562" s="73" t="inlineStr">
        <is>
          <t>QA-007</t>
        </is>
      </c>
      <c r="B562" s="73" t="n">
        <v>82</v>
      </c>
      <c r="C562" s="73" t="inlineStr">
        <is>
          <t>| Student response safety | Student assignment JSON excluded `grader_config` and `reference_solution_path` | PASS |</t>
        </is>
      </c>
    </row>
    <row r="563" ht="39.95" customHeight="1" s="78">
      <c r="A563" s="73" t="inlineStr">
        <is>
          <t>QA-007</t>
        </is>
      </c>
      <c r="B563" s="73" t="n">
        <v>83</v>
      </c>
      <c r="C563" s="73" t="inlineStr">
        <is>
          <t>| Built-in tutor fallback | Two progressive hints and a student question returned structured fallback guidance without the official result | PASS |</t>
        </is>
      </c>
    </row>
    <row r="564" ht="30" customHeight="1" s="78">
      <c r="A564" s="73" t="inlineStr">
        <is>
          <t>QA-007</t>
        </is>
      </c>
      <c r="B564" s="73" t="n">
        <v>84</v>
      </c>
      <c r="C564" s="73" t="inlineStr">
        <is>
          <t>| Demo persistence boundary | Demo submission and authentication left PostgreSQL submission and auth-session counts unchanged | PASS |</t>
        </is>
      </c>
    </row>
    <row r="565" ht="39.95" customHeight="1" s="78">
      <c r="A565" s="73" t="inlineStr">
        <is>
          <t>QA-007</t>
        </is>
      </c>
      <c r="B565" s="73" t="n">
        <v>85</v>
      </c>
      <c r="C565" s="73" t="inlineStr">
        <is>
          <t>| Versioned browser drafts | Same-profile mobile QA initially reproduced an older Assignment 1 draft; after the fix, v5 opened the corrected m-line starter code | PASS |</t>
        </is>
      </c>
    </row>
    <row r="566" ht="39.95" customHeight="1" s="78">
      <c r="A566" s="73" t="inlineStr">
        <is>
          <t>QA-007</t>
        </is>
      </c>
      <c r="B566" s="73" t="n">
        <v>86</v>
      </c>
      <c r="C566" s="73" t="inlineStr">
        <is>
          <t>| Mobile-width UI | Login, catalog, assignment workspace tabs, and instructor research dashboard rendered at 390 x 844 without visible overflow | PASS |</t>
        </is>
      </c>
    </row>
    <row r="567" ht="30" customHeight="1" s="78">
      <c r="A567" s="73" t="inlineStr">
        <is>
          <t>QA-007</t>
        </is>
      </c>
      <c r="B567" s="73" t="n">
        <v>87</v>
      </c>
      <c r="C567" s="73" t="inlineStr">
        <is>
          <t>| Submission persistence | PostgreSQL retained all 62 submissions after a clean backup and restart | PASS |</t>
        </is>
      </c>
    </row>
    <row r="568" ht="30" customHeight="1" s="78">
      <c r="A568" s="73" t="inlineStr">
        <is>
          <t>QA-007</t>
        </is>
      </c>
      <c r="B568" s="73" t="n">
        <v>88</v>
      </c>
      <c r="C568" s="73" t="inlineStr">
        <is>
          <t>| AI default | Launcher reported AI disabled | PASS |</t>
        </is>
      </c>
    </row>
    <row r="569" ht="30" customHeight="1" s="78">
      <c r="A569" s="73" t="inlineStr">
        <is>
          <t>QA-007</t>
        </is>
      </c>
      <c r="B569" s="73" t="n">
        <v>89</v>
      </c>
      <c r="C569" s="73" t="n"/>
    </row>
    <row r="570" ht="30" customHeight="1" s="78">
      <c r="A570" s="73" t="inlineStr">
        <is>
          <t>QA-007</t>
        </is>
      </c>
      <c r="B570" s="73" t="n">
        <v>90</v>
      </c>
      <c r="C570" s="73" t="inlineStr">
        <is>
          <t>## Automated regression gate</t>
        </is>
      </c>
    </row>
    <row r="571" ht="30" customHeight="1" s="78">
      <c r="A571" s="73" t="inlineStr">
        <is>
          <t>QA-007</t>
        </is>
      </c>
      <c r="B571" s="73" t="n">
        <v>91</v>
      </c>
      <c r="C571" s="73" t="n"/>
    </row>
    <row r="572" ht="30" customHeight="1" s="78">
      <c r="A572" s="73" t="inlineStr">
        <is>
          <t>QA-007</t>
        </is>
      </c>
      <c r="B572" s="73" t="n">
        <v>92</v>
      </c>
      <c r="C572" s="73" t="inlineStr">
        <is>
          <t>| Gate | Result |</t>
        </is>
      </c>
    </row>
    <row r="573" ht="30" customHeight="1" s="78">
      <c r="A573" s="73" t="inlineStr">
        <is>
          <t>QA-007</t>
        </is>
      </c>
      <c r="B573" s="73" t="n">
        <v>93</v>
      </c>
      <c r="C573" s="73" t="inlineStr">
        <is>
          <t>| --- | --- |</t>
        </is>
      </c>
    </row>
    <row r="574" ht="30" customHeight="1" s="78">
      <c r="A574" s="73" t="inlineStr">
        <is>
          <t>QA-007</t>
        </is>
      </c>
      <c r="B574" s="73" t="n">
        <v>94</v>
      </c>
      <c r="C574" s="73" t="inlineStr">
        <is>
          <t>| Focused database-transfer tests | PASS, 3 tests |</t>
        </is>
      </c>
    </row>
    <row r="575" ht="30" customHeight="1" s="78">
      <c r="A575" s="73" t="inlineStr">
        <is>
          <t>QA-007</t>
        </is>
      </c>
      <c r="B575" s="73" t="n">
        <v>95</v>
      </c>
      <c r="C575" s="73" t="inlineStr">
        <is>
          <t>| Backend regression | PASS, 174 tests |</t>
        </is>
      </c>
    </row>
    <row r="576" ht="30" customHeight="1" s="78">
      <c r="A576" s="73" t="inlineStr">
        <is>
          <t>QA-007</t>
        </is>
      </c>
      <c r="B576" s="73" t="n">
        <v>96</v>
      </c>
      <c r="C576" s="73" t="inlineStr">
        <is>
          <t>| Python dependency integrity | PASS, no broken requirements |</t>
        </is>
      </c>
    </row>
    <row r="577" ht="30" customHeight="1" s="78">
      <c r="A577" s="73" t="inlineStr">
        <is>
          <t>QA-007</t>
        </is>
      </c>
      <c r="B577" s="73" t="n">
        <v>97</v>
      </c>
      <c r="C577" s="73" t="inlineStr">
        <is>
          <t>| Python compilation | PASS |</t>
        </is>
      </c>
    </row>
    <row r="578" ht="30" customHeight="1" s="78">
      <c r="A578" s="73" t="inlineStr">
        <is>
          <t>QA-007</t>
        </is>
      </c>
      <c r="B578" s="73" t="n">
        <v>98</v>
      </c>
      <c r="C578" s="73" t="inlineStr">
        <is>
          <t>| PowerShell parser checks | PASS, five database/run/verification scripts |</t>
        </is>
      </c>
    </row>
    <row r="579" ht="30" customHeight="1" s="78">
      <c r="A579" s="73" t="inlineStr">
        <is>
          <t>QA-007</t>
        </is>
      </c>
      <c r="B579" s="73" t="n">
        <v>99</v>
      </c>
      <c r="C579" s="73" t="inlineStr">
        <is>
          <t>| Docker Compose configuration | PASS |</t>
        </is>
      </c>
    </row>
    <row r="580" ht="30" customHeight="1" s="78">
      <c r="A580" s="73" t="inlineStr">
        <is>
          <t>QA-007</t>
        </is>
      </c>
      <c r="B580" s="73" t="n">
        <v>100</v>
      </c>
      <c r="C580" s="73" t="inlineStr">
        <is>
          <t>| Isolated handoff integration | PASS, migrate/backup/checksum/lock/reset/same-device restore/clean-device restore/reconcile |</t>
        </is>
      </c>
    </row>
    <row r="581" ht="30" customHeight="1" s="78">
      <c r="A581" s="73" t="inlineStr">
        <is>
          <t>QA-007</t>
        </is>
      </c>
      <c r="B581" s="73" t="n">
        <v>101</v>
      </c>
      <c r="C581" s="73" t="inlineStr">
        <is>
          <t>| Flutter analysis | PASS, no issues |</t>
        </is>
      </c>
    </row>
    <row r="582" ht="30" customHeight="1" s="78">
      <c r="A582" s="73" t="inlineStr">
        <is>
          <t>QA-007</t>
        </is>
      </c>
      <c r="B582" s="73" t="n">
        <v>102</v>
      </c>
      <c r="C582" s="73" t="inlineStr">
        <is>
          <t>| Flutter tests | PASS, 49 tests |</t>
        </is>
      </c>
    </row>
    <row r="583" ht="30" customHeight="1" s="78">
      <c r="A583" s="73" t="inlineStr">
        <is>
          <t>QA-007</t>
        </is>
      </c>
      <c r="B583" s="73" t="n">
        <v>103</v>
      </c>
      <c r="C583" s="73" t="inlineStr">
        <is>
          <t>| Flutter web release build | PASS |</t>
        </is>
      </c>
    </row>
    <row r="584" ht="30" customHeight="1" s="78">
      <c r="A584" s="73" t="inlineStr">
        <is>
          <t>QA-007</t>
        </is>
      </c>
      <c r="B584" s="73" t="n">
        <v>104</v>
      </c>
      <c r="C584" s="73" t="inlineStr">
        <is>
          <t>| Git whitespace check | PASS |</t>
        </is>
      </c>
    </row>
    <row r="585" ht="30" customHeight="1" s="78">
      <c r="A585" s="73" t="inlineStr">
        <is>
          <t>QA-007</t>
        </is>
      </c>
      <c r="B585" s="73" t="n">
        <v>105</v>
      </c>
      <c r="C585" s="73" t="inlineStr">
        <is>
          <t>| Managed API and sandbox health | PASS |</t>
        </is>
      </c>
    </row>
    <row r="586" ht="30" customHeight="1" s="78">
      <c r="A586" s="73" t="inlineStr">
        <is>
          <t>QA-007</t>
        </is>
      </c>
      <c r="B586" s="73" t="n">
        <v>106</v>
      </c>
      <c r="C586" s="73" t="n"/>
    </row>
    <row r="587" ht="30" customHeight="1" s="78">
      <c r="A587" s="73" t="inlineStr">
        <is>
          <t>QA-007</t>
        </is>
      </c>
      <c r="B587" s="73" t="n">
        <v>107</v>
      </c>
      <c r="C587" s="73" t="inlineStr">
        <is>
          <t>## Defect found and corrected during manual QA</t>
        </is>
      </c>
    </row>
    <row r="588" ht="30" customHeight="1" s="78">
      <c r="A588" s="73" t="inlineStr">
        <is>
          <t>QA-007</t>
        </is>
      </c>
      <c r="B588" s="73" t="n">
        <v>108</v>
      </c>
      <c r="C588" s="73" t="n"/>
    </row>
    <row r="589" ht="30" customHeight="1" s="78">
      <c r="A589" s="73" t="inlineStr">
        <is>
          <t>QA-007</t>
        </is>
      </c>
      <c r="B589" s="73" t="n">
        <v>109</v>
      </c>
      <c r="C589" s="73" t="inlineStr">
        <is>
          <t>| Defect | Root cause | Fix | Verification | Result |</t>
        </is>
      </c>
    </row>
    <row r="590" ht="30" customHeight="1" s="78">
      <c r="A590" s="73" t="inlineStr">
        <is>
          <t>QA-007</t>
        </is>
      </c>
      <c r="B590" s="73" t="n">
        <v>110</v>
      </c>
      <c r="C590" s="73" t="inlineStr">
        <is>
          <t>| --- | --- | --- | --- | --- |</t>
        </is>
      </c>
    </row>
    <row r="591" ht="68.09999999999999" customHeight="1" s="78">
      <c r="A591" s="73" t="inlineStr">
        <is>
          <t>QA-007</t>
        </is>
      </c>
      <c r="B591" s="73" t="n">
        <v>111</v>
      </c>
      <c r="C591" s="73" t="inlineStr">
        <is>
          <t>| Older Assignment 1 code appeared in the v5 workspace | Browser drafts were stored only by assignment ID, so a v4 draft could be loaded after the assignment advanced to v5 | Persist the draft's assignment version and load it only for an exact ID/version match; preserve but ignore legacy unversioned drafts | Focused six-test state suite, full 49-test Flutter suite, analyzer, release build, and same-profile browser restart showed the corrected v5 starter code | PASS |</t>
        </is>
      </c>
    </row>
    <row r="592" ht="30" customHeight="1" s="78">
      <c r="A592" s="73" t="inlineStr">
        <is>
          <t>QA-007</t>
        </is>
      </c>
      <c r="B592" s="73" t="n">
        <v>112</v>
      </c>
      <c r="C592" s="73" t="n"/>
    </row>
    <row r="593" ht="30" customHeight="1" s="78">
      <c r="A593" s="73" t="inlineStr">
        <is>
          <t>QA-007</t>
        </is>
      </c>
      <c r="B593" s="73" t="n">
        <v>113</v>
      </c>
      <c r="C593" s="73" t="inlineStr">
        <is>
          <t>## Limitations and required follow-up</t>
        </is>
      </c>
    </row>
    <row r="594" ht="30" customHeight="1" s="78">
      <c r="A594" s="73" t="inlineStr">
        <is>
          <t>QA-007</t>
        </is>
      </c>
      <c r="B594" s="73" t="n">
        <v>114</v>
      </c>
      <c r="C594" s="73" t="n"/>
    </row>
    <row r="595" ht="30" customHeight="1" s="78">
      <c r="A595" s="73" t="inlineStr">
        <is>
          <t>QA-007</t>
        </is>
      </c>
      <c r="B595" s="73" t="n">
        <v>115</v>
      </c>
      <c r="C595" s="73" t="inlineStr">
        <is>
          <t>| Item | Status | Reason and next action |</t>
        </is>
      </c>
    </row>
    <row r="596" ht="30" customHeight="1" s="78">
      <c r="A596" s="73" t="inlineStr">
        <is>
          <t>QA-007</t>
        </is>
      </c>
      <c r="B596" s="73" t="n">
        <v>116</v>
      </c>
      <c r="C596" s="73" t="inlineStr">
        <is>
          <t>| --- | --- | --- |</t>
        </is>
      </c>
    </row>
    <row r="597" ht="39.95" customHeight="1" s="78">
      <c r="A597" s="73" t="inlineStr">
        <is>
          <t>QA-007</t>
        </is>
      </c>
      <c r="B597" s="73" t="n">
        <v>117</v>
      </c>
      <c r="C597" s="73" t="inlineStr">
        <is>
          <t>| Physical laptop handoff | NOT RUN | Stop on desktop, wait for OneDrive, start on laptop, verify accounts/submissions, then return through the same procedure |</t>
        </is>
      </c>
    </row>
    <row r="598" ht="30" customHeight="1" s="78">
      <c r="A598" s="73" t="inlineStr">
        <is>
          <t>QA-007</t>
        </is>
      </c>
      <c r="B598" s="73" t="n">
        <v>118</v>
      </c>
      <c r="C598" s="73" t="inlineStr">
        <is>
          <t>| Simultaneous device use | UNSUPPORTED | This design intentionally permits one active device; use managed PostgreSQL for concurrent access |</t>
        </is>
      </c>
    </row>
    <row r="599" ht="39.95" customHeight="1" s="78">
      <c r="A599" s="73" t="inlineStr">
        <is>
          <t>QA-007</t>
        </is>
      </c>
      <c r="B599" s="73" t="n">
        <v>119</v>
      </c>
      <c r="C599" s="73" t="inlineStr">
        <is>
          <t>| Backup encryption | BLOCKED FOR REAL STUDY | Prototype dump is not encrypted; approve encrypted storage or managed PostgreSQL before collecting real participant data |</t>
        </is>
      </c>
    </row>
    <row r="600" ht="39.95" customHeight="1" s="78">
      <c r="A600" s="73" t="inlineStr">
        <is>
          <t>QA-007</t>
        </is>
      </c>
      <c r="B600" s="73" t="n">
        <v>120</v>
      </c>
      <c r="C600" s="73" t="inlineStr">
        <is>
          <t>| OneDrive availability/merge guarantee | PARTIAL | Checksums detect incomplete/tampered copies, but OneDrive itself cannot provide a database transaction protocol; always wait for **Up to date** |</t>
        </is>
      </c>
    </row>
    <row r="601" ht="54" customHeight="1" s="78">
      <c r="A601" s="73" t="inlineStr">
        <is>
          <t>QA-007</t>
        </is>
      </c>
      <c r="B601" s="73" t="n">
        <v>121</v>
      </c>
      <c r="C601" s="73" t="inlineStr">
        <is>
          <t>| Master Excel SQA workbook | BLOCKED | The required standalone spreadsheet artifact runtime was unavailable in this session; it cannot be safely edited with the mandated workbook tooling. This Markdown report is the current evidence and the workbook still needs the same PostgreSQL and versioned-draft rows added |</t>
        </is>
      </c>
    </row>
    <row r="602" ht="30" customHeight="1" s="78">
      <c r="A602" s="73" t="inlineStr">
        <is>
          <t>QA-007</t>
        </is>
      </c>
      <c r="B602" s="73" t="n">
        <v>122</v>
      </c>
      <c r="C602" s="73" t="inlineStr">
        <is>
          <t>| Production/live repository | NOT RUN | This change is staging-only; no production authorization was given |</t>
        </is>
      </c>
    </row>
    <row r="603" ht="30" customHeight="1" s="78">
      <c r="A603" s="73" t="inlineStr">
        <is>
          <t>QA-007</t>
        </is>
      </c>
      <c r="B603" s="73" t="n">
        <v>123</v>
      </c>
      <c r="C603" s="73" t="n"/>
    </row>
    <row r="604" ht="30" customHeight="1" s="78">
      <c r="A604" s="73" t="inlineStr">
        <is>
          <t>QA-007</t>
        </is>
      </c>
      <c r="B604" s="73" t="n">
        <v>124</v>
      </c>
      <c r="C604" s="73" t="inlineStr">
        <is>
          <t>## Conclusion</t>
        </is>
      </c>
    </row>
    <row r="605" ht="30" customHeight="1" s="78">
      <c r="A605" s="73" t="inlineStr">
        <is>
          <t>QA-007</t>
        </is>
      </c>
      <c r="B605" s="73" t="n">
        <v>125</v>
      </c>
      <c r="C605" s="73" t="n"/>
    </row>
    <row r="606" ht="30" customHeight="1" s="78">
      <c r="A606" s="73" t="inlineStr">
        <is>
          <t>QA-007</t>
        </is>
      </c>
      <c r="B606" s="73" t="n">
        <v>126</v>
      </c>
      <c r="C606" s="73" t="inlineStr">
        <is>
          <t>The local PostgreSQL and OneDrive backup-handoff implementation is working on</t>
        </is>
      </c>
    </row>
    <row r="607" ht="30" customHeight="1" s="78">
      <c r="A607" s="73" t="inlineStr">
        <is>
          <t>QA-007</t>
        </is>
      </c>
      <c r="B607" s="73" t="n">
        <v>127</v>
      </c>
      <c r="C607" s="73" t="inlineStr">
        <is>
          <t>the canonical desktop and is protected against the tested corruption, stale</t>
        </is>
      </c>
    </row>
    <row r="608" ht="30" customHeight="1" s="78">
      <c r="A608" s="73" t="inlineStr">
        <is>
          <t>QA-007</t>
        </is>
      </c>
      <c r="B608" s="73" t="n">
        <v>128</v>
      </c>
      <c r="C608" s="73" t="inlineStr">
        <is>
          <t>target, checksum, same-device volume-loss, and simultaneous-device cases. The</t>
        </is>
      </c>
    </row>
    <row r="609" ht="30" customHeight="1" s="78">
      <c r="A609" s="73" t="inlineStr">
        <is>
          <t>QA-007</t>
        </is>
      </c>
      <c r="B609" s="73" t="n">
        <v>129</v>
      </c>
      <c r="C609" s="73" t="inlineStr">
        <is>
          <t>next acceptance step is a real laptop handoff after OneDrive completes</t>
        </is>
      </c>
    </row>
    <row r="610" ht="30" customHeight="1" s="78">
      <c r="A610" s="73" t="inlineStr">
        <is>
          <t>QA-007</t>
        </is>
      </c>
      <c r="B610" s="73" t="n">
        <v>130</v>
      </c>
      <c r="C610" s="73" t="inlineStr">
        <is>
          <t>synchronization.</t>
        </is>
      </c>
    </row>
    <row r="611" ht="30" customHeight="1" s="78">
      <c r="A611" s="73" t="inlineStr">
        <is>
          <t>QA-007</t>
        </is>
      </c>
      <c r="B611" s="73" t="n">
        <v>131</v>
      </c>
      <c r="C611" s="73" t="n"/>
    </row>
    <row r="612" ht="30" customHeight="1" s="78">
      <c r="A612" s="73" t="inlineStr">
        <is>
          <t>QA-008</t>
        </is>
      </c>
      <c r="B612" s="73" t="n">
        <v>1</v>
      </c>
      <c r="C612" s="73" t="inlineStr">
        <is>
          <t># Neon and Account Management SQA Report</t>
        </is>
      </c>
    </row>
    <row r="613" ht="30" customHeight="1" s="78">
      <c r="A613" s="73" t="inlineStr">
        <is>
          <t>QA-008</t>
        </is>
      </c>
      <c r="B613" s="73" t="n">
        <v>2</v>
      </c>
      <c r="C613" s="73" t="n"/>
    </row>
    <row r="614" ht="30" customHeight="1" s="78">
      <c r="A614" s="73" t="inlineStr">
        <is>
          <t>QA-008</t>
        </is>
      </c>
      <c r="B614" s="73" t="n">
        <v>3</v>
      </c>
      <c r="C614" s="73" t="inlineStr">
        <is>
          <t>**Date:** 2026-08-28</t>
        </is>
      </c>
    </row>
    <row r="615" ht="30" customHeight="1" s="78">
      <c r="A615" s="73" t="inlineStr">
        <is>
          <t>QA-008</t>
        </is>
      </c>
      <c r="B615" s="73" t="n">
        <v>4</v>
      </c>
      <c r="C615" s="73" t="inlineStr">
        <is>
          <t>**Repository:** `Robotics-Programming-Lab-Staging`</t>
        </is>
      </c>
    </row>
    <row r="616" ht="30" customHeight="1" s="78">
      <c r="A616" s="73" t="inlineStr">
        <is>
          <t>QA-008</t>
        </is>
      </c>
      <c r="B616" s="73" t="n">
        <v>5</v>
      </c>
      <c r="C616" s="73" t="inlineStr">
        <is>
          <t>**Branch:** `main`</t>
        </is>
      </c>
    </row>
    <row r="617" ht="30" customHeight="1" s="78">
      <c r="A617" s="73" t="inlineStr">
        <is>
          <t>QA-008</t>
        </is>
      </c>
      <c r="B617" s="73" t="n">
        <v>6</v>
      </c>
      <c r="C617" s="73" t="inlineStr">
        <is>
          <t>**Implementation commit:** `573375a` (`v5.3`) on staging `origin/main`</t>
        </is>
      </c>
    </row>
    <row r="618" ht="30" customHeight="1" s="78">
      <c r="A618" s="73" t="inlineStr">
        <is>
          <t>QA-008</t>
        </is>
      </c>
      <c r="B618" s="73" t="n">
        <v>7</v>
      </c>
      <c r="C618" s="73" t="inlineStr">
        <is>
          <t>**Final QA follow-up:** local until separately authorized for publication</t>
        </is>
      </c>
    </row>
    <row r="619" ht="30" customHeight="1" s="78">
      <c r="A619" s="73" t="inlineStr">
        <is>
          <t>QA-008</t>
        </is>
      </c>
      <c r="B619" s="73" t="n">
        <v>8</v>
      </c>
      <c r="C619" s="73" t="n"/>
    </row>
    <row r="620" ht="30" customHeight="1" s="78">
      <c r="A620" s="73" t="inlineStr">
        <is>
          <t>QA-008</t>
        </is>
      </c>
      <c r="B620" s="73" t="n">
        <v>9</v>
      </c>
      <c r="C620" s="73" t="inlineStr">
        <is>
          <t>## Result</t>
        </is>
      </c>
    </row>
    <row r="621" ht="30" customHeight="1" s="78">
      <c r="A621" s="73" t="inlineStr">
        <is>
          <t>QA-008</t>
        </is>
      </c>
      <c r="B621" s="73" t="n">
        <v>10</v>
      </c>
      <c r="C621" s="73" t="n"/>
    </row>
    <row r="622" ht="30" customHeight="1" s="78">
      <c r="A622" s="73" t="inlineStr">
        <is>
          <t>QA-008</t>
        </is>
      </c>
      <c r="B622" s="73" t="n">
        <v>11</v>
      </c>
      <c r="C622" s="73" t="inlineStr">
        <is>
          <t>The requested staging changes passed the available Windows local QA. The</t>
        </is>
      </c>
    </row>
    <row r="623" ht="30" customHeight="1" s="78">
      <c r="A623" s="73" t="inlineStr">
        <is>
          <t>QA-008</t>
        </is>
      </c>
      <c r="B623" s="73" t="n">
        <v>12</v>
      </c>
      <c r="C623" s="73" t="inlineStr">
        <is>
          <t>application now uses the dedicated Neon database `robotics_lab_staging`, supports</t>
        </is>
      </c>
    </row>
    <row r="624" ht="30" customHeight="1" s="78">
      <c r="A624" s="73" t="inlineStr">
        <is>
          <t>QA-008</t>
        </is>
      </c>
      <c r="B624" s="73" t="n">
        <v>13</v>
      </c>
      <c r="C624" s="73" t="inlineStr">
        <is>
          <t>student and instructor account management in Instructor Studio, and isolates</t>
        </is>
      </c>
    </row>
    <row r="625" ht="30" customHeight="1" s="78">
      <c r="A625" s="73" t="inlineStr">
        <is>
          <t>QA-008</t>
        </is>
      </c>
      <c r="B625" s="73" t="n">
        <v>14</v>
      </c>
      <c r="C625" s="73" t="inlineStr">
        <is>
          <t>browser progress by authenticated user. The earlier local PostgreSQL study</t>
        </is>
      </c>
    </row>
    <row r="626" ht="30" customHeight="1" s="78">
      <c r="A626" s="73" t="inlineStr">
        <is>
          <t>QA-008</t>
        </is>
      </c>
      <c r="B626" s="73" t="n">
        <v>15</v>
      </c>
      <c r="C626" s="73" t="inlineStr">
        <is>
          <t>records were migrated to Neon and reconciled by table counts. The subsequent</t>
        </is>
      </c>
    </row>
    <row r="627" ht="30" customHeight="1" s="78">
      <c r="A627" s="73" t="inlineStr">
        <is>
          <t>QA-008</t>
        </is>
      </c>
      <c r="B627" s="73" t="n">
        <v>16</v>
      </c>
      <c r="C627" s="73" t="inlineStr">
        <is>
          <t>Neon-only architecture removed the local PostgreSQL fallback.</t>
        </is>
      </c>
    </row>
    <row r="628" ht="30" customHeight="1" s="78">
      <c r="A628" s="73" t="inlineStr">
        <is>
          <t>QA-008</t>
        </is>
      </c>
      <c r="B628" s="73" t="n">
        <v>17</v>
      </c>
      <c r="C628" s="73" t="n"/>
    </row>
    <row r="629" ht="30" customHeight="1" s="78">
      <c r="A629" s="73" t="inlineStr">
        <is>
          <t>QA-008</t>
        </is>
      </c>
      <c r="B629" s="73" t="n">
        <v>18</v>
      </c>
      <c r="C629" s="73" t="inlineStr">
        <is>
          <t>This report does not claim production deployment or physical Ubuntu validation.</t>
        </is>
      </c>
    </row>
    <row r="630" ht="30" customHeight="1" s="78">
      <c r="A630" s="73" t="inlineStr">
        <is>
          <t>QA-008</t>
        </is>
      </c>
      <c r="B630" s="73" t="n">
        <v>19</v>
      </c>
      <c r="C630" s="73" t="n"/>
    </row>
    <row r="631" ht="30" customHeight="1" s="78">
      <c r="A631" s="73" t="inlineStr">
        <is>
          <t>QA-008</t>
        </is>
      </c>
      <c r="B631" s="73" t="n">
        <v>20</v>
      </c>
      <c r="C631" s="73" t="inlineStr">
        <is>
          <t>## Verified data state</t>
        </is>
      </c>
    </row>
    <row r="632" ht="30" customHeight="1" s="78">
      <c r="A632" s="73" t="inlineStr">
        <is>
          <t>QA-008</t>
        </is>
      </c>
      <c r="B632" s="73" t="n">
        <v>21</v>
      </c>
      <c r="C632" s="73" t="n"/>
    </row>
    <row r="633" ht="30" customHeight="1" s="78">
      <c r="A633" s="73" t="inlineStr">
        <is>
          <t>QA-008</t>
        </is>
      </c>
      <c r="B633" s="73" t="n">
        <v>22</v>
      </c>
      <c r="C633" s="73" t="inlineStr">
        <is>
          <t>| Check | Result | Evidence |</t>
        </is>
      </c>
    </row>
    <row r="634" ht="30" customHeight="1" s="78">
      <c r="A634" s="73" t="inlineStr">
        <is>
          <t>QA-008</t>
        </is>
      </c>
      <c r="B634" s="73" t="n">
        <v>23</v>
      </c>
      <c r="C634" s="73" t="inlineStr">
        <is>
          <t>|---|---|---|</t>
        </is>
      </c>
    </row>
    <row r="635" ht="30" customHeight="1" s="78">
      <c r="A635" s="73" t="inlineStr">
        <is>
          <t>QA-008</t>
        </is>
      </c>
      <c r="B635" s="73" t="n">
        <v>24</v>
      </c>
      <c r="C635" s="73" t="inlineStr">
        <is>
          <t>| Dedicated Neon database | PASS | The launcher selected `robotics_lab_staging`; the older Neon `neondb` database was not overwritten. |</t>
        </is>
      </c>
    </row>
    <row r="636" ht="39.95" customHeight="1" s="78">
      <c r="A636" s="73" t="inlineStr">
        <is>
          <t>QA-008</t>
        </is>
      </c>
      <c r="B636" s="73" t="n">
        <v>25</v>
      </c>
      <c r="C636" s="73" t="inlineStr">
        <is>
          <t>| Local-to-Neon migration | PASS | 376 application rows migrated across users, assignments, submissions, activities, events, sessions, hints, audits, and auth records. |</t>
        </is>
      </c>
    </row>
    <row r="637" ht="39.95" customHeight="1" s="78">
      <c r="A637" s="73" t="inlineStr">
        <is>
          <t>QA-008</t>
        </is>
      </c>
      <c r="B637" s="73" t="n">
        <v>26</v>
      </c>
      <c r="C637" s="73" t="inlineStr">
        <is>
          <t>| Core analytics reconciliation | PASS | Neon contains 3 users, 6 assignments, 65 submissions, 2 assignment-activity rows, 44 learning events, and 22 study sessions before and after restart. |</t>
        </is>
      </c>
    </row>
    <row r="638" ht="30" customHeight="1" s="78">
      <c r="A638" s="73" t="inlineStr">
        <is>
          <t>QA-008</t>
        </is>
      </c>
      <c r="B638" s="73" t="n">
        <v>27</v>
      </c>
      <c r="C638" s="73" t="inlineStr">
        <is>
          <t>| Dave account retained | PASS | Dave remains active with 0 submissions and 0 completed assignments. |</t>
        </is>
      </c>
    </row>
    <row r="639" ht="39.95" customHeight="1" s="78">
      <c r="A639" s="73" t="inlineStr">
        <is>
          <t>QA-008</t>
        </is>
      </c>
      <c r="B639" s="73" t="n">
        <v>28</v>
      </c>
      <c r="C639" s="73" t="inlineStr">
        <is>
          <t>| Default student account restored | PASS | The active default student password hash verifies against the required prototype password. No password is recorded in this report. |</t>
        </is>
      </c>
    </row>
    <row r="640" ht="39.95" customHeight="1" s="78">
      <c r="A640" s="73" t="inlineStr">
        <is>
          <t>QA-008</t>
        </is>
      </c>
      <c r="B640" s="73" t="n">
        <v>29</v>
      </c>
      <c r="C640" s="73" t="inlineStr">
        <is>
          <t>| Versioned account roster | PASS | `backend/data/study_accounts.json` contains password-free account metadata and is eligible for Git tracking. Password hashes remain in Neon. |</t>
        </is>
      </c>
    </row>
    <row r="641" ht="30" customHeight="1" s="78">
      <c r="A641" s="73" t="inlineStr">
        <is>
          <t>QA-008</t>
        </is>
      </c>
      <c r="B641" s="73" t="n">
        <v>30</v>
      </c>
      <c r="C641" s="73" t="n"/>
    </row>
    <row r="642" ht="30" customHeight="1" s="78">
      <c r="A642" s="73" t="inlineStr">
        <is>
          <t>QA-008</t>
        </is>
      </c>
      <c r="B642" s="73" t="n">
        <v>31</v>
      </c>
      <c r="C642" s="73" t="inlineStr">
        <is>
          <t>## Functional and regression QA</t>
        </is>
      </c>
    </row>
    <row r="643" ht="30" customHeight="1" s="78">
      <c r="A643" s="73" t="inlineStr">
        <is>
          <t>QA-008</t>
        </is>
      </c>
      <c r="B643" s="73" t="n">
        <v>32</v>
      </c>
      <c r="C643" s="73" t="n"/>
    </row>
    <row r="644" ht="30" customHeight="1" s="78">
      <c r="A644" s="73" t="inlineStr">
        <is>
          <t>QA-008</t>
        </is>
      </c>
      <c r="B644" s="73" t="n">
        <v>33</v>
      </c>
      <c r="C644" s="73" t="inlineStr">
        <is>
          <t>| Area | Change or test | Result | Remaining limitation |</t>
        </is>
      </c>
    </row>
    <row r="645" ht="30" customHeight="1" s="78">
      <c r="A645" s="73" t="inlineStr">
        <is>
          <t>QA-008</t>
        </is>
      </c>
      <c r="B645" s="73" t="n">
        <v>34</v>
      </c>
      <c r="C645" s="73" t="inlineStr">
        <is>
          <t>|---|---|---:|---|</t>
        </is>
      </c>
    </row>
    <row r="646" ht="39.95" customHeight="1" s="78">
      <c r="A646" s="73" t="inlineStr">
        <is>
          <t>QA-008</t>
        </is>
      </c>
      <c r="B646" s="73" t="n">
        <v>35</v>
      </c>
      <c r="C646" s="73" t="inlineStr">
        <is>
          <t>| Account isolation | Added user-ID-scoped browser storage and tested two persistent students plus the temporary demo session | PASS | Existing legacy browser progress migrates only to the default prototype student once. |</t>
        </is>
      </c>
    </row>
    <row r="647" ht="39.95" customHeight="1" s="78">
      <c r="A647" s="73" t="inlineStr">
        <is>
          <t>QA-008</t>
        </is>
      </c>
      <c r="B647" s="73" t="n">
        <v>36</v>
      </c>
      <c r="C647" s="73" t="inlineStr">
        <is>
          <t>| Dave fresh progress | Verified zero database attempts/completions and isolated browser state | PASS | A browser that still shows an old page must sign out or refresh after receiving the new frontend build. |</t>
        </is>
      </c>
    </row>
    <row r="648" ht="39.95" customHeight="1" s="78">
      <c r="A648" s="73" t="inlineStr">
        <is>
          <t>QA-008</t>
        </is>
      </c>
      <c r="B648" s="73" t="n">
        <v>37</v>
      </c>
      <c r="C648" s="73" t="inlineStr">
        <is>
          <t>| Instructor Studio | Create, list, edit, reset, activate, and deactivate student/instructor accounts | PASS | Passwords are intentionally shown only once when manually generated. |</t>
        </is>
      </c>
    </row>
    <row r="649" ht="39.95" customHeight="1" s="78">
      <c r="A649" s="73" t="inlineStr">
        <is>
          <t>QA-008</t>
        </is>
      </c>
      <c r="B649" s="73" t="n">
        <v>38</v>
      </c>
      <c r="C649" s="73" t="inlineStr">
        <is>
          <t>| Instructor safety | Prevent self-deactivation and disabling the last active instructor | PASS | Deletion is intentionally replaced by deactivation to preserve research history. |</t>
        </is>
      </c>
    </row>
    <row r="650" ht="39.95" customHeight="1" s="78">
      <c r="A650" s="73" t="inlineStr">
        <is>
          <t>QA-008</t>
        </is>
      </c>
      <c r="B650" s="73" t="n">
        <v>39</v>
      </c>
      <c r="C650" s="73" t="inlineStr">
        <is>
          <t>| File-based management | Import role, active, email, and participant-code changes from the tracked password-free roster | PASS | New accounts and password changes must use Instructor Studio. |</t>
        </is>
      </c>
    </row>
    <row r="651" ht="39.95" customHeight="1" s="78">
      <c r="A651" s="73" t="inlineStr">
        <is>
          <t>QA-008</t>
        </is>
      </c>
      <c r="B651" s="73" t="n">
        <v>40</v>
      </c>
      <c r="C651" s="73" t="inlineStr">
        <is>
          <t>| Neon restart persistence | Stopped and restarted the full local stack; row counts and Dave state remained unchanged | PASS | Availability still depends on internet access and the Neon service. |</t>
        </is>
      </c>
    </row>
    <row r="652" ht="39.95" customHeight="1" s="78">
      <c r="A652" s="73" t="inlineStr">
        <is>
          <t>QA-008</t>
        </is>
      </c>
      <c r="B652" s="73" t="n">
        <v>41</v>
      </c>
      <c r="C652" s="73" t="inlineStr">
        <is>
          <t>| Neon-only transition | The former local PostgreSQL fallback was verified before retirement; current launchers now require the authorized Neon staging database | SUPERSEDED | See the Neon-only architecture SQA report for the current runtime gate. |</t>
        </is>
      </c>
    </row>
    <row r="653" ht="30" customHeight="1" s="78">
      <c r="A653" s="73" t="inlineStr">
        <is>
          <t>QA-008</t>
        </is>
      </c>
      <c r="B653" s="73" t="n">
        <v>42</v>
      </c>
      <c r="C653" s="73" t="inlineStr">
        <is>
          <t>| Backend suite | 183 tests | PASS | None observed. |</t>
        </is>
      </c>
    </row>
    <row r="654" ht="30" customHeight="1" s="78">
      <c r="A654" s="73" t="inlineStr">
        <is>
          <t>QA-008</t>
        </is>
      </c>
      <c r="B654" s="73" t="n">
        <v>43</v>
      </c>
      <c r="C654" s="73" t="inlineStr">
        <is>
          <t>| Python dependencies | `pip check` | PASS | None observed. |</t>
        </is>
      </c>
    </row>
    <row r="655" ht="30" customHeight="1" s="78">
      <c r="A655" s="73" t="inlineStr">
        <is>
          <t>QA-008</t>
        </is>
      </c>
      <c r="B655" s="73" t="n">
        <v>44</v>
      </c>
      <c r="C655" s="73" t="inlineStr">
        <is>
          <t>| Python compilation | `compileall` | PASS | None observed. |</t>
        </is>
      </c>
    </row>
    <row r="656" ht="30" customHeight="1" s="78">
      <c r="A656" s="73" t="inlineStr">
        <is>
          <t>QA-008</t>
        </is>
      </c>
      <c r="B656" s="73" t="n">
        <v>45</v>
      </c>
      <c r="C656" s="73" t="inlineStr">
        <is>
          <t>| Flutter analysis | Static analyzer | PASS | None observed. |</t>
        </is>
      </c>
    </row>
    <row r="657" ht="30" customHeight="1" s="78">
      <c r="A657" s="73" t="inlineStr">
        <is>
          <t>QA-008</t>
        </is>
      </c>
      <c r="B657" s="73" t="n">
        <v>46</v>
      </c>
      <c r="C657" s="73" t="inlineStr">
        <is>
          <t>| Flutter tests | 51 tests | PASS | None observed. |</t>
        </is>
      </c>
    </row>
    <row r="658" ht="30" customHeight="1" s="78">
      <c r="A658" s="73" t="inlineStr">
        <is>
          <t>QA-008</t>
        </is>
      </c>
      <c r="B658" s="73" t="n">
        <v>47</v>
      </c>
      <c r="C658" s="73" t="inlineStr">
        <is>
          <t>| Flutter web release | Release web build with staging API URL | PASS | This was a local build, not a public deployment. |</t>
        </is>
      </c>
    </row>
    <row r="659" ht="39.95" customHeight="1" s="78">
      <c r="A659" s="73" t="inlineStr">
        <is>
          <t>QA-008</t>
        </is>
      </c>
      <c r="B659" s="73" t="n">
        <v>48</v>
      </c>
      <c r="C659" s="73" t="inlineStr">
        <is>
          <t>| Service health | Frontend HTTP 200; backend and sandbox report healthy | PASS | Authenticated browser mutation was covered by API/widget tests rather than changing the shared staging data manually. |</t>
        </is>
      </c>
    </row>
    <row r="660" ht="30" customHeight="1" s="78">
      <c r="A660" s="73" t="inlineStr">
        <is>
          <t>QA-008</t>
        </is>
      </c>
      <c r="B660" s="73" t="n">
        <v>49</v>
      </c>
      <c r="C660" s="73" t="inlineStr">
        <is>
          <t>| PowerShell launcher syntax | Parser check | PASS | None observed. |</t>
        </is>
      </c>
    </row>
    <row r="661" ht="39.95" customHeight="1" s="78">
      <c r="A661" s="73" t="inlineStr">
        <is>
          <t>QA-008</t>
        </is>
      </c>
      <c r="B661" s="73" t="n">
        <v>50</v>
      </c>
      <c r="C661" s="73" t="inlineStr">
        <is>
          <t>| Legacy database recovery | Migrated the pre-V5.2 SQLite schema without `assignment_activities` into the current PostgreSQL schema and reconciled every table count | PASS | The missing historical table is correctly treated as empty; current targets must still contain it. |</t>
        </is>
      </c>
    </row>
    <row r="662" ht="39.95" customHeight="1" s="78">
      <c r="A662" s="73" t="inlineStr">
        <is>
          <t>QA-008</t>
        </is>
      </c>
      <c r="B662" s="73" t="n">
        <v>51</v>
      </c>
      <c r="C662" s="73" t="inlineStr">
        <is>
          <t>| Ubuntu Bash validation | `bash -n` and ShellCheck on this Windows host | NOT RUN | WSL/Bash and ShellCheck are unavailable on this computer; existing Ubuntu support tests were not repeated. |</t>
        </is>
      </c>
    </row>
    <row r="663" ht="30" customHeight="1" s="78">
      <c r="A663" s="73" t="inlineStr">
        <is>
          <t>QA-008</t>
        </is>
      </c>
      <c r="B663" s="73" t="n">
        <v>52</v>
      </c>
      <c r="C663" s="73" t="n"/>
    </row>
    <row r="664" ht="30" customHeight="1" s="78">
      <c r="A664" s="73" t="inlineStr">
        <is>
          <t>QA-008</t>
        </is>
      </c>
      <c r="B664" s="73" t="n">
        <v>53</v>
      </c>
      <c r="C664" s="73" t="inlineStr">
        <is>
          <t>## Security and privacy checks</t>
        </is>
      </c>
    </row>
    <row r="665" ht="30" customHeight="1" s="78">
      <c r="A665" s="73" t="inlineStr">
        <is>
          <t>QA-008</t>
        </is>
      </c>
      <c r="B665" s="73" t="n">
        <v>54</v>
      </c>
      <c r="C665" s="73" t="n"/>
    </row>
    <row r="666" ht="30" customHeight="1" s="78">
      <c r="A666" s="73" t="inlineStr">
        <is>
          <t>QA-008</t>
        </is>
      </c>
      <c r="B666" s="73" t="n">
        <v>55</v>
      </c>
      <c r="C666" s="73" t="inlineStr">
        <is>
          <t>- Neon credentials remain only in ignored private configuration.</t>
        </is>
      </c>
    </row>
    <row r="667" ht="30" customHeight="1" s="78">
      <c r="A667" s="73" t="inlineStr">
        <is>
          <t>QA-008</t>
        </is>
      </c>
      <c r="B667" s="73" t="n">
        <v>56</v>
      </c>
      <c r="C667" s="73" t="inlineStr">
        <is>
          <t>- The private account JSON and migration report remain ignored.</t>
        </is>
      </c>
    </row>
    <row r="668" ht="30" customHeight="1" s="78">
      <c r="A668" s="73" t="inlineStr">
        <is>
          <t>QA-008</t>
        </is>
      </c>
      <c r="B668" s="73" t="n">
        <v>57</v>
      </c>
      <c r="C668" s="73" t="inlineStr">
        <is>
          <t>- No plaintext password, API key, database URL, dump, environment, or generated</t>
        </is>
      </c>
    </row>
    <row r="669" ht="30" customHeight="1" s="78">
      <c r="A669" s="73" t="inlineStr">
        <is>
          <t>QA-008</t>
        </is>
      </c>
      <c r="B669" s="73" t="n">
        <v>58</v>
      </c>
      <c r="C669" s="73" t="inlineStr">
        <is>
          <t xml:space="preserve">  build artifact is included in the tracked changes.</t>
        </is>
      </c>
    </row>
    <row r="670" ht="30" customHeight="1" s="78">
      <c r="A670" s="73" t="inlineStr">
        <is>
          <t>QA-008</t>
        </is>
      </c>
      <c r="B670" s="73" t="n">
        <v>59</v>
      </c>
      <c r="C670" s="73" t="inlineStr">
        <is>
          <t>- Existing submissions and analytics are not deleted when an account is</t>
        </is>
      </c>
    </row>
    <row r="671" ht="30" customHeight="1" s="78">
      <c r="A671" s="73" t="inlineStr">
        <is>
          <t>QA-008</t>
        </is>
      </c>
      <c r="B671" s="73" t="n">
        <v>60</v>
      </c>
      <c r="C671" s="73" t="inlineStr">
        <is>
          <t xml:space="preserve">  deactivated.</t>
        </is>
      </c>
    </row>
    <row r="672" ht="30" customHeight="1" s="78">
      <c r="A672" s="73" t="inlineStr">
        <is>
          <t>QA-008</t>
        </is>
      </c>
      <c r="B672" s="73" t="n">
        <v>61</v>
      </c>
      <c r="C672" s="73" t="inlineStr">
        <is>
          <t>- The application still treats test-case grading as authoritative; AI remains</t>
        </is>
      </c>
    </row>
    <row r="673" ht="30" customHeight="1" s="78">
      <c r="A673" s="73" t="inlineStr">
        <is>
          <t>QA-008</t>
        </is>
      </c>
      <c r="B673" s="73" t="n">
        <v>62</v>
      </c>
      <c r="C673" s="73" t="inlineStr">
        <is>
          <t xml:space="preserve">  optional and disabled by default.</t>
        </is>
      </c>
    </row>
    <row r="674" ht="30" customHeight="1" s="78">
      <c r="A674" s="73" t="inlineStr">
        <is>
          <t>QA-008</t>
        </is>
      </c>
      <c r="B674" s="73" t="n">
        <v>63</v>
      </c>
      <c r="C674" s="73" t="n"/>
    </row>
    <row r="675" ht="30" customHeight="1" s="78">
      <c r="A675" s="73" t="inlineStr">
        <is>
          <t>QA-008</t>
        </is>
      </c>
      <c r="B675" s="73" t="n">
        <v>64</v>
      </c>
      <c r="C675" s="73" t="inlineStr">
        <is>
          <t>## Final status</t>
        </is>
      </c>
    </row>
    <row r="676" ht="30" customHeight="1" s="78">
      <c r="A676" s="73" t="inlineStr">
        <is>
          <t>QA-008</t>
        </is>
      </c>
      <c r="B676" s="73" t="n">
        <v>65</v>
      </c>
      <c r="C676" s="73" t="n"/>
    </row>
    <row r="677" ht="30" customHeight="1" s="78">
      <c r="A677" s="73" t="inlineStr">
        <is>
          <t>QA-008</t>
        </is>
      </c>
      <c r="B677" s="73" t="n">
        <v>66</v>
      </c>
      <c r="C677" s="73" t="inlineStr">
        <is>
          <t>**PASS for the requested Windows local staging scope.** Publication, production</t>
        </is>
      </c>
    </row>
    <row r="678" ht="30" customHeight="1" s="78">
      <c r="A678" s="73" t="inlineStr">
        <is>
          <t>QA-008</t>
        </is>
      </c>
      <c r="B678" s="73" t="n">
        <v>67</v>
      </c>
      <c r="C678" s="73" t="inlineStr">
        <is>
          <t>deployment, and physical Ubuntu-machine validation require separate approval or</t>
        </is>
      </c>
    </row>
    <row r="679" ht="30" customHeight="1" s="78">
      <c r="A679" s="73" t="inlineStr">
        <is>
          <t>QA-008</t>
        </is>
      </c>
      <c r="B679" s="73" t="n">
        <v>68</v>
      </c>
      <c r="C679" s="73" t="inlineStr">
        <is>
          <t>execution.</t>
        </is>
      </c>
    </row>
    <row r="680" ht="30" customHeight="1" s="78">
      <c r="A680" s="73" t="inlineStr">
        <is>
          <t>QA-008</t>
        </is>
      </c>
      <c r="B680" s="73" t="n">
        <v>69</v>
      </c>
      <c r="C680" s="73" t="n"/>
    </row>
    <row r="681" ht="30" customHeight="1" s="78">
      <c r="A681" s="73" t="inlineStr">
        <is>
          <t>QA-009</t>
        </is>
      </c>
      <c r="B681" s="73" t="n">
        <v>1</v>
      </c>
      <c r="C681" s="73" t="inlineStr">
        <is>
          <t># Neon-Only Database Architecture SQA Report</t>
        </is>
      </c>
    </row>
    <row r="682" ht="30" customHeight="1" s="78">
      <c r="A682" s="73" t="inlineStr">
        <is>
          <t>QA-009</t>
        </is>
      </c>
      <c r="B682" s="73" t="n">
        <v>2</v>
      </c>
      <c r="C682" s="73" t="n"/>
    </row>
    <row r="683" ht="30" customHeight="1" s="78">
      <c r="A683" s="73" t="inlineStr">
        <is>
          <t>QA-009</t>
        </is>
      </c>
      <c r="B683" s="73" t="n">
        <v>3</v>
      </c>
      <c r="C683" s="73" t="inlineStr">
        <is>
          <t>**Date:** 2026-08-28</t>
        </is>
      </c>
    </row>
    <row r="684" ht="30" customHeight="1" s="78">
      <c r="A684" s="73" t="inlineStr">
        <is>
          <t>QA-009</t>
        </is>
      </c>
      <c r="B684" s="73" t="n">
        <v>4</v>
      </c>
      <c r="C684" s="73" t="inlineStr">
        <is>
          <t>**Repository:** `Robotics-Programming-Lab-Staging`</t>
        </is>
      </c>
    </row>
    <row r="685" ht="30" customHeight="1" s="78">
      <c r="A685" s="73" t="inlineStr">
        <is>
          <t>QA-009</t>
        </is>
      </c>
      <c r="B685" s="73" t="n">
        <v>5</v>
      </c>
      <c r="C685" s="73" t="inlineStr">
        <is>
          <t>**Branch:** `main`</t>
        </is>
      </c>
    </row>
    <row r="686" ht="30" customHeight="1" s="78">
      <c r="A686" s="73" t="inlineStr">
        <is>
          <t>QA-009</t>
        </is>
      </c>
      <c r="B686" s="73" t="n">
        <v>6</v>
      </c>
      <c r="C686" s="73" t="inlineStr">
        <is>
          <t>**Publication status:** Local working tree; not committed or pushed</t>
        </is>
      </c>
    </row>
    <row r="687" ht="30" customHeight="1" s="78">
      <c r="A687" s="73" t="inlineStr">
        <is>
          <t>QA-009</t>
        </is>
      </c>
      <c r="B687" s="73" t="n">
        <v>7</v>
      </c>
      <c r="C687" s="73" t="n"/>
    </row>
    <row r="688" ht="30" customHeight="1" s="78">
      <c r="A688" s="73" t="inlineStr">
        <is>
          <t>QA-009</t>
        </is>
      </c>
      <c r="B688" s="73" t="n">
        <v>8</v>
      </c>
      <c r="C688" s="73" t="inlineStr">
        <is>
          <t>## Result</t>
        </is>
      </c>
    </row>
    <row r="689" ht="30" customHeight="1" s="78">
      <c r="A689" s="73" t="inlineStr">
        <is>
          <t>QA-009</t>
        </is>
      </c>
      <c r="B689" s="73" t="n">
        <v>9</v>
      </c>
      <c r="C689" s="73" t="n"/>
    </row>
    <row r="690" ht="30" customHeight="1" s="78">
      <c r="A690" s="73" t="inlineStr">
        <is>
          <t>QA-009</t>
        </is>
      </c>
      <c r="B690" s="73" t="n">
        <v>10</v>
      </c>
      <c r="C690" s="73" t="inlineStr">
        <is>
          <t>The staging application now has one runtime database architecture: the shared</t>
        </is>
      </c>
    </row>
    <row r="691" ht="30" customHeight="1" s="78">
      <c r="A691" s="73" t="inlineStr">
        <is>
          <t>QA-009</t>
        </is>
      </c>
      <c r="B691" s="73" t="n">
        <v>11</v>
      </c>
      <c r="C691" s="73" t="inlineStr">
        <is>
          <t>Neon PostgreSQL staging database. Local PostgreSQL, runtime SQLite, database</t>
        </is>
      </c>
    </row>
    <row r="692" ht="30" customHeight="1" s="78">
      <c r="A692" s="73" t="inlineStr">
        <is>
          <t>QA-009</t>
        </is>
      </c>
      <c r="B692" s="73" t="n">
        <v>12</v>
      </c>
      <c r="C692" s="73" t="inlineStr">
        <is>
          <t>dump restore, periodic/final backup workers, package manifests, and device locks</t>
        </is>
      </c>
    </row>
    <row r="693" ht="30" customHeight="1" s="78">
      <c r="A693" s="73" t="inlineStr">
        <is>
          <t>QA-009</t>
        </is>
      </c>
      <c r="B693" s="73" t="n">
        <v>13</v>
      </c>
      <c r="C693" s="73" t="inlineStr">
        <is>
          <t>were removed from the supported launch path.</t>
        </is>
      </c>
    </row>
    <row r="694" ht="30" customHeight="1" s="78">
      <c r="A694" s="73" t="inlineStr">
        <is>
          <t>QA-009</t>
        </is>
      </c>
      <c r="B694" s="73" t="n">
        <v>14</v>
      </c>
      <c r="C694" s="73" t="n"/>
    </row>
    <row r="695" ht="30" customHeight="1" s="78">
      <c r="A695" s="73" t="inlineStr">
        <is>
          <t>QA-009</t>
        </is>
      </c>
      <c r="B695" s="73" t="n">
        <v>15</v>
      </c>
      <c r="C695" s="73" t="inlineStr">
        <is>
          <t>The private configuration is now one ignored `.env` in the repository root.</t>
        </is>
      </c>
    </row>
    <row r="696" ht="30" customHeight="1" s="78">
      <c r="A696" s="73" t="inlineStr">
        <is>
          <t>QA-009</t>
        </is>
      </c>
      <c r="B696" s="73" t="n">
        <v>16</v>
      </c>
      <c r="C696" s="73" t="inlineStr">
        <is>
          <t>The password-free account roster is tracked at `backend/data/study_accounts.json`;</t>
        </is>
      </c>
    </row>
    <row r="697" ht="30" customHeight="1" s="78">
      <c r="A697" s="73" t="inlineStr">
        <is>
          <t>QA-009</t>
        </is>
      </c>
      <c r="B697" s="73" t="n">
        <v>17</v>
      </c>
      <c r="C697" s="73" t="inlineStr">
        <is>
          <t>passwords and hashes remain outside Git.</t>
        </is>
      </c>
    </row>
    <row r="698" ht="30" customHeight="1" s="78">
      <c r="A698" s="73" t="inlineStr">
        <is>
          <t>QA-009</t>
        </is>
      </c>
      <c r="B698" s="73" t="n">
        <v>18</v>
      </c>
      <c r="C698" s="73" t="inlineStr">
        <is>
          <t>Docker remains required for the Python and ROS 2 grading containers; it no</t>
        </is>
      </c>
    </row>
    <row r="699" ht="30" customHeight="1" s="78">
      <c r="A699" s="73" t="inlineStr">
        <is>
          <t>QA-009</t>
        </is>
      </c>
      <c r="B699" s="73" t="n">
        <v>19</v>
      </c>
      <c r="C699" s="73" t="inlineStr">
        <is>
          <t>longer hosts the application database.</t>
        </is>
      </c>
    </row>
    <row r="700" ht="30" customHeight="1" s="78">
      <c r="A700" s="73" t="inlineStr">
        <is>
          <t>QA-009</t>
        </is>
      </c>
      <c r="B700" s="73" t="n">
        <v>20</v>
      </c>
      <c r="C700" s="73" t="n"/>
    </row>
    <row r="701" ht="30" customHeight="1" s="78">
      <c r="A701" s="73" t="inlineStr">
        <is>
          <t>QA-009</t>
        </is>
      </c>
      <c r="B701" s="73" t="n">
        <v>21</v>
      </c>
      <c r="C701" s="73" t="inlineStr">
        <is>
          <t>## QA results</t>
        </is>
      </c>
    </row>
    <row r="702" ht="30" customHeight="1" s="78">
      <c r="A702" s="73" t="inlineStr">
        <is>
          <t>QA-009</t>
        </is>
      </c>
      <c r="B702" s="73" t="n">
        <v>22</v>
      </c>
      <c r="C702" s="73" t="n"/>
    </row>
    <row r="703" ht="30" customHeight="1" s="78">
      <c r="A703" s="73" t="inlineStr">
        <is>
          <t>QA-009</t>
        </is>
      </c>
      <c r="B703" s="73" t="n">
        <v>23</v>
      </c>
      <c r="C703" s="73" t="inlineStr">
        <is>
          <t>| Area | Check | Result | Remaining limitation |</t>
        </is>
      </c>
    </row>
    <row r="704" ht="30" customHeight="1" s="78">
      <c r="A704" s="73" t="inlineStr">
        <is>
          <t>QA-009</t>
        </is>
      </c>
      <c r="B704" s="73" t="n">
        <v>24</v>
      </c>
      <c r="C704" s="73" t="inlineStr">
        <is>
          <t>|---|---|---:|---|</t>
        </is>
      </c>
    </row>
    <row r="705" ht="39.95" customHeight="1" s="78">
      <c r="A705" s="73" t="inlineStr">
        <is>
          <t>QA-009</t>
        </is>
      </c>
      <c r="B705" s="73" t="n">
        <v>25</v>
      </c>
      <c r="C705" s="73" t="inlineStr">
        <is>
          <t>| Windows launcher | Started with the configured Neon staging URL, applied Alembic migrations, and recorded `databaseProvider=neon` | PASS | Internet and Neon availability are required |</t>
        </is>
      </c>
    </row>
    <row r="706" ht="30" customHeight="1" s="78">
      <c r="A706" s="73" t="inlineStr">
        <is>
          <t>QA-009</t>
        </is>
      </c>
      <c r="B706" s="73" t="n">
        <v>26</v>
      </c>
      <c r="C706" s="73" t="inlineStr">
        <is>
          <t>| Managed shutdown | Stopped only launcher-owned frontend, backend, and sandbox processes | PASS | None observed |</t>
        </is>
      </c>
    </row>
    <row r="707" ht="39.95" customHeight="1" s="78">
      <c r="A707" s="73" t="inlineStr">
        <is>
          <t>QA-009</t>
        </is>
      </c>
      <c r="B707" s="73" t="n">
        <v>27</v>
      </c>
      <c r="C707" s="73" t="inlineStr">
        <is>
          <t>| Private configuration | Validator confirmed the ignored repository-root `.env`, tracked password-free roster, and absence of obsolete dumps/manifests/history | PASS | The `.env` must be provisioned through a secure channel on each authorized computer |</t>
        </is>
      </c>
    </row>
    <row r="708" ht="39.95" customHeight="1" s="78">
      <c r="A708" s="73" t="inlineStr">
        <is>
          <t>QA-009</t>
        </is>
      </c>
      <c r="B708" s="73" t="n">
        <v>28</v>
      </c>
      <c r="C708" s="73" t="inlineStr">
        <is>
          <t>| Account roster safety | Tracked roster contains no temporary passwords; backend rejects passwords placed in the canonical roster | PASS | Create and reset passwords through Instructor Studio |</t>
        </is>
      </c>
    </row>
    <row r="709" ht="39.95" customHeight="1" s="78">
      <c r="A709" s="73" t="inlineStr">
        <is>
          <t>QA-009</t>
        </is>
      </c>
      <c r="B709" s="73" t="n">
        <v>29</v>
      </c>
      <c r="C709" s="73" t="inlineStr">
        <is>
          <t>| Local fallback removal | PostgreSQL Compose service, transfer module, dump scripts, backup worker, device lock, and runtime fallback switches removed | PASS | No offline database mode remains |</t>
        </is>
      </c>
    </row>
    <row r="710" ht="30" customHeight="1" s="78">
      <c r="A710" s="73" t="inlineStr">
        <is>
          <t>QA-009</t>
        </is>
      </c>
      <c r="B710" s="73" t="n">
        <v>30</v>
      </c>
      <c r="C710" s="73" t="inlineStr">
        <is>
          <t>| Account import | Focused authentication/account tests | PASS | 16 tests passed |</t>
        </is>
      </c>
    </row>
    <row r="711" ht="30" customHeight="1" s="78">
      <c r="A711" s="73" t="inlineStr">
        <is>
          <t>QA-009</t>
        </is>
      </c>
      <c r="B711" s="73" t="n">
        <v>31</v>
      </c>
      <c r="C711" s="73" t="inlineStr">
        <is>
          <t>| Backend regression | Full backend test suite | PASS | 179 tests passed after adding tracked-roster password protection |</t>
        </is>
      </c>
    </row>
    <row r="712" ht="30" customHeight="1" s="78">
      <c r="A712" s="73" t="inlineStr">
        <is>
          <t>QA-009</t>
        </is>
      </c>
      <c r="B712" s="73" t="n">
        <v>32</v>
      </c>
      <c r="C712" s="73" t="inlineStr">
        <is>
          <t>| Dependencies | `pip check` | PASS | No broken requirements |</t>
        </is>
      </c>
    </row>
    <row r="713" ht="30" customHeight="1" s="78">
      <c r="A713" s="73" t="inlineStr">
        <is>
          <t>QA-009</t>
        </is>
      </c>
      <c r="B713" s="73" t="n">
        <v>33</v>
      </c>
      <c r="C713" s="73" t="inlineStr">
        <is>
          <t>| Python compilation | `compileall` | PASS | No compilation errors |</t>
        </is>
      </c>
    </row>
    <row r="714" ht="30" customHeight="1" s="78">
      <c r="A714" s="73" t="inlineStr">
        <is>
          <t>QA-009</t>
        </is>
      </c>
      <c r="B714" s="73" t="n">
        <v>34</v>
      </c>
      <c r="C714" s="73" t="inlineStr">
        <is>
          <t>| Flutter analysis | Static analyzer | PASS | No issues found |</t>
        </is>
      </c>
    </row>
    <row r="715" ht="30" customHeight="1" s="78">
      <c r="A715" s="73" t="inlineStr">
        <is>
          <t>QA-009</t>
        </is>
      </c>
      <c r="B715" s="73" t="n">
        <v>35</v>
      </c>
      <c r="C715" s="73" t="inlineStr">
        <is>
          <t>| Flutter tests | Widget/state/API-client tests | PASS | 51 tests passed |</t>
        </is>
      </c>
    </row>
    <row r="716" ht="30" customHeight="1" s="78">
      <c r="A716" s="73" t="inlineStr">
        <is>
          <t>QA-009</t>
        </is>
      </c>
      <c r="B716" s="73" t="n">
        <v>36</v>
      </c>
      <c r="C716" s="73" t="inlineStr">
        <is>
          <t>| Flutter release build | Release web build using the local API URL | PASS | Local build only; no deployment performed |</t>
        </is>
      </c>
    </row>
    <row r="717" ht="30" customHeight="1" s="78">
      <c r="A717" s="73" t="inlineStr">
        <is>
          <t>QA-009</t>
        </is>
      </c>
      <c r="B717" s="73" t="n">
        <v>37</v>
      </c>
      <c r="C717" s="73" t="inlineStr">
        <is>
          <t>| Compose configuration | Docker Compose configuration validation | PASS | Compose now defines only build-profile grader images |</t>
        </is>
      </c>
    </row>
    <row r="718" ht="30" customHeight="1" s="78">
      <c r="A718" s="73" t="inlineStr">
        <is>
          <t>QA-009</t>
        </is>
      </c>
      <c r="B718" s="73" t="n">
        <v>38</v>
      </c>
      <c r="C718" s="73" t="inlineStr">
        <is>
          <t>| ROS 2 grading | Maintained answers for Assignments 5 and 6 | PASS | Assignment 5: 7/7; Assignment 6: 9/9 |</t>
        </is>
      </c>
    </row>
    <row r="719" ht="30" customHeight="1" s="78">
      <c r="A719" s="73" t="inlineStr">
        <is>
          <t>QA-009</t>
        </is>
      </c>
      <c r="B719" s="73" t="n">
        <v>39</v>
      </c>
      <c r="C719" s="73" t="inlineStr">
        <is>
          <t>| Service health | Frontend HTTP 200; backend and sandbox healthy | PASS | Verified on Windows local ports 8180/5100/5101 |</t>
        </is>
      </c>
    </row>
    <row r="720" ht="39.95" customHeight="1" s="78">
      <c r="A720" s="73" t="inlineStr">
        <is>
          <t>QA-009</t>
        </is>
      </c>
      <c r="B720" s="73" t="n">
        <v>40</v>
      </c>
      <c r="C720" s="73" t="inlineStr">
        <is>
          <t>| Persistent student login | Default student authenticated against Neon, `/auth/me` returned the student role, and logout succeeded | PASS | Password value was not recorded in QA output |</t>
        </is>
      </c>
    </row>
    <row r="721" ht="39.95" customHeight="1" s="78">
      <c r="A721" s="73" t="inlineStr">
        <is>
          <t>QA-009</t>
        </is>
      </c>
      <c r="B721" s="73" t="n">
        <v>41</v>
      </c>
      <c r="C721" s="73" t="inlineStr">
        <is>
          <t>| Ubuntu launcher | Source updated to the same Neon-only lifecycle | NOT RUN | This Windows host has no Bash/WSL or ShellCheck; repeat on a physical Ubuntu lab computer |</t>
        </is>
      </c>
    </row>
    <row r="722" ht="39.95" customHeight="1" s="78">
      <c r="A722" s="73" t="inlineStr">
        <is>
          <t>QA-009</t>
        </is>
      </c>
      <c r="B722" s="73" t="n">
        <v>42</v>
      </c>
      <c r="C722" s="73" t="inlineStr">
        <is>
          <t>| Secret safety | `.env` remains ignored; the tracked roster contains metadata only | PASS | Never commit passwords, hashes, or private connection settings |</t>
        </is>
      </c>
    </row>
    <row r="723" ht="30" customHeight="1" s="78">
      <c r="A723" s="73" t="inlineStr">
        <is>
          <t>QA-009</t>
        </is>
      </c>
      <c r="B723" s="73" t="n">
        <v>43</v>
      </c>
      <c r="C723" s="73" t="n"/>
    </row>
    <row r="724" ht="30" customHeight="1" s="78">
      <c r="A724" s="73" t="inlineStr">
        <is>
          <t>QA-009</t>
        </is>
      </c>
      <c r="B724" s="73" t="n">
        <v>44</v>
      </c>
      <c r="C724" s="73" t="inlineStr">
        <is>
          <t>## Removed private artifacts</t>
        </is>
      </c>
    </row>
    <row r="725" ht="30" customHeight="1" s="78">
      <c r="A725" s="73" t="inlineStr">
        <is>
          <t>QA-009</t>
        </is>
      </c>
      <c r="B725" s="73" t="n">
        <v>45</v>
      </c>
      <c r="C725" s="73" t="n"/>
    </row>
    <row r="726" ht="30" customHeight="1" s="78">
      <c r="A726" s="73" t="inlineStr">
        <is>
          <t>QA-009</t>
        </is>
      </c>
      <c r="B726" s="73" t="n">
        <v>46</v>
      </c>
      <c r="C726" s="73" t="inlineStr">
        <is>
          <t>The following obsolete local fallback files were permanently removed from the</t>
        </is>
      </c>
    </row>
    <row r="727" ht="30" customHeight="1" s="78">
      <c r="A727" s="73" t="inlineStr">
        <is>
          <t>QA-009</t>
        </is>
      </c>
      <c r="B727" s="73" t="n">
        <v>47</v>
      </c>
      <c r="C727" s="73" t="inlineStr">
        <is>
          <t>ignored package: `history/`, `latest.dump`, `latest.json`, `previous.dump`,</t>
        </is>
      </c>
    </row>
    <row r="728" ht="30" customHeight="1" s="78">
      <c r="A728" s="73" t="inlineStr">
        <is>
          <t>QA-009</t>
        </is>
      </c>
      <c r="B728" s="73" t="n">
        <v>48</v>
      </c>
      <c r="C728" s="73" t="inlineStr">
        <is>
          <t>`previous.json`, `package.json`, `neon-migration-report.json`, and</t>
        </is>
      </c>
    </row>
    <row r="729" ht="30" customHeight="1" s="78">
      <c r="A729" s="73" t="inlineStr">
        <is>
          <t>QA-009</t>
        </is>
      </c>
      <c r="B729" s="73" t="n">
        <v>49</v>
      </c>
      <c r="C729" s="73" t="inlineStr">
        <is>
          <t>`study_accounts_import_report.json`. The migrated study data remains in Neon.</t>
        </is>
      </c>
    </row>
    <row r="730" ht="30" customHeight="1" s="78">
      <c r="A730" s="73" t="inlineStr">
        <is>
          <t>QA-009</t>
        </is>
      </c>
      <c r="B730" s="73" t="n">
        <v>50</v>
      </c>
      <c r="C730" s="73" t="n"/>
    </row>
    <row r="731" ht="30" customHeight="1" s="78">
      <c r="A731" s="73" t="inlineStr">
        <is>
          <t>QA-009</t>
        </is>
      </c>
      <c r="B731" s="73" t="n">
        <v>51</v>
      </c>
      <c r="C731" s="73" t="inlineStr">
        <is>
          <t>## Decision</t>
        </is>
      </c>
    </row>
    <row r="732" ht="30" customHeight="1" s="78">
      <c r="A732" s="73" t="inlineStr">
        <is>
          <t>QA-009</t>
        </is>
      </c>
      <c r="B732" s="73" t="n">
        <v>52</v>
      </c>
      <c r="C732" s="73" t="n"/>
    </row>
    <row r="733" ht="30" customHeight="1" s="78">
      <c r="A733" s="73" t="inlineStr">
        <is>
          <t>QA-009</t>
        </is>
      </c>
      <c r="B733" s="73" t="n">
        <v>53</v>
      </c>
      <c r="C733" s="73" t="inlineStr">
        <is>
          <t>**PASS for the tested Windows local scope.** The Neon-only application is ready</t>
        </is>
      </c>
    </row>
    <row r="734" ht="30" customHeight="1" s="78">
      <c r="A734" s="73" t="inlineStr">
        <is>
          <t>QA-009</t>
        </is>
      </c>
      <c r="B734" s="73" t="n">
        <v>54</v>
      </c>
      <c r="C734" s="73" t="inlineStr">
        <is>
          <t>for continued local staging work. Physical Ubuntu execution remains an explicit</t>
        </is>
      </c>
    </row>
    <row r="735" ht="30" customHeight="1" s="78">
      <c r="A735" s="73" t="inlineStr">
        <is>
          <t>QA-009</t>
        </is>
      </c>
      <c r="B735" s="73" t="n">
        <v>55</v>
      </c>
      <c r="C735" s="73" t="inlineStr">
        <is>
          <t>hardware/environment validation item and is not claimed as tested here.</t>
        </is>
      </c>
    </row>
    <row r="736" ht="30" customHeight="1" s="78">
      <c r="A736" s="73" t="inlineStr">
        <is>
          <t>QA-009</t>
        </is>
      </c>
      <c r="B736" s="73" t="n">
        <v>56</v>
      </c>
      <c r="C736" s="73" t="n"/>
    </row>
    <row r="737" ht="30" customHeight="1" s="78">
      <c r="A737" s="73" t="inlineStr">
        <is>
          <t>QA-010</t>
        </is>
      </c>
      <c r="B737" s="73" t="n">
        <v>1</v>
      </c>
      <c r="C737" s="73" t="inlineStr">
        <is>
          <t># Repository cleanup SQA report</t>
        </is>
      </c>
    </row>
    <row r="738" ht="30" customHeight="1" s="78">
      <c r="A738" s="73" t="inlineStr">
        <is>
          <t>QA-010</t>
        </is>
      </c>
      <c r="B738" s="73" t="n">
        <v>2</v>
      </c>
      <c r="C738" s="73" t="n"/>
    </row>
    <row r="739" ht="30" customHeight="1" s="78">
      <c r="A739" s="73" t="inlineStr">
        <is>
          <t>QA-010</t>
        </is>
      </c>
      <c r="B739" s="73" t="n">
        <v>3</v>
      </c>
      <c r="C739" s="73" t="inlineStr">
        <is>
          <t>**Date:** 2026-08-24</t>
        </is>
      </c>
    </row>
    <row r="740" ht="30" customHeight="1" s="78">
      <c r="A740" s="73" t="inlineStr">
        <is>
          <t>QA-010</t>
        </is>
      </c>
      <c r="B740" s="73" t="n">
        <v>4</v>
      </c>
      <c r="C740" s="73" t="inlineStr">
        <is>
          <t>**Repository:** `CS-Ponkoj/Robotics-Programming-Lab-Staging`</t>
        </is>
      </c>
    </row>
    <row r="741" ht="30" customHeight="1" s="78">
      <c r="A741" s="73" t="inlineStr">
        <is>
          <t>QA-010</t>
        </is>
      </c>
      <c r="B741" s="73" t="n">
        <v>5</v>
      </c>
      <c r="C741" s="73" t="inlineStr">
        <is>
          <t>**Working branch:** `maintenance/repository-cleanup`</t>
        </is>
      </c>
    </row>
    <row r="742" ht="30" customHeight="1" s="78">
      <c r="A742" s="73" t="inlineStr">
        <is>
          <t>QA-010</t>
        </is>
      </c>
      <c r="B742" s="73" t="n">
        <v>6</v>
      </c>
      <c r="C742" s="73" t="inlineStr">
        <is>
          <t>**Protected baseline:** `5ef8f8e2211821e87286e96cf9d418e4782da307`</t>
        </is>
      </c>
    </row>
    <row r="743" ht="30" customHeight="1" s="78">
      <c r="A743" s="73" t="inlineStr">
        <is>
          <t>QA-010</t>
        </is>
      </c>
      <c r="B743" s="73" t="n">
        <v>7</v>
      </c>
      <c r="C743" s="73" t="n"/>
    </row>
    <row r="744" ht="30" customHeight="1" s="78">
      <c r="A744" s="73" t="inlineStr">
        <is>
          <t>QA-010</t>
        </is>
      </c>
      <c r="B744" s="73" t="n">
        <v>8</v>
      </c>
      <c r="C744" s="73" t="inlineStr">
        <is>
          <t>## Outcome</t>
        </is>
      </c>
    </row>
    <row r="745" ht="30" customHeight="1" s="78">
      <c r="A745" s="73" t="inlineStr">
        <is>
          <t>QA-010</t>
        </is>
      </c>
      <c r="B745" s="73" t="n">
        <v>9</v>
      </c>
      <c r="C745" s="73" t="n"/>
    </row>
    <row r="746" ht="30" customHeight="1" s="78">
      <c r="A746" s="73" t="inlineStr">
        <is>
          <t>QA-010</t>
        </is>
      </c>
      <c r="B746" s="73" t="n">
        <v>10</v>
      </c>
      <c r="C746" s="73" t="inlineStr">
        <is>
          <t>The structured cleanup is a staging release candidate. Rebuildable local</t>
        </is>
      </c>
    </row>
    <row r="747" ht="30" customHeight="1" s="78">
      <c r="A747" s="73" t="inlineStr">
        <is>
          <t>QA-010</t>
        </is>
      </c>
      <c r="B747" s="73" t="n">
        <v>11</v>
      </c>
      <c r="C747" s="73" t="inlineStr">
        <is>
          <t>artifacts and Git garbage were removed, unused tracked duplicates were deleted,</t>
        </is>
      </c>
    </row>
    <row r="748" ht="30" customHeight="1" s="78">
      <c r="A748" s="73" t="inlineStr">
        <is>
          <t>QA-010</t>
        </is>
      </c>
      <c r="B748" s="73" t="n">
        <v>12</v>
      </c>
      <c r="C748" s="73" t="inlineStr">
        <is>
          <t>and historical evidence was moved into labeled archives. Assignment content,</t>
        </is>
      </c>
    </row>
    <row r="749" ht="30" customHeight="1" s="78">
      <c r="A749" s="73" t="inlineStr">
        <is>
          <t>QA-010</t>
        </is>
      </c>
      <c r="B749" s="73" t="n">
        <v>13</v>
      </c>
      <c r="C749" s="73" t="inlineStr">
        <is>
          <t>instructor answers, environments, databases, PostgreSQL backups, generated PDF</t>
        </is>
      </c>
    </row>
    <row r="750" ht="30" customHeight="1" s="78">
      <c r="A750" s="73" t="inlineStr">
        <is>
          <t>QA-010</t>
        </is>
      </c>
      <c r="B750" s="73" t="n">
        <v>14</v>
      </c>
      <c r="C750" s="73" t="inlineStr">
        <is>
          <t>outputs, Flutter platform projects, and production configuration were preserved.</t>
        </is>
      </c>
    </row>
    <row r="751" ht="30" customHeight="1" s="78">
      <c r="A751" s="73" t="inlineStr">
        <is>
          <t>QA-010</t>
        </is>
      </c>
      <c r="B751" s="73" t="n">
        <v>15</v>
      </c>
      <c r="C751" s="73" t="n"/>
    </row>
    <row r="752" ht="30" customHeight="1" s="78">
      <c r="A752" s="73" t="inlineStr">
        <is>
          <t>QA-010</t>
        </is>
      </c>
      <c r="B752" s="73" t="n">
        <v>16</v>
      </c>
      <c r="C752" s="73" t="inlineStr">
        <is>
          <t>## Cleanup evidence</t>
        </is>
      </c>
    </row>
    <row r="753" ht="30" customHeight="1" s="78">
      <c r="A753" s="73" t="inlineStr">
        <is>
          <t>QA-010</t>
        </is>
      </c>
      <c r="B753" s="73" t="n">
        <v>17</v>
      </c>
      <c r="C753" s="73" t="n"/>
    </row>
    <row r="754" ht="30" customHeight="1" s="78">
      <c r="A754" s="73" t="inlineStr">
        <is>
          <t>QA-010</t>
        </is>
      </c>
      <c r="B754" s="73" t="n">
        <v>18</v>
      </c>
      <c r="C754" s="73" t="inlineStr">
        <is>
          <t>| Area | Evidence | Result |</t>
        </is>
      </c>
    </row>
    <row r="755" ht="30" customHeight="1" s="78">
      <c r="A755" s="73" t="inlineStr">
        <is>
          <t>QA-010</t>
        </is>
      </c>
      <c r="B755" s="73" t="n">
        <v>19</v>
      </c>
      <c r="C755" s="73" t="inlineStr">
        <is>
          <t>|---|---|---:|</t>
        </is>
      </c>
    </row>
    <row r="756" ht="30" customHeight="1" s="78">
      <c r="A756" s="73" t="inlineStr">
        <is>
          <t>QA-010</t>
        </is>
      </c>
      <c r="B756" s="73" t="n">
        <v>20</v>
      </c>
      <c r="C756" s="73" t="inlineStr">
        <is>
          <t>| Recovery point | `backup-v5-pre-cleanup-2026-08-24` published at baseline commit | PASS |</t>
        </is>
      </c>
    </row>
    <row r="757" ht="30" customHeight="1" s="78">
      <c r="A757" s="73" t="inlineStr">
        <is>
          <t>QA-010</t>
        </is>
      </c>
      <c r="B757" s="73" t="n">
        <v>21</v>
      </c>
      <c r="C757" s="73" t="inlineStr">
        <is>
          <t>| Generated artifacts | Fixed allow-list removed approximately 133.42 MB across initial and final passes | PASS |</t>
        </is>
      </c>
    </row>
    <row r="758" ht="30" customHeight="1" s="78">
      <c r="A758" s="73" t="inlineStr">
        <is>
          <t>QA-010</t>
        </is>
      </c>
      <c r="B758" s="73" t="n">
        <v>22</v>
      </c>
      <c r="C758" s="73" t="inlineStr">
        <is>
          <t>| Git object store | Integrity checked; 174.35 MB temporary garbage removed; one 137.53 MB pack remains | PASS |</t>
        </is>
      </c>
    </row>
    <row r="759" ht="30" customHeight="1" s="78">
      <c r="A759" s="73" t="inlineStr">
        <is>
          <t>QA-010</t>
        </is>
      </c>
      <c r="B759" s="73" t="n">
        <v>23</v>
      </c>
      <c r="C759" s="73" t="inlineStr">
        <is>
          <t>| Unused tracked files | Removed unreferenced `frontend/code.txt` and the unused duplicate `backend/files/` assets | PASS |</t>
        </is>
      </c>
    </row>
    <row r="760" ht="30" customHeight="1" s="78">
      <c r="A760" s="73" t="inlineStr">
        <is>
          <t>QA-010</t>
        </is>
      </c>
      <c r="B760" s="73" t="n">
        <v>24</v>
      </c>
      <c r="C760" s="73" t="inlineStr">
        <is>
          <t>| Course material | Source paths retained; seven unreferenced screenshots moved from `ss/` to `archive/screenshots/` | PASS |</t>
        </is>
      </c>
    </row>
    <row r="761" ht="30" customHeight="1" s="78">
      <c r="A761" s="73" t="inlineStr">
        <is>
          <t>QA-010</t>
        </is>
      </c>
      <c r="B761" s="73" t="n">
        <v>25</v>
      </c>
      <c r="C761" s="73" t="inlineStr">
        <is>
          <t>| Documentation | Current documents remain active; superseded SQA and v4 deployment records moved to `docs/archive/` | PASS |</t>
        </is>
      </c>
    </row>
    <row r="762" ht="30" customHeight="1" s="78">
      <c r="A762" s="73" t="inlineStr">
        <is>
          <t>QA-010</t>
        </is>
      </c>
      <c r="B762" s="73" t="n">
        <v>26</v>
      </c>
      <c r="C762" s="73" t="inlineStr">
        <is>
          <t>| Markdown links | All repository Markdown files scanned; zero broken relative links | PASS |</t>
        </is>
      </c>
    </row>
    <row r="763" ht="30" customHeight="1" s="78">
      <c r="A763" s="73" t="inlineStr">
        <is>
          <t>QA-010</t>
        </is>
      </c>
      <c r="B763" s="73" t="n">
        <v>27</v>
      </c>
      <c r="C763" s="73" t="inlineStr">
        <is>
          <t>| Ignore rules | Root `.gitignore` deduplicated and verified against databases, output, runtime, and caches | PASS |</t>
        </is>
      </c>
    </row>
    <row r="764" ht="30" customHeight="1" s="78">
      <c r="A764" s="73" t="inlineStr">
        <is>
          <t>QA-010</t>
        </is>
      </c>
      <c r="B764" s="73" t="n">
        <v>28</v>
      </c>
      <c r="C764" s="73" t="inlineStr">
        <is>
          <t>| Legacy SQLite data | Seven different databases inspected, totaling 10-340 rows each; all preserved because their data differs | PASS |</t>
        </is>
      </c>
    </row>
    <row r="765" ht="30" customHeight="1" s="78">
      <c r="A765" s="73" t="inlineStr">
        <is>
          <t>QA-010</t>
        </is>
      </c>
      <c r="B765" s="73" t="n">
        <v>29</v>
      </c>
      <c r="C765" s="73" t="inlineStr">
        <is>
          <t>| Protected paths | `venv`, databases, backups, output, course sources, and instructor answers excluded from cleanup | PASS |</t>
        </is>
      </c>
    </row>
    <row r="766" ht="30" customHeight="1" s="78">
      <c r="A766" s="73" t="inlineStr">
        <is>
          <t>QA-010</t>
        </is>
      </c>
      <c r="B766" s="73" t="n">
        <v>30</v>
      </c>
      <c r="C766" s="73" t="n"/>
    </row>
    <row r="767" ht="30" customHeight="1" s="78">
      <c r="A767" s="73" t="inlineStr">
        <is>
          <t>QA-010</t>
        </is>
      </c>
      <c r="B767" s="73" t="n">
        <v>31</v>
      </c>
      <c r="C767" s="73" t="inlineStr">
        <is>
          <t>## Regression evidence</t>
        </is>
      </c>
    </row>
    <row r="768" ht="30" customHeight="1" s="78">
      <c r="A768" s="73" t="inlineStr">
        <is>
          <t>QA-010</t>
        </is>
      </c>
      <c r="B768" s="73" t="n">
        <v>32</v>
      </c>
      <c r="C768" s="73" t="n"/>
    </row>
    <row r="769" ht="30" customHeight="1" s="78">
      <c r="A769" s="73" t="inlineStr">
        <is>
          <t>QA-010</t>
        </is>
      </c>
      <c r="B769" s="73" t="n">
        <v>33</v>
      </c>
      <c r="C769" s="73" t="inlineStr">
        <is>
          <t>| Check | Evidence | Result |</t>
        </is>
      </c>
    </row>
    <row r="770" ht="30" customHeight="1" s="78">
      <c r="A770" s="73" t="inlineStr">
        <is>
          <t>QA-010</t>
        </is>
      </c>
      <c r="B770" s="73" t="n">
        <v>34</v>
      </c>
      <c r="C770" s="73" t="inlineStr">
        <is>
          <t>|---|---|---:|</t>
        </is>
      </c>
    </row>
    <row r="771" ht="30" customHeight="1" s="78">
      <c r="A771" s="73" t="inlineStr">
        <is>
          <t>QA-010</t>
        </is>
      </c>
      <c r="B771" s="73" t="n">
        <v>35</v>
      </c>
      <c r="C771" s="73" t="inlineStr">
        <is>
          <t>| Backend regression | 174 tests passed | PASS |</t>
        </is>
      </c>
    </row>
    <row r="772" ht="30" customHeight="1" s="78">
      <c r="A772" s="73" t="inlineStr">
        <is>
          <t>QA-010</t>
        </is>
      </c>
      <c r="B772" s="73" t="n">
        <v>36</v>
      </c>
      <c r="C772" s="73" t="inlineStr">
        <is>
          <t>| Python dependencies | `pip check` found no broken requirements | PASS |</t>
        </is>
      </c>
    </row>
    <row r="773" ht="30" customHeight="1" s="78">
      <c r="A773" s="73" t="inlineStr">
        <is>
          <t>QA-010</t>
        </is>
      </c>
      <c r="B773" s="73" t="n">
        <v>37</v>
      </c>
      <c r="C773" s="73" t="inlineStr">
        <is>
          <t>| Python compilation | Backend compilation completed without error | PASS |</t>
        </is>
      </c>
    </row>
    <row r="774" ht="30" customHeight="1" s="78">
      <c r="A774" s="73" t="inlineStr">
        <is>
          <t>QA-010</t>
        </is>
      </c>
      <c r="B774" s="73" t="n">
        <v>38</v>
      </c>
      <c r="C774" s="73" t="inlineStr">
        <is>
          <t>| PostgreSQL handoff | Migration, checksummed backup, lock, same-device recovery, and clean-device restore passed with 183 rows | PASS |</t>
        </is>
      </c>
    </row>
    <row r="775" ht="30" customHeight="1" s="78">
      <c r="A775" s="73" t="inlineStr">
        <is>
          <t>QA-010</t>
        </is>
      </c>
      <c r="B775" s="73" t="n">
        <v>39</v>
      </c>
      <c r="C775" s="73" t="inlineStr">
        <is>
          <t>| Flutter static analysis | No issues found | PASS |</t>
        </is>
      </c>
    </row>
    <row r="776" ht="30" customHeight="1" s="78">
      <c r="A776" s="73" t="inlineStr">
        <is>
          <t>QA-010</t>
        </is>
      </c>
      <c r="B776" s="73" t="n">
        <v>40</v>
      </c>
      <c r="C776" s="73" t="inlineStr">
        <is>
          <t>| Flutter regression | 49 tests passed | PASS |</t>
        </is>
      </c>
    </row>
    <row r="777" ht="30" customHeight="1" s="78">
      <c r="A777" s="73" t="inlineStr">
        <is>
          <t>QA-010</t>
        </is>
      </c>
      <c r="B777" s="73" t="n">
        <v>41</v>
      </c>
      <c r="C777" s="73" t="inlineStr">
        <is>
          <t>| Flutter release build | OneDrive-safe release web build passed | PASS |</t>
        </is>
      </c>
    </row>
    <row r="778" ht="30" customHeight="1" s="78">
      <c r="A778" s="73" t="inlineStr">
        <is>
          <t>QA-010</t>
        </is>
      </c>
      <c r="B778" s="73" t="n">
        <v>42</v>
      </c>
      <c r="C778" s="73" t="inlineStr">
        <is>
          <t>| Assignment content | 15 focused repository/classroom-readiness tests passed after file cleanup | PASS |</t>
        </is>
      </c>
    </row>
    <row r="779" ht="30" customHeight="1" s="78">
      <c r="A779" s="73" t="inlineStr">
        <is>
          <t>QA-010</t>
        </is>
      </c>
      <c r="B779" s="73" t="n">
        <v>43</v>
      </c>
      <c r="C779" s="73" t="inlineStr">
        <is>
          <t>| Assignment image | Active image and JSON 404 behavior passed after duplicate removal | PASS |</t>
        </is>
      </c>
    </row>
    <row r="780" ht="30" customHeight="1" s="78">
      <c r="A780" s="73" t="inlineStr">
        <is>
          <t>QA-010</t>
        </is>
      </c>
      <c r="B780" s="73" t="n">
        <v>44</v>
      </c>
      <c r="C780" s="73" t="inlineStr">
        <is>
          <t>| ROS 2 Assignment 5 | 7/7 checks; 78 Twist messages at approximately 10.0 Hz | PASS |</t>
        </is>
      </c>
    </row>
    <row r="781" ht="30" customHeight="1" s="78">
      <c r="A781" s="73" t="inlineStr">
        <is>
          <t>QA-010</t>
        </is>
      </c>
      <c r="B781" s="73" t="n">
        <v>45</v>
      </c>
      <c r="C781" s="73" t="inlineStr">
        <is>
          <t>| ROS 2 Assignment 6 | 9/9 checks; 44 settled Twist messages at approximately 9.2 Hz | PASS |</t>
        </is>
      </c>
    </row>
    <row r="782" ht="30" customHeight="1" s="78">
      <c r="A782" s="73" t="inlineStr">
        <is>
          <t>QA-010</t>
        </is>
      </c>
      <c r="B782" s="73" t="n">
        <v>46</v>
      </c>
      <c r="C782" s="73" t="inlineStr">
        <is>
          <t>| Git integrity | Full object integrity check passed before and after maintenance | PASS |</t>
        </is>
      </c>
    </row>
    <row r="783" ht="30" customHeight="1" s="78">
      <c r="A783" s="73" t="inlineStr">
        <is>
          <t>QA-010</t>
        </is>
      </c>
      <c r="B783" s="73" t="n">
        <v>47</v>
      </c>
      <c r="C783" s="73" t="n"/>
    </row>
    <row r="784" ht="30" customHeight="1" s="78">
      <c r="A784" s="73" t="inlineStr">
        <is>
          <t>QA-010</t>
        </is>
      </c>
      <c r="B784" s="73" t="n">
        <v>48</v>
      </c>
      <c r="C784" s="73" t="inlineStr">
        <is>
          <t>## Manual browser QA</t>
        </is>
      </c>
    </row>
    <row r="785" ht="30" customHeight="1" s="78">
      <c r="A785" s="73" t="inlineStr">
        <is>
          <t>QA-010</t>
        </is>
      </c>
      <c r="B785" s="73" t="n">
        <v>49</v>
      </c>
      <c r="C785" s="73" t="n"/>
    </row>
    <row r="786" ht="30" customHeight="1" s="78">
      <c r="A786" s="73" t="inlineStr">
        <is>
          <t>QA-010</t>
        </is>
      </c>
      <c r="B786" s="73" t="n">
        <v>50</v>
      </c>
      <c r="C786" s="73" t="inlineStr">
        <is>
          <t>| Flow | Evidence | Result |</t>
        </is>
      </c>
    </row>
    <row r="787" ht="30" customHeight="1" s="78">
      <c r="A787" s="73" t="inlineStr">
        <is>
          <t>QA-010</t>
        </is>
      </c>
      <c r="B787" s="73" t="n">
        <v>51</v>
      </c>
      <c r="C787" s="73" t="inlineStr">
        <is>
          <t>|---|---|---:|</t>
        </is>
      </c>
    </row>
    <row r="788" ht="30" customHeight="1" s="78">
      <c r="A788" s="73" t="inlineStr">
        <is>
          <t>QA-010</t>
        </is>
      </c>
      <c r="B788" s="73" t="n">
        <v>52</v>
      </c>
      <c r="C788" s="73" t="inlineStr">
        <is>
          <t>| Login | Clean root displayed the study login and temporary demo option | PASS |</t>
        </is>
      </c>
    </row>
    <row r="789" ht="30" customHeight="1" s="78">
      <c r="A789" s="73" t="inlineStr">
        <is>
          <t>QA-010</t>
        </is>
      </c>
      <c r="B789" s="73" t="n">
        <v>53</v>
      </c>
      <c r="C789" s="73" t="inlineStr">
        <is>
          <t>| Demo catalog | Six assignments displayed and demo mode was clearly labeled temporary | PASS |</t>
        </is>
      </c>
    </row>
    <row r="790" ht="30" customHeight="1" s="78">
      <c r="A790" s="73" t="inlineStr">
        <is>
          <t>QA-010</t>
        </is>
      </c>
      <c r="B790" s="73" t="n">
        <v>54</v>
      </c>
      <c r="C790" s="73" t="inlineStr">
        <is>
          <t>| Demo execution | Assignment 1 starter code ran once and returned the expected structured 0% result | PASS |</t>
        </is>
      </c>
    </row>
    <row r="791" ht="30" customHeight="1" s="78">
      <c r="A791" s="73" t="inlineStr">
        <is>
          <t>QA-010</t>
        </is>
      </c>
      <c r="B791" s="73" t="n">
        <v>55</v>
      </c>
      <c r="C791" s="73" t="inlineStr">
        <is>
          <t>| Demo reset | Refresh returned to login after Flutter initialization | PASS |</t>
        </is>
      </c>
    </row>
    <row r="792" ht="30" customHeight="1" s="78">
      <c r="A792" s="73" t="inlineStr">
        <is>
          <t>QA-010</t>
        </is>
      </c>
      <c r="B792" s="73" t="n">
        <v>56</v>
      </c>
      <c r="C792" s="73" t="inlineStr">
        <is>
          <t>| Student account | Default student login displayed persisted progress and all six assignments | PASS |</t>
        </is>
      </c>
    </row>
    <row r="793" ht="30" customHeight="1" s="78">
      <c r="A793" s="73" t="inlineStr">
        <is>
          <t>QA-010</t>
        </is>
      </c>
      <c r="B793" s="73" t="n">
        <v>57</v>
      </c>
      <c r="C793" s="73" t="inlineStr">
        <is>
          <t>| Student analytics | `My study progress` displayed attempts, completion, score, time, and recent attempts | PASS |</t>
        </is>
      </c>
    </row>
    <row r="794" ht="30" customHeight="1" s="78">
      <c r="A794" s="73" t="inlineStr">
        <is>
          <t>QA-010</t>
        </is>
      </c>
      <c r="B794" s="73" t="n">
        <v>58</v>
      </c>
      <c r="C794" s="73" t="inlineStr">
        <is>
          <t>| Instructor studio | Six versioned assignments and instructor controls rendered | PASS |</t>
        </is>
      </c>
    </row>
    <row r="795" ht="30" customHeight="1" s="78">
      <c r="A795" s="73" t="inlineStr">
        <is>
          <t>QA-010</t>
        </is>
      </c>
      <c r="B795" s="73" t="n">
        <v>59</v>
      </c>
      <c r="C795" s="73" t="inlineStr">
        <is>
          <t>| Student management | Default student account rendered with active status | PASS |</t>
        </is>
      </c>
    </row>
    <row r="796" ht="30" customHeight="1" s="78">
      <c r="A796" s="73" t="inlineStr">
        <is>
          <t>QA-010</t>
        </is>
      </c>
      <c r="B796" s="73" t="n">
        <v>60</v>
      </c>
      <c r="C796" s="73" t="inlineStr">
        <is>
          <t>| Research dashboard | Participant-safe aggregate dashboard rendered | PASS |</t>
        </is>
      </c>
    </row>
    <row r="797" ht="30" customHeight="1" s="78">
      <c r="A797" s="73" t="inlineStr">
        <is>
          <t>QA-010</t>
        </is>
      </c>
      <c r="B797" s="73" t="n">
        <v>61</v>
      </c>
      <c r="C797" s="73" t="inlineStr">
        <is>
          <t>| Responsive layout | Login, catalog, workspace, and instructor dashboard had no page-width overflow at 390 x 844 | PASS |</t>
        </is>
      </c>
    </row>
    <row r="798" ht="30" customHeight="1" s="78">
      <c r="A798" s="73" t="inlineStr">
        <is>
          <t>QA-010</t>
        </is>
      </c>
      <c r="B798" s="73" t="n">
        <v>62</v>
      </c>
      <c r="C798" s="73" t="inlineStr">
        <is>
          <t>| Browser console | No application errors; only the known Flutter debug tooling warning appeared | PASS |</t>
        </is>
      </c>
    </row>
    <row r="799" ht="30" customHeight="1" s="78">
      <c r="A799" s="73" t="inlineStr">
        <is>
          <t>QA-010</t>
        </is>
      </c>
      <c r="B799" s="73" t="n">
        <v>63</v>
      </c>
      <c r="C799" s="73" t="n"/>
    </row>
    <row r="800" ht="30" customHeight="1" s="78">
      <c r="A800" s="73" t="inlineStr">
        <is>
          <t>QA-010</t>
        </is>
      </c>
      <c r="B800" s="73" t="n">
        <v>64</v>
      </c>
      <c r="C800" s="73" t="inlineStr">
        <is>
          <t>## Remaining limitations</t>
        </is>
      </c>
    </row>
    <row r="801" ht="30" customHeight="1" s="78">
      <c r="A801" s="73" t="inlineStr">
        <is>
          <t>QA-010</t>
        </is>
      </c>
      <c r="B801" s="73" t="n">
        <v>65</v>
      </c>
      <c r="C801" s="73" t="n"/>
    </row>
    <row r="802" ht="30" customHeight="1" s="78">
      <c r="A802" s="73" t="inlineStr">
        <is>
          <t>QA-010</t>
        </is>
      </c>
      <c r="B802" s="73" t="n">
        <v>66</v>
      </c>
      <c r="C802" s="73" t="inlineStr">
        <is>
          <t>- The master Excel SQA workbook is retained as historical evidence and was not</t>
        </is>
      </c>
    </row>
    <row r="803" ht="30" customHeight="1" s="78">
      <c r="A803" s="73" t="inlineStr">
        <is>
          <t>QA-010</t>
        </is>
      </c>
      <c r="B803" s="73" t="n">
        <v>67</v>
      </c>
      <c r="C803" s="73" t="inlineStr">
        <is>
          <t xml:space="preserve">  edited because the approved spreadsheet runtime was unavailable. Current</t>
        </is>
      </c>
    </row>
    <row r="804" ht="30" customHeight="1" s="78">
      <c r="A804" s="73" t="inlineStr">
        <is>
          <t>QA-010</t>
        </is>
      </c>
      <c r="B804" s="73" t="n">
        <v>68</v>
      </c>
      <c r="C804" s="73" t="inlineStr">
        <is>
          <t xml:space="preserve">  evidence is in this Markdown report and the PostgreSQL handoff report.</t>
        </is>
      </c>
    </row>
    <row r="805" ht="30" customHeight="1" s="78">
      <c r="A805" s="73" t="inlineStr">
        <is>
          <t>QA-010</t>
        </is>
      </c>
      <c r="B805" s="73" t="n">
        <v>69</v>
      </c>
      <c r="C805" s="73" t="inlineStr">
        <is>
          <t>- The seven ignored SQLite databases contain different historical records.</t>
        </is>
      </c>
    </row>
    <row r="806" ht="30" customHeight="1" s="78">
      <c r="A806" s="73" t="inlineStr">
        <is>
          <t>QA-010</t>
        </is>
      </c>
      <c r="B806" s="73" t="n">
        <v>70</v>
      </c>
      <c r="C806" s="73" t="inlineStr">
        <is>
          <t xml:space="preserve">  They remain in place until an owner-approved archival or import decision is</t>
        </is>
      </c>
    </row>
    <row r="807" ht="30" customHeight="1" s="78">
      <c r="A807" s="73" t="inlineStr">
        <is>
          <t>QA-010</t>
        </is>
      </c>
      <c r="B807" s="73" t="n">
        <v>71</v>
      </c>
      <c r="C807" s="73" t="inlineStr">
        <is>
          <t xml:space="preserve">  made; deleting them would risk losing data.</t>
        </is>
      </c>
    </row>
    <row r="808" ht="30" customHeight="1" s="78">
      <c r="A808" s="73" t="inlineStr">
        <is>
          <t>QA-010</t>
        </is>
      </c>
      <c r="B808" s="73" t="n">
        <v>72</v>
      </c>
      <c r="C808" s="73" t="inlineStr">
        <is>
          <t>- Flutter reported newer package releases that are outside current dependency</t>
        </is>
      </c>
    </row>
    <row r="809" ht="30" customHeight="1" s="78">
      <c r="A809" s="73" t="inlineStr">
        <is>
          <t>QA-010</t>
        </is>
      </c>
      <c r="B809" s="73" t="n">
        <v>73</v>
      </c>
      <c r="C809" s="73" t="inlineStr">
        <is>
          <t xml:space="preserve">  constraints. Dependency upgrades were not part of this cleanup.</t>
        </is>
      </c>
    </row>
    <row r="810" ht="30" customHeight="1" s="78">
      <c r="A810" s="73" t="inlineStr">
        <is>
          <t>QA-010</t>
        </is>
      </c>
      <c r="B810" s="73" t="n">
        <v>74</v>
      </c>
      <c r="C810" s="73" t="inlineStr">
        <is>
          <t>- Production and Android deployment were not tested or changed.</t>
        </is>
      </c>
    </row>
    <row r="811" ht="30" customHeight="1" s="78">
      <c r="A811" s="73" t="inlineStr">
        <is>
          <t>QA-010</t>
        </is>
      </c>
      <c r="B811" s="73" t="n">
        <v>75</v>
      </c>
      <c r="C811" s="73" t="n"/>
    </row>
    <row r="812" ht="30" customHeight="1" s="78">
      <c r="A812" s="73" t="inlineStr">
        <is>
          <t>QA-010</t>
        </is>
      </c>
      <c r="B812" s="73" t="n">
        <v>76</v>
      </c>
      <c r="C812" s="73" t="inlineStr">
        <is>
          <t>## Release decision</t>
        </is>
      </c>
    </row>
    <row r="813" ht="30" customHeight="1" s="78">
      <c r="A813" s="73" t="inlineStr">
        <is>
          <t>QA-010</t>
        </is>
      </c>
      <c r="B813" s="73" t="n">
        <v>77</v>
      </c>
      <c r="C813" s="73" t="n"/>
    </row>
    <row r="814" ht="30" customHeight="1" s="78">
      <c r="A814" s="73" t="inlineStr">
        <is>
          <t>QA-010</t>
        </is>
      </c>
      <c r="B814" s="73" t="n">
        <v>78</v>
      </c>
      <c r="C814" s="73" t="inlineStr">
        <is>
          <t>**PASS for staging.** The cleanup may be promoted to the staging repository's</t>
        </is>
      </c>
    </row>
    <row r="815" ht="30" customHeight="1" s="78">
      <c r="A815" s="73" t="inlineStr">
        <is>
          <t>QA-010</t>
        </is>
      </c>
      <c r="B815" s="73" t="n">
        <v>79</v>
      </c>
      <c r="C815" s="73" t="inlineStr">
        <is>
          <t>`main` branch after final diff, secret, and generated-file review. Production</t>
        </is>
      </c>
    </row>
    <row r="816" ht="30" customHeight="1" s="78">
      <c r="A816" s="73" t="inlineStr">
        <is>
          <t>QA-010</t>
        </is>
      </c>
      <c r="B816" s="73" t="n">
        <v>80</v>
      </c>
      <c r="C816" s="73" t="inlineStr">
        <is>
          <t>must remain unchanged unless separately authorized.</t>
        </is>
      </c>
    </row>
    <row r="817" ht="30" customHeight="1" s="78">
      <c r="A817" s="73" t="inlineStr">
        <is>
          <t>QA-010</t>
        </is>
      </c>
      <c r="B817" s="73" t="n">
        <v>81</v>
      </c>
      <c r="C817" s="73" t="n"/>
    </row>
    <row r="818" ht="30" customHeight="1" s="78">
      <c r="A818" s="73" t="inlineStr">
        <is>
          <t>QA-011</t>
        </is>
      </c>
      <c r="B818" s="73" t="n">
        <v>1</v>
      </c>
      <c r="C818" s="73" t="inlineStr">
        <is>
          <t># Results drawer and account-label SQA</t>
        </is>
      </c>
    </row>
    <row r="819" ht="30" customHeight="1" s="78">
      <c r="A819" s="73" t="inlineStr">
        <is>
          <t>QA-011</t>
        </is>
      </c>
      <c r="B819" s="73" t="n">
        <v>2</v>
      </c>
      <c r="C819" s="73" t="n"/>
    </row>
    <row r="820" ht="30" customHeight="1" s="78">
      <c r="A820" s="73" t="inlineStr">
        <is>
          <t>QA-011</t>
        </is>
      </c>
      <c r="B820" s="73" t="n">
        <v>3</v>
      </c>
      <c r="C820" s="73" t="inlineStr">
        <is>
          <t>Date: 2026-09-25</t>
        </is>
      </c>
    </row>
    <row r="821" ht="30" customHeight="1" s="78">
      <c r="A821" s="73" t="inlineStr">
        <is>
          <t>QA-011</t>
        </is>
      </c>
      <c r="B821" s="73" t="n">
        <v>4</v>
      </c>
      <c r="C821" s="73" t="inlineStr">
        <is>
          <t>Environment: local staging checkout, Flutter web, FastAPI, Neon staging, AI off</t>
        </is>
      </c>
    </row>
    <row r="822" ht="30" customHeight="1" s="78">
      <c r="A822" s="73" t="inlineStr">
        <is>
          <t>QA-011</t>
        </is>
      </c>
      <c r="B822" s="73" t="n">
        <v>5</v>
      </c>
      <c r="C822" s="73" t="n"/>
    </row>
    <row r="823" ht="30" customHeight="1" s="78">
      <c r="A823" s="73" t="inlineStr">
        <is>
          <t>QA-011</t>
        </is>
      </c>
      <c r="B823" s="73" t="n">
        <v>6</v>
      </c>
      <c r="C823" s="73" t="inlineStr">
        <is>
          <t>| Check | Evidence | Result |</t>
        </is>
      </c>
    </row>
    <row r="824" ht="30" customHeight="1" s="78">
      <c r="A824" s="73" t="inlineStr">
        <is>
          <t>QA-011</t>
        </is>
      </c>
      <c r="B824" s="73" t="n">
        <v>7</v>
      </c>
      <c r="C824" s="73" t="inlineStr">
        <is>
          <t>|---|---|---|</t>
        </is>
      </c>
    </row>
    <row r="825" ht="39.95" customHeight="1" s="78">
      <c r="A825" s="73" t="inlineStr">
        <is>
          <t>QA-011</t>
        </is>
      </c>
      <c r="B825" s="73" t="n">
        <v>8</v>
      </c>
      <c r="C825" s="73" t="inlineStr">
        <is>
          <t>| Account label | Refreshed local browser shows `Demo` beside the account icon; student, instructor, demo, and long-name widget tests pass | Pass |</t>
        </is>
      </c>
    </row>
    <row r="826" ht="39.95" customHeight="1" s="78">
      <c r="A826" s="73" t="inlineStr">
        <is>
          <t>QA-011</t>
        </is>
      </c>
      <c r="B826" s="73" t="n">
        <v>9</v>
      </c>
      <c r="C826" s="73" t="inlineStr">
        <is>
          <t>| Instructions space | Mobile browser shows Instructions filling its workspace tab without an embedded Results section; desktop layout widget test passes | Pass |</t>
        </is>
      </c>
    </row>
    <row r="827" ht="30" customHeight="1" s="78">
      <c r="A827" s="73" t="inlineStr">
        <is>
          <t>QA-011</t>
        </is>
      </c>
      <c r="B827" s="73" t="n">
        <v>10</v>
      </c>
      <c r="C827" s="73" t="inlineStr">
        <is>
          <t>| Results before first run | Browser Results button opens the differently colored drawer, with an empty state and AI switch off | Pass |</t>
        </is>
      </c>
    </row>
    <row r="828" ht="30" customHeight="1" s="78">
      <c r="A828" s="73" t="inlineStr">
        <is>
          <t>QA-011</t>
        </is>
      </c>
      <c r="B828" s="73" t="n">
        <v>11</v>
      </c>
      <c r="C828" s="73" t="inlineStr">
        <is>
          <t>| Minimize and reopen | Browser minimization restores the workspace; Results button remains available | Pass |</t>
        </is>
      </c>
    </row>
    <row r="829" ht="30" customHeight="1" s="78">
      <c r="A829" s="73" t="inlineStr">
        <is>
          <t>QA-011</t>
        </is>
      </c>
      <c r="B829" s="73" t="n">
        <v>12</v>
      </c>
      <c r="C829" s="73" t="inlineStr">
        <is>
          <t>| Run opens Results | Local demo starter-code run automatically opens the drawer and returns 0%, four failed tests, and their feedback | Pass |</t>
        </is>
      </c>
    </row>
    <row r="830" ht="39.95" customHeight="1" s="78">
      <c r="A830" s="73" t="inlineStr">
        <is>
          <t>QA-011</t>
        </is>
      </c>
      <c r="B830" s="73" t="n">
        <v>13</v>
      </c>
      <c r="C830" s="73" t="inlineStr">
        <is>
          <t>| AI-off safety | Browser showed test details without an AI question form; backend unit test confirms built-in progressive hints do not call OpenAI when AI is off | Pass |</t>
        </is>
      </c>
    </row>
    <row r="831" ht="30" customHeight="1" s="78">
      <c r="A831" s="73" t="inlineStr">
        <is>
          <t>QA-011</t>
        </is>
      </c>
      <c r="B831" s="73" t="n">
        <v>14</v>
      </c>
      <c r="C831" s="73" t="inlineStr">
        <is>
          <t>| Automated frontend | Flutter analysis, 67 widget/unit tests, and release web build | Pass |</t>
        </is>
      </c>
    </row>
    <row r="832" ht="30" customHeight="1" s="78">
      <c r="A832" s="73" t="inlineStr">
        <is>
          <t>QA-011</t>
        </is>
      </c>
      <c r="B832" s="73" t="n">
        <v>15</v>
      </c>
      <c r="C832" s="73" t="inlineStr">
        <is>
          <t>| Focused backend | Tutor and API tests, 57 passed | Pass |</t>
        </is>
      </c>
    </row>
    <row r="833" ht="39.95" customHeight="1" s="78">
      <c r="A833" s="73" t="inlineStr">
        <is>
          <t>QA-011</t>
        </is>
      </c>
      <c r="B833" s="73" t="n">
        <v>16</v>
      </c>
      <c r="C833" s="73" t="inlineStr">
        <is>
          <t>| Complete local gate | 206 backend tests, dependency and Python checks, 67 Flutter tests, analysis, release web build, fresh-clone source check, and managed service health | Pass |</t>
        </is>
      </c>
    </row>
    <row r="834" ht="30" customHeight="1" s="78">
      <c r="A834" s="73" t="inlineStr">
        <is>
          <t>QA-011</t>
        </is>
      </c>
      <c r="B834" s="73" t="n">
        <v>17</v>
      </c>
      <c r="C834" s="73" t="n"/>
    </row>
    <row r="835" ht="30" customHeight="1" s="78">
      <c r="A835" s="73" t="inlineStr">
        <is>
          <t>QA-011</t>
        </is>
      </c>
      <c r="B835" s="73" t="n">
        <v>18</v>
      </c>
      <c r="C835" s="73" t="inlineStr">
        <is>
          <t>The first full-gate run stopped after a successful private-config check because</t>
        </is>
      </c>
    </row>
    <row r="836" ht="30" customHeight="1" s="78">
      <c r="A836" s="73" t="inlineStr">
        <is>
          <t>QA-011</t>
        </is>
      </c>
      <c r="B836" s="73" t="n">
        <v>19</v>
      </c>
      <c r="C836" s="73" t="inlineStr">
        <is>
          <t>its PowerShell wrapper read a stale Git exit code. The wrapper now checks the</t>
        </is>
      </c>
    </row>
    <row r="837" ht="30" customHeight="1" s="78">
      <c r="A837" s="73" t="inlineStr">
        <is>
          <t>QA-011</t>
        </is>
      </c>
      <c r="B837" s="73" t="n">
        <v>20</v>
      </c>
      <c r="C837" s="73" t="inlineStr">
        <is>
          <t>script result directly; the complete gate then passed.</t>
        </is>
      </c>
    </row>
    <row r="838" ht="30" customHeight="1" s="78">
      <c r="A838" s="73" t="inlineStr">
        <is>
          <t>QA-011</t>
        </is>
      </c>
      <c r="B838" s="73" t="n">
        <v>21</v>
      </c>
      <c r="C838" s="73" t="n"/>
    </row>
    <row r="839" ht="30" customHeight="1" s="78">
      <c r="A839" s="73" t="inlineStr">
        <is>
          <t>QA-011</t>
        </is>
      </c>
      <c r="B839" s="73" t="n">
        <v>22</v>
      </c>
      <c r="C839" s="73" t="inlineStr">
        <is>
          <t>Limitations: Persistent student and instructor account names were checked by</t>
        </is>
      </c>
    </row>
    <row r="840" ht="30" customHeight="1" s="78">
      <c r="A840" s="73" t="inlineStr">
        <is>
          <t>QA-011</t>
        </is>
      </c>
      <c r="B840" s="73" t="n">
        <v>23</v>
      </c>
      <c r="C840" s="73" t="inlineStr">
        <is>
          <t>widget tests, not a manual credentialed browser session. The existing tutor</t>
        </is>
      </c>
    </row>
    <row r="841" ht="30" customHeight="1" s="78">
      <c r="A841" s="73" t="inlineStr">
        <is>
          <t>QA-011</t>
        </is>
      </c>
      <c r="B841" s="73" t="n">
        <v>24</v>
      </c>
      <c r="C841" s="73" t="inlineStr">
        <is>
          <t>question endpoint requires a prior submission, so the drawer can open before</t>
        </is>
      </c>
    </row>
    <row r="842" ht="30" customHeight="1" s="78">
      <c r="A842" s="73" t="inlineStr">
        <is>
          <t>QA-011</t>
        </is>
      </c>
      <c r="B842" s="73" t="n">
        <v>25</v>
      </c>
      <c r="C842" s="73" t="inlineStr">
        <is>
          <t>the first run but questions become available after that run. Production was</t>
        </is>
      </c>
    </row>
    <row r="843" ht="30" customHeight="1" s="78">
      <c r="A843" s="73" t="inlineStr">
        <is>
          <t>QA-011</t>
        </is>
      </c>
      <c r="B843" s="73" t="n">
        <v>26</v>
      </c>
      <c r="C843" s="73" t="inlineStr">
        <is>
          <t>not changed or tested by this staging check.</t>
        </is>
      </c>
    </row>
    <row r="844" ht="30" customHeight="1" s="78">
      <c r="A844" s="73" t="inlineStr">
        <is>
          <t>QA-011</t>
        </is>
      </c>
      <c r="B844" s="73" t="n">
        <v>27</v>
      </c>
      <c r="C844" s="73" t="n"/>
    </row>
    <row r="845" ht="30" customHeight="1" s="78">
      <c r="A845" s="73" t="inlineStr">
        <is>
          <t>QA-012</t>
        </is>
      </c>
      <c r="B845" s="73" t="n">
        <v>1</v>
      </c>
      <c r="C845" s="73" t="inlineStr">
        <is>
          <t># Isolated Results Panel Correction</t>
        </is>
      </c>
    </row>
    <row r="846" ht="30" customHeight="1" s="78">
      <c r="A846" s="73" t="inlineStr">
        <is>
          <t>QA-012</t>
        </is>
      </c>
      <c r="B846" s="73" t="n">
        <v>2</v>
      </c>
      <c r="C846" s="73" t="n"/>
    </row>
    <row r="847" ht="30" customHeight="1" s="78">
      <c r="A847" s="73" t="inlineStr">
        <is>
          <t>QA-012</t>
        </is>
      </c>
      <c r="B847" s="73" t="n">
        <v>3</v>
      </c>
      <c r="C847" s="73" t="inlineStr">
        <is>
          <t>Date: 2026-09-29. Scope: staging only; no backend, grading, account or database changes.</t>
        </is>
      </c>
    </row>
    <row r="848" ht="30" customHeight="1" s="78">
      <c r="A848" s="73" t="inlineStr">
        <is>
          <t>QA-012</t>
        </is>
      </c>
      <c r="B848" s="73" t="n">
        <v>4</v>
      </c>
      <c r="C848" s="73" t="n"/>
    </row>
    <row r="849" ht="30" customHeight="1" s="78">
      <c r="A849" s="73" t="inlineStr">
        <is>
          <t>QA-012</t>
        </is>
      </c>
      <c r="B849" s="73" t="n">
        <v>5</v>
      </c>
      <c r="C849" s="73" t="inlineStr">
        <is>
          <t>The v6.2 desktop bottom dock conflicted with the owner's requested isolated</t>
        </is>
      </c>
    </row>
    <row r="850" ht="30" customHeight="1" s="78">
      <c r="A850" s="73" t="inlineStr">
        <is>
          <t>QA-012</t>
        </is>
      </c>
      <c r="B850" s="73" t="n">
        <v>6</v>
      </c>
      <c r="C850" s="73" t="inlineStr">
        <is>
          <t>results panel. Results now uses the existing right-side overlay on all widths.</t>
        </is>
      </c>
    </row>
    <row r="851" ht="30" customHeight="1" s="78">
      <c r="A851" s="73" t="inlineStr">
        <is>
          <t>QA-012</t>
        </is>
      </c>
      <c r="B851" s="73" t="n">
        <v>7</v>
      </c>
      <c r="C851" s="73" t="inlineStr">
        <is>
          <t>Instructions retain their full height. Opening before a run, automatic opening</t>
        </is>
      </c>
    </row>
    <row r="852" ht="30" customHeight="1" s="78">
      <c r="A852" s="73" t="inlineStr">
        <is>
          <t>QA-012</t>
        </is>
      </c>
      <c r="B852" s="73" t="n">
        <v>8</v>
      </c>
      <c r="C852" s="73" t="inlineStr">
        <is>
          <t>after a run, minimize/reopen, distinct results colors and AI-off defaults remain.</t>
        </is>
      </c>
    </row>
    <row r="853" ht="30" customHeight="1" s="78">
      <c r="A853" s="73" t="inlineStr">
        <is>
          <t>QA-012</t>
        </is>
      </c>
      <c r="B853" s="73" t="n">
        <v>9</v>
      </c>
      <c r="C853" s="73" t="n"/>
    </row>
    <row r="854" ht="30" customHeight="1" s="78">
      <c r="A854" s="73" t="inlineStr">
        <is>
          <t>QA-012</t>
        </is>
      </c>
      <c r="B854" s="73" t="n">
        <v>10</v>
      </c>
      <c r="C854" s="73" t="inlineStr">
        <is>
          <t>| Check | Result |</t>
        </is>
      </c>
    </row>
    <row r="855" ht="30" customHeight="1" s="78">
      <c r="A855" s="73" t="inlineStr">
        <is>
          <t>QA-012</t>
        </is>
      </c>
      <c r="B855" s="73" t="n">
        <v>11</v>
      </c>
      <c r="C855" s="73" t="inlineStr">
        <is>
          <t>|---|---|</t>
        </is>
      </c>
    </row>
    <row r="856" ht="39.95" customHeight="1" s="78">
      <c r="A856" s="73" t="inlineStr">
        <is>
          <t>QA-012</t>
        </is>
      </c>
      <c r="B856" s="73" t="n">
        <v>12</v>
      </c>
      <c r="C856" s="73" t="inlineStr">
        <is>
          <t>| Desktop overlay, no bottom dock; instructions retain original size | PASS: browser at 1280x720; widget test compares instruction size before/after opening |</t>
        </is>
      </c>
    </row>
    <row r="857" ht="39.95" customHeight="1" s="78">
      <c r="A857" s="73" t="inlineStr">
        <is>
          <t>QA-012</t>
        </is>
      </c>
      <c r="B857" s="73" t="n">
        <v>13</v>
      </c>
      <c r="C857" s="73" t="inlineStr">
        <is>
          <t>| Minimize/reopen and AI off by default | PASS: widget regression and browser; retained 0% score, terminal output and four failed-check details after reopening |</t>
        </is>
      </c>
    </row>
    <row r="858" ht="30" customHeight="1" s="78">
      <c r="A858" s="73" t="inlineStr">
        <is>
          <t>QA-012</t>
        </is>
      </c>
      <c r="B858" s="73" t="n">
        <v>14</v>
      </c>
      <c r="C858" s="73" t="inlineStr">
        <is>
          <t>| Automatic opening after Run tests | PASS: instructor preview, untouched Assignment 1 starter returns 0%; panel opens for loading and results |</t>
        </is>
      </c>
    </row>
    <row r="859" ht="30" customHeight="1" s="78">
      <c r="A859" s="73" t="inlineStr">
        <is>
          <t>QA-012</t>
        </is>
      </c>
      <c r="B859" s="73" t="n">
        <v>15</v>
      </c>
      <c r="C859" s="73" t="inlineStr">
        <is>
          <t>| Narrow-screen panel and existing workspace shortcuts | PASS: browser at 390x844; responsive workspace and shortcut widget regressions |</t>
        </is>
      </c>
    </row>
    <row r="860" ht="30" customHeight="1" s="78">
      <c r="A860" s="73" t="inlineStr">
        <is>
          <t>QA-012</t>
        </is>
      </c>
      <c r="B860" s="73" t="n">
        <v>16</v>
      </c>
      <c r="C860" s="73" t="inlineStr">
        <is>
          <t>| Flutter analysis | PASS: no issues |</t>
        </is>
      </c>
    </row>
    <row r="861" ht="30" customHeight="1" s="78">
      <c r="A861" s="73" t="inlineStr">
        <is>
          <t>QA-012</t>
        </is>
      </c>
      <c r="B861" s="73" t="n">
        <v>17</v>
      </c>
      <c r="C861" s="73" t="inlineStr">
        <is>
          <t>| Flutter tests | PASS: all 89 tests |</t>
        </is>
      </c>
    </row>
    <row r="862" ht="30" customHeight="1" s="78">
      <c r="A862" s="73" t="inlineStr">
        <is>
          <t>QA-012</t>
        </is>
      </c>
      <c r="B862" s="73" t="n">
        <v>18</v>
      </c>
      <c r="C862" s="73" t="inlineStr">
        <is>
          <t>| Release web build | PASS: API_BASE_URL=http://127.0.0.1:5100 |</t>
        </is>
      </c>
    </row>
    <row r="863" ht="30" customHeight="1" s="78">
      <c r="A863" s="73" t="inlineStr">
        <is>
          <t>QA-012</t>
        </is>
      </c>
      <c r="B863" s="73" t="n">
        <v>19</v>
      </c>
      <c r="C863" s="73" t="n"/>
    </row>
    <row r="864" ht="30" customHeight="1" s="78">
      <c r="A864" s="73" t="inlineStr">
        <is>
          <t>QA-012</t>
        </is>
      </c>
      <c r="B864" s="73" t="n">
        <v>20</v>
      </c>
      <c r="C864" s="73" t="inlineStr">
        <is>
          <t>Source: staging main base `27d883487ec4fe58ad7a15c4de27c090ac1356da`,</t>
        </is>
      </c>
    </row>
    <row r="865" ht="30" customHeight="1" s="78">
      <c r="A865" s="73" t="inlineStr">
        <is>
          <t>QA-012</t>
        </is>
      </c>
      <c r="B865" s="73" t="n">
        <v>21</v>
      </c>
      <c r="C865" s="73" t="inlineStr">
        <is>
          <t>with the isolated-results correction on `ui/isolated-results-panel`.</t>
        </is>
      </c>
    </row>
    <row r="866" ht="30" customHeight="1" s="78">
      <c r="A866" s="73" t="inlineStr">
        <is>
          <t>QA-012</t>
        </is>
      </c>
      <c r="B866" s="73" t="n">
        <v>22</v>
      </c>
      <c r="C866" s="73" t="inlineStr">
        <is>
          <t>Automated checks used a dependency-equipped frontend copy outside OneDrive;</t>
        </is>
      </c>
    </row>
    <row r="867" ht="30" customHeight="1" s="78">
      <c r="A867" s="73" t="inlineStr">
        <is>
          <t>QA-012</t>
        </is>
      </c>
      <c r="B867" s="73" t="n">
        <v>23</v>
      </c>
      <c r="C867" s="73" t="inlineStr">
        <is>
          <t>the changed source and tests were copied from the canonical staging checkout.</t>
        </is>
      </c>
    </row>
    <row r="868" ht="30" customHeight="1" s="78">
      <c r="A868" s="73" t="inlineStr">
        <is>
          <t>QA-012</t>
        </is>
      </c>
      <c r="B868" s="73" t="n">
        <v>24</v>
      </c>
      <c r="C868" s="73" t="inlineStr">
        <is>
          <t>Manual checks used the canonical launcher at http://127.0.0.1:8180/app with</t>
        </is>
      </c>
    </row>
    <row r="869" ht="30" customHeight="1" s="78">
      <c r="A869" s="73" t="inlineStr">
        <is>
          <t>QA-012</t>
        </is>
      </c>
      <c r="B869" s="73" t="n">
        <v>25</v>
      </c>
      <c r="C869" s="73" t="inlineStr">
        <is>
          <t>API 5100 and sandbox 5101. Instructor preview avoided persistent submissions.</t>
        </is>
      </c>
    </row>
    <row r="870" ht="30" customHeight="1" s="78">
      <c r="A870" s="73" t="inlineStr">
        <is>
          <t>QA-012</t>
        </is>
      </c>
      <c r="B870" s="73" t="n">
        <v>26</v>
      </c>
      <c r="C870" s="73" t="n"/>
    </row>
    <row r="871" ht="30" customHeight="1" s="78">
      <c r="A871" s="73" t="inlineStr">
        <is>
          <t>QA-012</t>
        </is>
      </c>
      <c r="B871" s="73" t="n">
        <v>27</v>
      </c>
      <c r="C871" s="73" t="inlineStr">
        <is>
          <t>An initial widget size assertion ran before asynchronous loading settled; adding</t>
        </is>
      </c>
    </row>
    <row r="872" ht="30" customHeight="1" s="78">
      <c r="A872" s="73" t="inlineStr">
        <is>
          <t>QA-012</t>
        </is>
      </c>
      <c r="B872" s="73" t="n">
        <v>28</v>
      </c>
      <c r="C872" s="73" t="inlineStr">
        <is>
          <t>the initial pumpAndSettle fixed the test setup. The final complete run passed.</t>
        </is>
      </c>
    </row>
    <row r="873" ht="30" customHeight="1" s="78">
      <c r="A873" s="73" t="inlineStr">
        <is>
          <t>QA-012</t>
        </is>
      </c>
      <c r="B873" s="73" t="n">
        <v>29</v>
      </c>
      <c r="C873" s="73" t="inlineStr">
        <is>
          <t>One initial browser load encountered a transient debug-script loading error;</t>
        </is>
      </c>
    </row>
    <row r="874" ht="30" customHeight="1" s="78">
      <c r="A874" s="73" t="inlineStr">
        <is>
          <t>QA-012</t>
        </is>
      </c>
      <c r="B874" s="73" t="n">
        <v>30</v>
      </c>
      <c r="C874" s="73" t="inlineStr">
        <is>
          <t>reloading after frontend startup restored rendering and the subsequent flows</t>
        </is>
      </c>
    </row>
    <row r="875" ht="30" customHeight="1" s="78">
      <c r="A875" s="73" t="inlineStr">
        <is>
          <t>QA-012</t>
        </is>
      </c>
      <c r="B875" s="73" t="n">
        <v>31</v>
      </c>
      <c r="C875" s="73" t="inlineStr">
        <is>
          <t>passed. No application-startup change was made for that transient observation.</t>
        </is>
      </c>
    </row>
    <row r="876" ht="30" customHeight="1" s="78">
      <c r="A876" s="73" t="inlineStr">
        <is>
          <t>QA-012</t>
        </is>
      </c>
      <c r="B876" s="73" t="n">
        <v>32</v>
      </c>
      <c r="C876" s="73" t="n"/>
    </row>
    <row r="877" ht="30" customHeight="1" s="78">
      <c r="A877" s="73" t="inlineStr">
        <is>
          <t>QA-012</t>
        </is>
      </c>
      <c r="B877" s="73" t="n">
        <v>33</v>
      </c>
      <c r="C877" s="73" t="inlineStr">
        <is>
          <t>Not run: paid OpenAI requests, production deployment, physical Ubuntu checks,</t>
        </is>
      </c>
    </row>
    <row r="878" ht="30" customHeight="1" s="78">
      <c r="A878" s="73" t="inlineStr">
        <is>
          <t>QA-012</t>
        </is>
      </c>
      <c r="B878" s="73" t="n">
        <v>34</v>
      </c>
      <c r="C878" s="73" t="inlineStr">
        <is>
          <t>and full six-assignment/backend regression. This is a frontend layout correction;</t>
        </is>
      </c>
    </row>
    <row r="879" ht="30" customHeight="1" s="78">
      <c r="A879" s="73" t="inlineStr">
        <is>
          <t>QA-012</t>
        </is>
      </c>
      <c r="B879" s="73" t="n">
        <v>35</v>
      </c>
      <c r="C879" s="73" t="inlineStr">
        <is>
          <t>backend, grading and persistence code did not change. Desktop/mobile widget</t>
        </is>
      </c>
    </row>
    <row r="880" ht="30" customHeight="1" s="78">
      <c r="A880" s="73" t="inlineStr">
        <is>
          <t>QA-012</t>
        </is>
      </c>
      <c r="B880" s="73" t="n">
        <v>36</v>
      </c>
      <c r="C880" s="73" t="inlineStr">
        <is>
          <t>coverage and browser smoke testing are the validation scope, not a claim that</t>
        </is>
      </c>
    </row>
    <row r="881" ht="30" customHeight="1" s="78">
      <c r="A881" s="73" t="inlineStr">
        <is>
          <t>QA-012</t>
        </is>
      </c>
      <c r="B881" s="73" t="n">
        <v>37</v>
      </c>
      <c r="C881" s="73" t="inlineStr">
        <is>
          <t>the entire application has no bugs.</t>
        </is>
      </c>
    </row>
    <row r="882" ht="30" customHeight="1" s="78">
      <c r="A882" s="73" t="inlineStr">
        <is>
          <t>QA-012</t>
        </is>
      </c>
      <c r="B882" s="73" t="n">
        <v>38</v>
      </c>
      <c r="C882" s="73" t="n"/>
    </row>
    <row r="883" ht="30" customHeight="1" s="78">
      <c r="A883" s="73" t="inlineStr">
        <is>
          <t>QA-012</t>
        </is>
      </c>
      <c r="B883" s="73" t="n">
        <v>39</v>
      </c>
      <c r="C883" s="73" t="inlineStr">
        <is>
          <t>Unrelated answer/reference moves and the content-builder edit are excluded.</t>
        </is>
      </c>
    </row>
    <row r="884" ht="30" customHeight="1" s="78">
      <c r="A884" s="73" t="inlineStr">
        <is>
          <t>QA-012</t>
        </is>
      </c>
      <c r="B884" s="73" t="n">
        <v>40</v>
      </c>
      <c r="C884" s="73" t="inlineStr">
        <is>
          <t>The existing V6.2 Excel sheet remains historical evidence, not a claim that</t>
        </is>
      </c>
    </row>
    <row r="885" ht="30" customHeight="1" s="78">
      <c r="A885" s="73" t="inlineStr">
        <is>
          <t>QA-012</t>
        </is>
      </c>
      <c r="B885" s="73" t="n">
        <v>41</v>
      </c>
      <c r="C885" s="73" t="inlineStr">
        <is>
          <t>the bottom dock is the current approved design. No paid AI call is required.</t>
        </is>
      </c>
    </row>
    <row r="886" ht="30" customHeight="1" s="78">
      <c r="A886" s="73" t="inlineStr">
        <is>
          <t>QA-012</t>
        </is>
      </c>
      <c r="B886" s="73" t="n">
        <v>42</v>
      </c>
      <c r="C886" s="73" t="n"/>
    </row>
    <row r="887" ht="30" customHeight="1" s="78">
      <c r="A887" s="73" t="inlineStr">
        <is>
          <t>QA-013</t>
        </is>
      </c>
      <c r="B887" s="73" t="n">
        <v>1</v>
      </c>
      <c r="C887" s="73" t="inlineStr">
        <is>
          <t># Tutor explanation and partial-score verification</t>
        </is>
      </c>
    </row>
    <row r="888" ht="30" customHeight="1" s="78">
      <c r="A888" s="73" t="inlineStr">
        <is>
          <t>QA-013</t>
        </is>
      </c>
      <c r="B888" s="73" t="n">
        <v>2</v>
      </c>
      <c r="C888" s="73" t="n"/>
    </row>
    <row r="889" ht="30" customHeight="1" s="78">
      <c r="A889" s="73" t="inlineStr">
        <is>
          <t>QA-013</t>
        </is>
      </c>
      <c r="B889" s="73" t="n">
        <v>3</v>
      </c>
      <c r="C889" s="73" t="inlineStr">
        <is>
          <t>Date: 2026-09-30. Canonical Windows staging checkout, base main `73a122f`,</t>
        </is>
      </c>
    </row>
    <row r="890" ht="30" customHeight="1" s="78">
      <c r="A890" s="73" t="inlineStr">
        <is>
          <t>QA-013</t>
        </is>
      </c>
      <c r="B890" s="73" t="n">
        <v>4</v>
      </c>
      <c r="C890" s="73" t="inlineStr">
        <is>
          <t>working branch `fix/tutor-code-grounding`. Scope: function-grader feedback and</t>
        </is>
      </c>
    </row>
    <row r="891" ht="30" customHeight="1" s="78">
      <c r="A891" s="73" t="inlineStr">
        <is>
          <t>QA-013</t>
        </is>
      </c>
      <c r="B891" s="73" t="n">
        <v>5</v>
      </c>
      <c r="C891" s="73" t="inlineStr">
        <is>
          <t>AI response grounding. Existing account/reference file moves are excluded.</t>
        </is>
      </c>
    </row>
    <row r="892" ht="30" customHeight="1" s="78">
      <c r="A892" s="73" t="inlineStr">
        <is>
          <t>QA-013</t>
        </is>
      </c>
      <c r="B892" s="73" t="n">
        <v>6</v>
      </c>
      <c r="C892" s="73" t="n"/>
    </row>
    <row r="893" ht="30" customHeight="1" s="78">
      <c r="A893" s="73" t="inlineStr">
        <is>
          <t>QA-013</t>
        </is>
      </c>
      <c r="B893" s="73" t="n">
        <v>7</v>
      </c>
      <c r="C893" s="73" t="inlineStr">
        <is>
          <t>## Screenshot findings</t>
        </is>
      </c>
    </row>
    <row r="894" ht="30" customHeight="1" s="78">
      <c r="A894" s="73" t="inlineStr">
        <is>
          <t>QA-013</t>
        </is>
      </c>
      <c r="B894" s="73" t="n">
        <v>8</v>
      </c>
      <c r="C894" s="73" t="n"/>
    </row>
    <row r="895" ht="30" customHeight="1" s="78">
      <c r="A895" s="73" t="inlineStr">
        <is>
          <t>QA-013</t>
        </is>
      </c>
      <c r="B895" s="73" t="n">
        <v>9</v>
      </c>
      <c r="C895" s="73" t="inlineStr">
        <is>
          <t>The submitted Assignment 2 function reads `start_point`, `hit_point` and</t>
        </is>
      </c>
    </row>
    <row r="896" ht="30" customHeight="1" s="78">
      <c r="A896" s="73" t="inlineStr">
        <is>
          <t>QA-013</t>
        </is>
      </c>
      <c r="B896" s="73" t="n">
        <v>10</v>
      </c>
      <c r="C896" s="73" t="inlineStr">
        <is>
          <t>`leave_point` from module-level variables rather than using all its arguments.</t>
        </is>
      </c>
    </row>
    <row r="897" ht="30" customHeight="1" s="78">
      <c r="A897" s="73" t="inlineStr">
        <is>
          <t>QA-013</t>
        </is>
      </c>
      <c r="B897" s="73" t="n">
        <v>11</v>
      </c>
      <c r="C897" s="73" t="inlineStr">
        <is>
          <t>Those variables exist before the function is called. The shown output is</t>
        </is>
      </c>
    </row>
    <row r="898" ht="30" customHeight="1" s="78">
      <c r="A898" s="73" t="inlineStr">
        <is>
          <t>QA-013</t>
        </is>
      </c>
      <c r="B898" s="73" t="n">
        <v>12</v>
      </c>
      <c r="C898" s="73" t="inlineStr">
        <is>
          <t>`4.0 4.0 0.0 0.0`. Execution succeeds, but those fixed calculations fail on</t>
        </is>
      </c>
    </row>
    <row r="899" ht="30" customHeight="1" s="78">
      <c r="A899" s="73" t="inlineStr">
        <is>
          <t>QA-013</t>
        </is>
      </c>
      <c r="B899" s="73" t="n">
        <v>13</v>
      </c>
      <c r="C899" s="73" t="inlineStr">
        <is>
          <t>other inputs, so none of the four criteria passes every scenario. The 0% score</t>
        </is>
      </c>
    </row>
    <row r="900" ht="30" customHeight="1" s="78">
      <c r="A900" s="73" t="inlineStr">
        <is>
          <t>QA-013</t>
        </is>
      </c>
      <c r="B900" s="73" t="n">
        <v>14</v>
      </c>
      <c r="C900" s="73" t="inlineStr">
        <is>
          <t>is consistent with the assignment rules; it is not a missing partial-credit bug.</t>
        </is>
      </c>
    </row>
    <row r="901" ht="30" customHeight="1" s="78">
      <c r="A901" s="73" t="inlineStr">
        <is>
          <t>QA-013</t>
        </is>
      </c>
      <c r="B901" s="73" t="n">
        <v>15</v>
      </c>
      <c r="C901" s="73" t="inlineStr">
        <is>
          <t>Completing the same two calculations using the function parameters earns 50%.</t>
        </is>
      </c>
    </row>
    <row r="902" ht="30" customHeight="1" s="78">
      <c r="A902" s="73" t="inlineStr">
        <is>
          <t>QA-013</t>
        </is>
      </c>
      <c r="B902" s="73" t="n">
        <v>16</v>
      </c>
      <c r="C902" s="73" t="n"/>
    </row>
    <row r="903" ht="30" customHeight="1" s="78">
      <c r="A903" s="73" t="inlineStr">
        <is>
          <t>QA-013</t>
        </is>
      </c>
      <c r="B903" s="73" t="n">
        <v>17</v>
      </c>
      <c r="C903" s="73" t="inlineStr">
        <is>
          <t>The AI response incorrectly called the module-level variables undefined.</t>
        </is>
      </c>
    </row>
    <row r="904" ht="30" customHeight="1" s="78">
      <c r="A904" s="73" t="inlineStr">
        <is>
          <t>QA-013</t>
        </is>
      </c>
      <c r="B904" s="73" t="n">
        <v>18</v>
      </c>
      <c r="C904" s="73" t="inlineStr">
        <is>
          <t>The prompt now explains Python's module-level name lookup and makes grader</t>
        </is>
      </c>
    </row>
    <row r="905" ht="30" customHeight="1" s="78">
      <c r="A905" s="73" t="inlineStr">
        <is>
          <t>QA-013</t>
        </is>
      </c>
      <c r="B905" s="73" t="n">
        <v>19</v>
      </c>
      <c r="C905" s="73" t="inlineStr">
        <is>
          <t>execution evidence authoritative. A response claiming undefined variables or a</t>
        </is>
      </c>
    </row>
    <row r="906" ht="30" customHeight="1" s="78">
      <c r="A906" s="73" t="inlineStr">
        <is>
          <t>QA-013</t>
        </is>
      </c>
      <c r="B906" s="73" t="n">
        <v>20</v>
      </c>
      <c r="C906" s="73" t="inlineStr">
        <is>
          <t>NameError after successful execution is rejected and replaced by the existing</t>
        </is>
      </c>
    </row>
    <row r="907" ht="30" customHeight="1" s="78">
      <c r="A907" s="73" t="inlineStr">
        <is>
          <t>QA-013</t>
        </is>
      </c>
      <c r="B907" s="73" t="n">
        <v>21</v>
      </c>
      <c r="C907" s="73" t="inlineStr">
        <is>
          <t>built-in feedback. This check covers common wording; it is not a proof that all</t>
        </is>
      </c>
    </row>
    <row r="908" ht="30" customHeight="1" s="78">
      <c r="A908" s="73" t="inlineStr">
        <is>
          <t>QA-013</t>
        </is>
      </c>
      <c r="B908" s="73" t="n">
        <v>22</v>
      </c>
      <c r="C908" s="73" t="inlineStr">
        <is>
          <t>possible AI explanations are correct. No additional provider call or retry is</t>
        </is>
      </c>
    </row>
    <row r="909" ht="30" customHeight="1" s="78">
      <c r="A909" s="73" t="inlineStr">
        <is>
          <t>QA-013</t>
        </is>
      </c>
      <c r="B909" s="73" t="n">
        <v>23</v>
      </c>
      <c r="C909" s="73" t="inlineStr">
        <is>
          <t>made when an explanation is rejected.</t>
        </is>
      </c>
    </row>
    <row r="910" ht="30" customHeight="1" s="78">
      <c r="A910" s="73" t="inlineStr">
        <is>
          <t>QA-013</t>
        </is>
      </c>
      <c r="B910" s="73" t="n">
        <v>24</v>
      </c>
      <c r="C910" s="73" t="n"/>
    </row>
    <row r="911" ht="30" customHeight="1" s="78">
      <c r="A911" s="73" t="inlineStr">
        <is>
          <t>QA-013</t>
        </is>
      </c>
      <c r="B911" s="73" t="n">
        <v>25</v>
      </c>
      <c r="C911" s="73" t="inlineStr">
        <is>
          <t>Failed function criteria now explicitly explain that they must work for every</t>
        </is>
      </c>
    </row>
    <row r="912" ht="30" customHeight="1" s="78">
      <c r="A912" s="73" t="inlineStr">
        <is>
          <t>QA-013</t>
        </is>
      </c>
      <c r="B912" s="73" t="n">
        <v>26</v>
      </c>
      <c r="C912" s="73" t="inlineStr">
        <is>
          <t>input scenario and that the printed example alone is insufficient. Scoring,</t>
        </is>
      </c>
    </row>
    <row r="913" ht="30" customHeight="1" s="78">
      <c r="A913" s="73" t="inlineStr">
        <is>
          <t>QA-013</t>
        </is>
      </c>
      <c r="B913" s="73" t="n">
        <v>27</v>
      </c>
      <c r="C913" s="73" t="inlineStr">
        <is>
          <t>criterion weights, assignment versions, and test cases are unchanged.</t>
        </is>
      </c>
    </row>
    <row r="914" ht="30" customHeight="1" s="78">
      <c r="A914" s="73" t="inlineStr">
        <is>
          <t>QA-013</t>
        </is>
      </c>
      <c r="B914" s="73" t="n">
        <v>28</v>
      </c>
      <c r="C914" s="73" t="n"/>
    </row>
    <row r="915" ht="30" customHeight="1" s="78">
      <c r="A915" s="73" t="inlineStr">
        <is>
          <t>QA-013</t>
        </is>
      </c>
      <c r="B915" s="73" t="n">
        <v>29</v>
      </c>
      <c r="C915" s="73" t="inlineStr">
        <is>
          <t>## Verification</t>
        </is>
      </c>
    </row>
    <row r="916" ht="30" customHeight="1" s="78">
      <c r="A916" s="73" t="inlineStr">
        <is>
          <t>QA-013</t>
        </is>
      </c>
      <c r="B916" s="73" t="n">
        <v>30</v>
      </c>
      <c r="C916" s="73" t="n"/>
    </row>
    <row r="917" ht="30" customHeight="1" s="78">
      <c r="A917" s="73" t="inlineStr">
        <is>
          <t>QA-013</t>
        </is>
      </c>
      <c r="B917" s="73" t="n">
        <v>31</v>
      </c>
      <c r="C917" s="73" t="inlineStr">
        <is>
          <t>| Check | Result | Evidence |</t>
        </is>
      </c>
    </row>
    <row r="918" ht="30" customHeight="1" s="78">
      <c r="A918" s="73" t="inlineStr">
        <is>
          <t>QA-013</t>
        </is>
      </c>
      <c r="B918" s="73" t="n">
        <v>32</v>
      </c>
      <c r="C918" s="73" t="inlineStr">
        <is>
          <t>|---|---|---|</t>
        </is>
      </c>
    </row>
    <row r="919" ht="30" customHeight="1" s="78">
      <c r="A919" s="73" t="inlineStr">
        <is>
          <t>QA-013</t>
        </is>
      </c>
      <c r="B919" s="73" t="n">
        <v>33</v>
      </c>
      <c r="C919" s="73" t="inlineStr">
        <is>
          <t>| Screenshot-style globals and partial code | PASS | Executes, prints 4.0 4.0 0.0 0.0; score 0%; explanatory feedback |</t>
        </is>
      </c>
    </row>
    <row r="920" ht="30" customHeight="1" s="78">
      <c r="A920" s="73" t="inlineStr">
        <is>
          <t>QA-013</t>
        </is>
      </c>
      <c r="B920" s="73" t="n">
        <v>34</v>
      </c>
      <c r="C920" s="73" t="inlineStr">
        <is>
          <t>| Same two components using parameters | PASS | Same example output; score 50%, two passed criteria |</t>
        </is>
      </c>
    </row>
    <row r="921" ht="30" customHeight="1" s="78">
      <c r="A921" s="73" t="inlineStr">
        <is>
          <t>QA-013</t>
        </is>
      </c>
      <c r="B921" s="73" t="n">
        <v>35</v>
      </c>
      <c r="C921" s="73" t="inlineStr">
        <is>
          <t>| Contradictory AI output | PASS | Four name-error phrasings across diagnosis, answer, hint and debugging steps fall back safely |</t>
        </is>
      </c>
    </row>
    <row r="922" ht="30" customHeight="1" s="78">
      <c r="A922" s="73" t="inlineStr">
        <is>
          <t>QA-013</t>
        </is>
      </c>
      <c r="B922" s="73" t="n">
        <v>36</v>
      </c>
      <c r="C922" s="73" t="inlineStr">
        <is>
          <t>| Grounded explanation / actual NameError | PASS | Valid global-input explanation and actual failed-execution NameError remain accepted |</t>
        </is>
      </c>
    </row>
    <row r="923" ht="30" customHeight="1" s="78">
      <c r="A923" s="73" t="inlineStr">
        <is>
          <t>QA-013</t>
        </is>
      </c>
      <c r="B923" s="73" t="n">
        <v>37</v>
      </c>
      <c r="C923" s="73" t="inlineStr">
        <is>
          <t>| Focused tutor, instructor-case and function-grader tests | PASS | 56 passed |</t>
        </is>
      </c>
    </row>
    <row r="924" ht="30" customHeight="1" s="78">
      <c r="A924" s="73" t="inlineStr">
        <is>
          <t>QA-013</t>
        </is>
      </c>
      <c r="B924" s="73" t="n">
        <v>38</v>
      </c>
      <c r="C924" s="73" t="inlineStr">
        <is>
          <t>| API and authentication regressions | PASS | 67 passed |</t>
        </is>
      </c>
    </row>
    <row r="925" ht="39.95" customHeight="1" s="78">
      <c r="A925" s="73" t="inlineStr">
        <is>
          <t>QA-013</t>
        </is>
      </c>
      <c r="B925" s="73" t="n">
        <v>39</v>
      </c>
      <c r="C925" s="73" t="inlineStr">
        <is>
          <t>| Running local API with temporary demo session | PASS | At API 5100, both variants returned 0% / 50%, successful execution and the new explanatory message; AI off |</t>
        </is>
      </c>
    </row>
    <row r="926" ht="30" customHeight="1" s="78">
      <c r="A926" s="73" t="inlineStr">
        <is>
          <t>QA-013</t>
        </is>
      </c>
      <c r="B926" s="73" t="n">
        <v>40</v>
      </c>
      <c r="C926" s="73" t="inlineStr">
        <is>
          <t>| Paid OpenAI model validation | NOT RUN | Injectable fake responses exercised the request and response checks; no paid request authorized |</t>
        </is>
      </c>
    </row>
    <row r="927" ht="30" customHeight="1" s="78">
      <c r="A927" s="73" t="inlineStr">
        <is>
          <t>QA-013</t>
        </is>
      </c>
      <c r="B927" s="73" t="n">
        <v>41</v>
      </c>
      <c r="C927" s="73" t="inlineStr">
        <is>
          <t>| Professor's computer / physical Ubuntu / live deployment | NOT RUN | Local staging repair only |</t>
        </is>
      </c>
    </row>
    <row r="928" ht="30" customHeight="1" s="78">
      <c r="A928" s="73" t="inlineStr">
        <is>
          <t>QA-013</t>
        </is>
      </c>
      <c r="B928" s="73" t="n">
        <v>42</v>
      </c>
      <c r="C928" s="73" t="n"/>
    </row>
    <row r="929" ht="30" customHeight="1" s="78">
      <c r="A929" s="73" t="inlineStr">
        <is>
          <t>QA-013</t>
        </is>
      </c>
      <c r="B929" s="73" t="n">
        <v>43</v>
      </c>
      <c r="C929" s="73" t="inlineStr">
        <is>
          <t>Commands used the managed Python 3.14 environment from `backend`:</t>
        </is>
      </c>
    </row>
    <row r="930" ht="30" customHeight="1" s="78">
      <c r="A930" s="73" t="inlineStr">
        <is>
          <t>QA-013</t>
        </is>
      </c>
      <c r="B930" s="73" t="n">
        <v>44</v>
      </c>
      <c r="C930" s="73" t="n"/>
    </row>
    <row r="931" ht="30" customHeight="1" s="78">
      <c r="A931" s="73" t="inlineStr">
        <is>
          <t>QA-013</t>
        </is>
      </c>
      <c r="B931" s="73" t="n">
        <v>45</v>
      </c>
      <c r="C931" s="73" t="inlineStr">
        <is>
          <t>```text</t>
        </is>
      </c>
    </row>
    <row r="932" ht="30" customHeight="1" s="78">
      <c r="A932" s="73" t="inlineStr">
        <is>
          <t>QA-013</t>
        </is>
      </c>
      <c r="B932" s="73" t="n">
        <v>46</v>
      </c>
      <c r="C932" s="73" t="inlineStr">
        <is>
          <t>python -m pytest tests/test_tutor.py tests/test_python_function_grader.py tests/test_tutor_evaluations.py -q</t>
        </is>
      </c>
    </row>
    <row r="933" ht="30" customHeight="1" s="78">
      <c r="A933" s="73" t="inlineStr">
        <is>
          <t>QA-013</t>
        </is>
      </c>
      <c r="B933" s="73" t="n">
        <v>47</v>
      </c>
      <c r="C933" s="73" t="inlineStr">
        <is>
          <t>python -m pytest tests/test_app.py tests/test_auth.py -q</t>
        </is>
      </c>
    </row>
    <row r="934" ht="30" customHeight="1" s="78">
      <c r="A934" s="73" t="inlineStr">
        <is>
          <t>QA-013</t>
        </is>
      </c>
      <c r="B934" s="73" t="n">
        <v>48</v>
      </c>
      <c r="C934" s="73" t="inlineStr">
        <is>
          <t>```</t>
        </is>
      </c>
    </row>
    <row r="935" ht="30" customHeight="1" s="78">
      <c r="A935" s="73" t="inlineStr">
        <is>
          <t>QA-013</t>
        </is>
      </c>
      <c r="B935" s="73" t="n">
        <v>49</v>
      </c>
      <c r="C935" s="73" t="n"/>
    </row>
    <row r="936" ht="30" customHeight="1" s="78">
      <c r="A936" s="73" t="inlineStr">
        <is>
          <t>QA-013</t>
        </is>
      </c>
      <c r="B936" s="73" t="n">
        <v>50</v>
      </c>
      <c r="C936" s="73" t="inlineStr">
        <is>
          <t>`AGENTS.md` now records the execution-grounding invariant. Secrets and database</t>
        </is>
      </c>
    </row>
    <row r="937" ht="30" customHeight="1" s="78">
      <c r="A937" s="73" t="inlineStr">
        <is>
          <t>QA-013</t>
        </is>
      </c>
      <c r="B937" s="73" t="n">
        <v>51</v>
      </c>
      <c r="C937" s="73" t="inlineStr">
        <is>
          <t>records were not changed. No frontend source changed; a separate Flutter build</t>
        </is>
      </c>
    </row>
    <row r="938" ht="30" customHeight="1" s="78">
      <c r="A938" s="73" t="inlineStr">
        <is>
          <t>QA-013</t>
        </is>
      </c>
      <c r="B938" s="73" t="n">
        <v>52</v>
      </c>
      <c r="C938" s="73" t="inlineStr">
        <is>
          <t>was not necessary for this backend response repair. The owner authorized</t>
        </is>
      </c>
    </row>
    <row r="939" ht="30" customHeight="1" s="78">
      <c r="A939" s="73" t="inlineStr">
        <is>
          <t>QA-013</t>
        </is>
      </c>
      <c r="B939" s="73" t="n">
        <v>53</v>
      </c>
      <c r="C939" s="73" t="inlineStr">
        <is>
          <t>publication of this repair to staging main on 2026-09-30. Production is outside</t>
        </is>
      </c>
    </row>
    <row r="940" ht="30" customHeight="1" s="78">
      <c r="A940" s="73" t="inlineStr">
        <is>
          <t>QA-013</t>
        </is>
      </c>
      <c r="B940" s="73" t="n">
        <v>54</v>
      </c>
      <c r="C940" s="73" t="inlineStr">
        <is>
          <t>this publication scope.</t>
        </is>
      </c>
    </row>
    <row r="941" ht="30" customHeight="1" s="78">
      <c r="A941" s="73" t="inlineStr">
        <is>
          <t>QA-013</t>
        </is>
      </c>
      <c r="B941" s="73" t="n">
        <v>55</v>
      </c>
      <c r="C941" s="73" t="n"/>
    </row>
    <row r="942" ht="30" customHeight="1" s="78">
      <c r="A942" s="73" t="inlineStr">
        <is>
          <t>QA-013</t>
        </is>
      </c>
      <c r="B942" s="73" t="n">
        <v>56</v>
      </c>
      <c r="C942" s="73" t="inlineStr">
        <is>
          <t>The managed local stack was restarted successfully at http://127.0.0.1:8180/app</t>
        </is>
      </c>
    </row>
    <row r="943" ht="30" customHeight="1" s="78">
      <c r="A943" s="73" t="inlineStr">
        <is>
          <t>QA-013</t>
        </is>
      </c>
      <c r="B943" s="73" t="n">
        <v>57</v>
      </c>
      <c r="C943" s="73" t="inlineStr">
        <is>
          <t>with API 5100 and sandbox 5101. Demo smoke-test submissions remain temporary.</t>
        </is>
      </c>
    </row>
    <row r="944" ht="30" customHeight="1" s="78">
      <c r="A944" s="73" t="inlineStr">
        <is>
          <t>QA-013</t>
        </is>
      </c>
      <c r="B944" s="73" t="n">
        <v>58</v>
      </c>
      <c r="C944" s="73" t="n"/>
    </row>
    <row r="945" ht="30" customHeight="1" s="78">
      <c r="A945" s="73" t="inlineStr">
        <is>
          <t>QA-014</t>
        </is>
      </c>
      <c r="B945" s="73" t="n">
        <v>1</v>
      </c>
      <c r="C945" s="73" t="inlineStr">
        <is>
          <t># Ubuntu Local Support SQA Report</t>
        </is>
      </c>
    </row>
    <row r="946" ht="30" customHeight="1" s="78">
      <c r="A946" s="73" t="inlineStr">
        <is>
          <t>QA-014</t>
        </is>
      </c>
      <c r="B946" s="73" t="n">
        <v>2</v>
      </c>
      <c r="C946" s="73" t="n"/>
    </row>
    <row r="947" ht="30" customHeight="1" s="78">
      <c r="A947" s="73" t="inlineStr">
        <is>
          <t>QA-014</t>
        </is>
      </c>
      <c r="B947" s="73" t="n">
        <v>3</v>
      </c>
      <c r="C947" s="73" t="inlineStr">
        <is>
          <t>**Date:** 2026-08-28</t>
        </is>
      </c>
    </row>
    <row r="948" ht="30" customHeight="1" s="78">
      <c r="A948" s="73" t="inlineStr">
        <is>
          <t>QA-014</t>
        </is>
      </c>
      <c r="B948" s="73" t="n">
        <v>4</v>
      </c>
      <c r="C948" s="73" t="n"/>
    </row>
    <row r="949" ht="30" customHeight="1" s="78">
      <c r="A949" s="73" t="inlineStr">
        <is>
          <t>QA-014</t>
        </is>
      </c>
      <c r="B949" s="73" t="n">
        <v>5</v>
      </c>
      <c r="C949" s="73" t="inlineStr">
        <is>
          <t>**Repository:** `CS-Ponkoj/Robotics-Programming-Lab-Staging`</t>
        </is>
      </c>
    </row>
    <row r="950" ht="30" customHeight="1" s="78">
      <c r="A950" s="73" t="inlineStr">
        <is>
          <t>QA-014</t>
        </is>
      </c>
      <c r="B950" s="73" t="n">
        <v>6</v>
      </c>
      <c r="C950" s="73" t="n"/>
    </row>
    <row r="951" ht="30" customHeight="1" s="78">
      <c r="A951" s="73" t="inlineStr">
        <is>
          <t>QA-014</t>
        </is>
      </c>
      <c r="B951" s="73" t="n">
        <v>7</v>
      </c>
      <c r="C951" s="73" t="inlineStr">
        <is>
          <t>**Source branch:** `main`</t>
        </is>
      </c>
    </row>
    <row r="952" ht="30" customHeight="1" s="78">
      <c r="A952" s="73" t="inlineStr">
        <is>
          <t>QA-014</t>
        </is>
      </c>
      <c r="B952" s="73" t="n">
        <v>8</v>
      </c>
      <c r="C952" s="73" t="n"/>
    </row>
    <row r="953" ht="30" customHeight="1" s="78">
      <c r="A953" s="73" t="inlineStr">
        <is>
          <t>QA-014</t>
        </is>
      </c>
      <c r="B953" s="73" t="n">
        <v>9</v>
      </c>
      <c r="C953" s="73" t="inlineStr">
        <is>
          <t>**Protected baseline:** remote branch `backup-v5` at `7976caa8eb764c3452ab9f3021ddc875a5631e36`</t>
        </is>
      </c>
    </row>
    <row r="954" ht="30" customHeight="1" s="78">
      <c r="A954" s="73" t="inlineStr">
        <is>
          <t>QA-014</t>
        </is>
      </c>
      <c r="B954" s="73" t="n">
        <v>10</v>
      </c>
      <c r="C954" s="73" t="n"/>
    </row>
    <row r="955" ht="30" customHeight="1" s="78">
      <c r="A955" s="73" t="inlineStr">
        <is>
          <t>QA-014</t>
        </is>
      </c>
      <c r="B955" s="73" t="n">
        <v>11</v>
      </c>
      <c r="C955" s="73" t="inlineStr">
        <is>
          <t>**Scope:** Ubuntu local-run support and regression coverage; no application API, grader, schema, assignment, analytics, or production changes</t>
        </is>
      </c>
    </row>
    <row r="956" ht="30" customHeight="1" s="78">
      <c r="A956" s="73" t="inlineStr">
        <is>
          <t>QA-014</t>
        </is>
      </c>
      <c r="B956" s="73" t="n">
        <v>12</v>
      </c>
      <c r="C956" s="73" t="n"/>
    </row>
    <row r="957" ht="30" customHeight="1" s="78">
      <c r="A957" s="73" t="inlineStr">
        <is>
          <t>QA-014</t>
        </is>
      </c>
      <c r="B957" s="73" t="n">
        <v>13</v>
      </c>
      <c r="C957" s="73" t="inlineStr">
        <is>
          <t>## Result</t>
        </is>
      </c>
    </row>
    <row r="958" ht="30" customHeight="1" s="78">
      <c r="A958" s="73" t="inlineStr">
        <is>
          <t>QA-014</t>
        </is>
      </c>
      <c r="B958" s="73" t="n">
        <v>14</v>
      </c>
      <c r="C958" s="73" t="n"/>
    </row>
    <row r="959" ht="54" customHeight="1" s="78">
      <c r="A959" s="73" t="inlineStr">
        <is>
          <t>QA-014</t>
        </is>
      </c>
      <c r="B959" s="73" t="n">
        <v>15</v>
      </c>
      <c r="C959" s="73" t="inlineStr">
        <is>
          <t>The Ubuntu implementation passes the automated Ubuntu 22.04/24.04 container checks and the existing Windows verification gate. The same PostgreSQL custom-format handoff package was restored successfully from a Windows-created dump on Ubuntu. A physical Ubuntu lab-computer smoke test is still required before hardware-level compatibility can be claimed.</t>
        </is>
      </c>
    </row>
    <row r="960" ht="30" customHeight="1" s="78">
      <c r="A960" s="73" t="inlineStr">
        <is>
          <t>QA-014</t>
        </is>
      </c>
      <c r="B960" s="73" t="n">
        <v>16</v>
      </c>
      <c r="C960" s="73" t="n"/>
    </row>
    <row r="961" ht="30" customHeight="1" s="78">
      <c r="A961" s="73" t="inlineStr">
        <is>
          <t>QA-014</t>
        </is>
      </c>
      <c r="B961" s="73" t="n">
        <v>17</v>
      </c>
      <c r="C961" s="73" t="inlineStr">
        <is>
          <t>## Verification matrix</t>
        </is>
      </c>
    </row>
    <row r="962" ht="30" customHeight="1" s="78">
      <c r="A962" s="73" t="inlineStr">
        <is>
          <t>QA-014</t>
        </is>
      </c>
      <c r="B962" s="73" t="n">
        <v>18</v>
      </c>
      <c r="C962" s="73" t="n"/>
    </row>
    <row r="963" ht="30" customHeight="1" s="78">
      <c r="A963" s="73" t="inlineStr">
        <is>
          <t>QA-014</t>
        </is>
      </c>
      <c r="B963" s="73" t="n">
        <v>19</v>
      </c>
      <c r="C963" s="73" t="inlineStr">
        <is>
          <t>| Area | Evidence | Result | Remaining limitation |</t>
        </is>
      </c>
    </row>
    <row r="964" ht="30" customHeight="1" s="78">
      <c r="A964" s="73" t="inlineStr">
        <is>
          <t>QA-014</t>
        </is>
      </c>
      <c r="B964" s="73" t="n">
        <v>20</v>
      </c>
      <c r="C964" s="73" t="inlineStr">
        <is>
          <t>|---|---|---:|---|</t>
        </is>
      </c>
    </row>
    <row r="965" ht="30" customHeight="1" s="78">
      <c r="A965" s="73" t="inlineStr">
        <is>
          <t>QA-014</t>
        </is>
      </c>
      <c r="B965" s="73" t="n">
        <v>21</v>
      </c>
      <c r="C965" s="73" t="inlineStr">
        <is>
          <t>| Source backup | Remote `backup-v5` resolves exactly to `7976caa8eb764c3452ab9f3021ddc875a5631e36` | PASS | None |</t>
        </is>
      </c>
    </row>
    <row r="966" ht="30" customHeight="1" s="78">
      <c r="A966" s="73" t="inlineStr">
        <is>
          <t>QA-014</t>
        </is>
      </c>
      <c r="B966" s="73" t="n">
        <v>22</v>
      </c>
      <c r="C966" s="73" t="inlineStr">
        <is>
          <t>| Bash syntax | Every maintained `.sh` file parsed with Bash on Ubuntu | PASS | None |</t>
        </is>
      </c>
    </row>
    <row r="967" ht="30" customHeight="1" s="78">
      <c r="A967" s="73" t="inlineStr">
        <is>
          <t>QA-014</t>
        </is>
      </c>
      <c r="B967" s="73" t="n">
        <v>23</v>
      </c>
      <c r="C967" s="73" t="inlineStr">
        <is>
          <t>| ShellCheck | ShellCheck completed with no findings | PASS | None |</t>
        </is>
      </c>
    </row>
    <row r="968" ht="39.95" customHeight="1" s="78">
      <c r="A968" s="73" t="inlineStr">
        <is>
          <t>QA-014</t>
        </is>
      </c>
      <c r="B968" s="73" t="n">
        <v>24</v>
      </c>
      <c r="C968" s="73" t="inlineStr">
        <is>
          <t>| Ubuntu 22.04 setup | `uv` installed managed Python 3.14.7; all 53 pinned backend packages installed and passed compatibility checks | PASS | Docker and Flutter prerequisite discovery used controlled command stubs in this setup-only container |</t>
        </is>
      </c>
    </row>
    <row r="969" ht="30" customHeight="1" s="78">
      <c r="A969" s="73" t="inlineStr">
        <is>
          <t>QA-014</t>
        </is>
      </c>
      <c r="B969" s="73" t="n">
        <v>25</v>
      </c>
      <c r="C969" s="73" t="inlineStr">
        <is>
          <t>| Ubuntu 24.04 setup | Real Docker client and Flutter 3.32.8; managed Python 3.14.7 and all pinned packages installed | PASS | None |</t>
        </is>
      </c>
    </row>
    <row r="970" ht="30" customHeight="1" s="78">
      <c r="A970" s="73" t="inlineStr">
        <is>
          <t>QA-014</t>
        </is>
      </c>
      <c r="B970" s="73" t="n">
        <v>26</v>
      </c>
      <c r="C970" s="73" t="inlineStr">
        <is>
          <t>| Local stack startup | PostgreSQL, sandbox, FastAPI, Flutter web, and backup worker became healthy on isolated test ports | PASS | None |</t>
        </is>
      </c>
    </row>
    <row r="971" ht="39.95" customHeight="1" s="78">
      <c r="A971" s="73" t="inlineStr">
        <is>
          <t>QA-014</t>
        </is>
      </c>
      <c r="B971" s="73" t="n">
        <v>27</v>
      </c>
      <c r="C971" s="73" t="inlineStr">
        <is>
          <t>| Frontend | `/app` returned HTTP 200 from the Ubuntu runtime; Flutter widget and release-build checks passed | PASS | No physical Ubuntu browser was used |</t>
        </is>
      </c>
    </row>
    <row r="972" ht="39.95" customHeight="1" s="78">
      <c r="A972" s="73" t="inlineStr">
        <is>
          <t>QA-014</t>
        </is>
      </c>
      <c r="B972" s="73" t="n">
        <v>28</v>
      </c>
      <c r="C972" s="73" t="inlineStr">
        <is>
          <t>| Authentication and authorization | Persistent student and instructor logins passed; unauthenticated assignment access returned 401; instructor assignment access passed | PASS | None |</t>
        </is>
      </c>
    </row>
    <row r="973" ht="30" customHeight="1" s="78">
      <c r="A973" s="73" t="inlineStr">
        <is>
          <t>QA-014</t>
        </is>
      </c>
      <c r="B973" s="73" t="n">
        <v>29</v>
      </c>
      <c r="C973" s="73" t="inlineStr">
        <is>
          <t>| Assignments 1-6 | Maintained answers passed at 100%; incorrect submissions failed for all six assignments | PASS | None |</t>
        </is>
      </c>
    </row>
    <row r="974" ht="30" customHeight="1" s="78">
      <c r="A974" s="73" t="inlineStr">
        <is>
          <t>QA-014</t>
        </is>
      </c>
      <c r="B974" s="73" t="n">
        <v>30</v>
      </c>
      <c r="C974" s="73" t="inlineStr">
        <is>
          <t>| Error and safety handling | Syntax error, unsafe import, infinite loop, and oversized submission paths behaved as expected | PASS | None |</t>
        </is>
      </c>
    </row>
    <row r="975" ht="30" customHeight="1" s="78">
      <c r="A975" s="73" t="inlineStr">
        <is>
          <t>QA-014</t>
        </is>
      </c>
      <c r="B975" s="73" t="n">
        <v>31</v>
      </c>
      <c r="C975" s="73" t="inlineStr">
        <is>
          <t>| ROS assignment 5 | Seven grader checks passed; expected Twist stream observed | PASS | Container-based ROS execution only |</t>
        </is>
      </c>
    </row>
    <row r="976" ht="30" customHeight="1" s="78">
      <c r="A976" s="73" t="inlineStr">
        <is>
          <t>QA-014</t>
        </is>
      </c>
      <c r="B976" s="73" t="n">
        <v>32</v>
      </c>
      <c r="C976" s="73" t="inlineStr">
        <is>
          <t>| ROS assignment 6 | Nine grader checks passed; settled Twist stream observed | PASS | Container-based ROS execution only |</t>
        </is>
      </c>
    </row>
    <row r="977" ht="30" customHeight="1" s="78">
      <c r="A977" s="73" t="inlineStr">
        <is>
          <t>QA-014</t>
        </is>
      </c>
      <c r="B977" s="73" t="n">
        <v>33</v>
      </c>
      <c r="C977" s="73" t="inlineStr">
        <is>
          <t>| Backup worker | Changed database saved; unchanged database skipped; checksum and device lock verified | PASS | None |</t>
        </is>
      </c>
    </row>
    <row r="978" ht="30" customHeight="1" s="78">
      <c r="A978" s="73" t="inlineStr">
        <is>
          <t>QA-014</t>
        </is>
      </c>
      <c r="B978" s="73" t="n">
        <v>34</v>
      </c>
      <c r="C978" s="73" t="inlineStr">
        <is>
          <t>| Final shutdown backup | Stop produced and validated a final dump before stopping PostgreSQL | PASS | None |</t>
        </is>
      </c>
    </row>
    <row r="979" ht="39.95" customHeight="1" s="78">
      <c r="A979" s="73" t="inlineStr">
        <is>
          <t>QA-014</t>
        </is>
      </c>
      <c r="B979" s="73" t="n">
        <v>35</v>
      </c>
      <c r="C979" s="73" t="inlineStr">
        <is>
          <t>| Windows-to-Ubuntu restore | A real Windows-created `latest.dump` restored on Ubuntu with 2 users, 63 submissions, and 0 activity rows reconciled | PASS | Counts describe the current local research package; no private row content was printed |</t>
        </is>
      </c>
    </row>
    <row r="980" ht="39.95" customHeight="1" s="78">
      <c r="A980" s="73" t="inlineStr">
        <is>
          <t>QA-014</t>
        </is>
      </c>
      <c r="B980" s="73" t="n">
        <v>36</v>
      </c>
      <c r="C980" s="73" t="inlineStr">
        <is>
          <t>| Ubuntu stop/restart | Data survived volume removal and clean-device restore; 16 isolated SQA submissions reconciled before and after | PASS | None |</t>
        </is>
      </c>
    </row>
    <row r="981" ht="30" customHeight="1" s="78">
      <c r="A981" s="73" t="inlineStr">
        <is>
          <t>QA-014</t>
        </is>
      </c>
      <c r="B981" s="73" t="n">
        <v>37</v>
      </c>
      <c r="C981" s="73" t="inlineStr">
        <is>
          <t>| Process ownership | Ubuntu stop left an unrelated control process running | PASS | None |</t>
        </is>
      </c>
    </row>
    <row r="982" ht="30" customHeight="1" s="78">
      <c r="A982" s="73" t="inlineStr">
        <is>
          <t>QA-014</t>
        </is>
      </c>
      <c r="B982" s="73" t="n">
        <v>38</v>
      </c>
      <c r="C982" s="73" t="inlineStr">
        <is>
          <t>| Backend regression | 179 tests passed; dependency compatibility passed | PASS | None |</t>
        </is>
      </c>
    </row>
    <row r="983" ht="30" customHeight="1" s="78">
      <c r="A983" s="73" t="inlineStr">
        <is>
          <t>QA-014</t>
        </is>
      </c>
      <c r="B983" s="73" t="n">
        <v>39</v>
      </c>
      <c r="C983" s="73" t="inlineStr">
        <is>
          <t>| Flutter regression | Analyzer passed, 50 tests passed, and release web build passed | PASS | None |</t>
        </is>
      </c>
    </row>
    <row r="984" ht="39.95" customHeight="1" s="78">
      <c r="A984" s="73" t="inlineStr">
        <is>
          <t>QA-014</t>
        </is>
      </c>
      <c r="B984" s="73" t="n">
        <v>40</v>
      </c>
      <c r="C984" s="73" t="inlineStr">
        <is>
          <t>| Repository safety | Required-clone and release checks passed; secrets, dumps, environments, logs, caches, and build outputs remain untracked | PASS | GitHub Actions will run only after a later authorized push |</t>
        </is>
      </c>
    </row>
    <row r="985" ht="39.95" customHeight="1" s="78">
      <c r="A985" s="73" t="inlineStr">
        <is>
          <t>QA-014</t>
        </is>
      </c>
      <c r="B985" s="73" t="n">
        <v>41</v>
      </c>
      <c r="C985" s="73" t="inlineStr">
        <is>
          <t>| Physical Ubuntu 22.04/24.04 lab computer | Not executed on institution hardware | NOT RUN | Required before claiming lab hardware compatibility; lab IT may need to install prerequisites and grant Docker access |</t>
        </is>
      </c>
    </row>
    <row r="986" ht="30" customHeight="1" s="78">
      <c r="A986" s="73" t="inlineStr">
        <is>
          <t>QA-014</t>
        </is>
      </c>
      <c r="B986" s="73" t="n">
        <v>42</v>
      </c>
      <c r="C986" s="73" t="n"/>
    </row>
    <row r="987" ht="30" customHeight="1" s="78">
      <c r="A987" s="73" t="inlineStr">
        <is>
          <t>QA-014</t>
        </is>
      </c>
      <c r="B987" s="73" t="n">
        <v>43</v>
      </c>
      <c r="C987" s="73" t="inlineStr">
        <is>
          <t>## Supported workflow</t>
        </is>
      </c>
    </row>
    <row r="988" ht="30" customHeight="1" s="78">
      <c r="A988" s="73" t="inlineStr">
        <is>
          <t>QA-014</t>
        </is>
      </c>
      <c r="B988" s="73" t="n">
        <v>44</v>
      </c>
      <c r="C988" s="73" t="n"/>
    </row>
    <row r="989" ht="30" customHeight="1" s="78">
      <c r="A989" s="73" t="inlineStr">
        <is>
          <t>QA-014</t>
        </is>
      </c>
      <c r="B989" s="73" t="n">
        <v>45</v>
      </c>
      <c r="C989" s="73" t="inlineStr">
        <is>
          <t>&gt; **Current architecture note (2026-08-28):** This section records the earlier</t>
        </is>
      </c>
    </row>
    <row r="990" ht="30" customHeight="1" s="78">
      <c r="A990" s="73" t="inlineStr">
        <is>
          <t>QA-014</t>
        </is>
      </c>
      <c r="B990" s="73" t="n">
        <v>46</v>
      </c>
      <c r="C990" s="73" t="inlineStr">
        <is>
          <t>&gt; local-PostgreSQL portability test. The application now uses Neon PostgreSQL</t>
        </is>
      </c>
    </row>
    <row r="991" ht="30" customHeight="1" s="78">
      <c r="A991" s="73" t="inlineStr">
        <is>
          <t>QA-014</t>
        </is>
      </c>
      <c r="B991" s="73" t="n">
        <v>47</v>
      </c>
      <c r="C991" s="73" t="inlineStr">
        <is>
          <t>&gt; and one ignored `.env` in the repository root. The handoff package, database</t>
        </is>
      </c>
    </row>
    <row r="992" ht="30" customHeight="1" s="78">
      <c r="A992" s="73" t="inlineStr">
        <is>
          <t>QA-014</t>
        </is>
      </c>
      <c r="B992" s="73" t="n">
        <v>48</v>
      </c>
      <c r="C992" s="73" t="inlineStr">
        <is>
          <t>&gt; dump, backup worker, and cross-device database lock described below have been</t>
        </is>
      </c>
    </row>
    <row r="993" ht="30" customHeight="1" s="78">
      <c r="A993" s="73" t="inlineStr">
        <is>
          <t>QA-014</t>
        </is>
      </c>
      <c r="B993" s="73" t="n">
        <v>49</v>
      </c>
      <c r="C993" s="73" t="inlineStr">
        <is>
          <t>&gt; retired. See `NEON_ONLY_DATABASE_SQA_REPORT_2026-08-28.md` for the current</t>
        </is>
      </c>
    </row>
    <row r="994" ht="30" customHeight="1" s="78">
      <c r="A994" s="73" t="inlineStr">
        <is>
          <t>QA-014</t>
        </is>
      </c>
      <c r="B994" s="73" t="n">
        <v>50</v>
      </c>
      <c r="C994" s="73" t="inlineStr">
        <is>
          <t>&gt; verified workflow.</t>
        </is>
      </c>
    </row>
    <row r="995" ht="30" customHeight="1" s="78">
      <c r="A995" s="73" t="inlineStr">
        <is>
          <t>QA-014</t>
        </is>
      </c>
      <c r="B995" s="73" t="n">
        <v>51</v>
      </c>
      <c r="C995" s="73" t="n"/>
    </row>
    <row r="996" ht="30" customHeight="1" s="78">
      <c r="A996" s="73" t="inlineStr">
        <is>
          <t>QA-014</t>
        </is>
      </c>
      <c r="B996" s="73" t="n">
        <v>52</v>
      </c>
      <c r="C996" s="73" t="inlineStr">
        <is>
          <t>- Windows uses the existing PowerShell scripts.</t>
        </is>
      </c>
    </row>
    <row r="997" ht="30" customHeight="1" s="78">
      <c r="A997" s="73" t="inlineStr">
        <is>
          <t>QA-014</t>
        </is>
      </c>
      <c r="B997" s="73" t="n">
        <v>53</v>
      </c>
      <c r="C997" s="73" t="inlineStr">
        <is>
          <t>- Ubuntu x86-64 22.04/24.04 uses the new Bash scripts.</t>
        </is>
      </c>
    </row>
    <row r="998" ht="30" customHeight="1" s="78">
      <c r="A998" s="73" t="inlineStr">
        <is>
          <t>QA-014</t>
        </is>
      </c>
      <c r="B998" s="73" t="n">
        <v>54</v>
      </c>
      <c r="C998" s="73" t="inlineStr">
        <is>
          <t>- Generated Python environments, Flutter build files, logs, and process state stay outside the Git clone on Ubuntu.</t>
        </is>
      </c>
    </row>
    <row r="999" ht="30" customHeight="1" s="78">
      <c r="A999" s="73" t="inlineStr">
        <is>
          <t>QA-014</t>
        </is>
      </c>
      <c r="B999" s="73" t="n">
        <v>55</v>
      </c>
      <c r="C999" s="73" t="inlineStr">
        <is>
          <t>- Both operating systems use the same private `local_handoff_package` structure and PostgreSQL custom-format dump.</t>
        </is>
      </c>
    </row>
    <row r="1000" ht="30" customHeight="1" s="78">
      <c r="A1000" s="73" t="inlineStr">
        <is>
          <t>QA-014</t>
        </is>
      </c>
      <c r="B1000" s="73" t="n">
        <v>56</v>
      </c>
      <c r="C1000" s="73" t="inlineStr">
        <is>
          <t>- Only one device may hold the database handoff lock or run the shared package at a time.</t>
        </is>
      </c>
    </row>
    <row r="1001" ht="30" customHeight="1" s="78">
      <c r="A1001" s="73" t="inlineStr">
        <is>
          <t>QA-014</t>
        </is>
      </c>
      <c r="B1001" s="73" t="n">
        <v>57</v>
      </c>
      <c r="C1001" s="73" t="inlineStr">
        <is>
          <t>- AI remains available but disabled by default.</t>
        </is>
      </c>
    </row>
    <row r="1002" ht="30" customHeight="1" s="78">
      <c r="A1002" s="73" t="inlineStr">
        <is>
          <t>QA-014</t>
        </is>
      </c>
      <c r="B1002" s="73" t="n">
        <v>58</v>
      </c>
      <c r="C1002" s="73" t="n"/>
    </row>
    <row r="1003" ht="30" customHeight="1" s="78">
      <c r="A1003" s="73" t="inlineStr">
        <is>
          <t>QA-014</t>
        </is>
      </c>
      <c r="B1003" s="73" t="n">
        <v>59</v>
      </c>
      <c r="C1003" s="73" t="inlineStr">
        <is>
          <t>## Publication status</t>
        </is>
      </c>
    </row>
    <row r="1004" ht="30" customHeight="1" s="78">
      <c r="A1004" s="73" t="inlineStr">
        <is>
          <t>QA-014</t>
        </is>
      </c>
      <c r="B1004" s="73" t="n">
        <v>60</v>
      </c>
      <c r="C1004" s="73" t="n"/>
    </row>
    <row r="1005" ht="39.95" customHeight="1" s="78">
      <c r="A1005" s="73" t="inlineStr">
        <is>
          <t>QA-014</t>
        </is>
      </c>
      <c r="B1005" s="73" t="n">
        <v>61</v>
      </c>
      <c r="C1005" s="73" t="inlineStr">
        <is>
          <t>Implementation and local QA are complete. The implementation is intentionally not committed or pushed. A separate authorization is required to publish it. After publication, GitHub Actions and a physical lab-computer smoke test remain the final external checks.</t>
        </is>
      </c>
    </row>
    <row r="1006" ht="30" customHeight="1" s="78">
      <c r="A1006" s="73" t="inlineStr">
        <is>
          <t>QA-014</t>
        </is>
      </c>
      <c r="B1006" s="73" t="n">
        <v>62</v>
      </c>
      <c r="C1006" s="73" t="n"/>
    </row>
    <row r="1007" ht="30" customHeight="1" s="78">
      <c r="A1007" s="73" t="inlineStr">
        <is>
          <t>QA-015</t>
        </is>
      </c>
      <c r="B1007" s="73" t="n">
        <v>1</v>
      </c>
      <c r="C1007" s="73" t="inlineStr">
        <is>
          <t># V5.2 Basic Research Analytics SQA Report</t>
        </is>
      </c>
    </row>
    <row r="1008" ht="30" customHeight="1" s="78">
      <c r="A1008" s="73" t="inlineStr">
        <is>
          <t>QA-015</t>
        </is>
      </c>
      <c r="B1008" s="73" t="n">
        <v>2</v>
      </c>
      <c r="C1008" s="73" t="n"/>
    </row>
    <row r="1009" ht="30" customHeight="1" s="78">
      <c r="A1009" s="73" t="inlineStr">
        <is>
          <t>QA-015</t>
        </is>
      </c>
      <c r="B1009" s="73" t="n">
        <v>3</v>
      </c>
      <c r="C1009" s="73" t="inlineStr">
        <is>
          <t>**Date:** 2026-08-26</t>
        </is>
      </c>
    </row>
    <row r="1010" ht="30" customHeight="1" s="78">
      <c r="A1010" s="73" t="inlineStr">
        <is>
          <t>QA-015</t>
        </is>
      </c>
      <c r="B1010" s="73" t="n">
        <v>4</v>
      </c>
      <c r="C1010" s="73" t="n"/>
    </row>
    <row r="1011" ht="30" customHeight="1" s="78">
      <c r="A1011" s="73" t="inlineStr">
        <is>
          <t>QA-015</t>
        </is>
      </c>
      <c r="B1011" s="73" t="n">
        <v>5</v>
      </c>
      <c r="C1011" s="73" t="inlineStr">
        <is>
          <t>**Repository:** `CS-Ponkoj/Robotics-Programming-Lab-Staging`</t>
        </is>
      </c>
    </row>
    <row r="1012" ht="30" customHeight="1" s="78">
      <c r="A1012" s="73" t="inlineStr">
        <is>
          <t>QA-015</t>
        </is>
      </c>
      <c r="B1012" s="73" t="n">
        <v>6</v>
      </c>
      <c r="C1012" s="73" t="n"/>
    </row>
    <row r="1013" ht="30" customHeight="1" s="78">
      <c r="A1013" s="73" t="inlineStr">
        <is>
          <t>QA-015</t>
        </is>
      </c>
      <c r="B1013" s="73" t="n">
        <v>7</v>
      </c>
      <c r="C1013" s="73" t="inlineStr">
        <is>
          <t>**Branch:** `main`</t>
        </is>
      </c>
    </row>
    <row r="1014" ht="30" customHeight="1" s="78">
      <c r="A1014" s="73" t="inlineStr">
        <is>
          <t>QA-015</t>
        </is>
      </c>
      <c r="B1014" s="73" t="n">
        <v>8</v>
      </c>
      <c r="C1014" s="73" t="n"/>
    </row>
    <row r="1015" ht="30" customHeight="1" s="78">
      <c r="A1015" s="73" t="inlineStr">
        <is>
          <t>QA-015</t>
        </is>
      </c>
      <c r="B1015" s="73" t="n">
        <v>9</v>
      </c>
      <c r="C1015" s="73" t="inlineStr">
        <is>
          <t>**Base commit:** `0865c8c961baed58e0d14a876ff3ca80ae97f5ba`</t>
        </is>
      </c>
    </row>
    <row r="1016" ht="30" customHeight="1" s="78">
      <c r="A1016" s="73" t="inlineStr">
        <is>
          <t>QA-015</t>
        </is>
      </c>
      <c r="B1016" s="73" t="n">
        <v>10</v>
      </c>
      <c r="C1016" s="73" t="inlineStr">
        <is>
          <t>**Environment:** `PONKOJ-PC`, Windows x64, Python 3.14, PostgreSQL 17,</t>
        </is>
      </c>
    </row>
    <row r="1017" ht="30" customHeight="1" s="78">
      <c r="A1017" s="73" t="inlineStr">
        <is>
          <t>QA-015</t>
        </is>
      </c>
      <c r="B1017" s="73" t="n">
        <v>11</v>
      </c>
      <c r="C1017" s="73" t="inlineStr">
        <is>
          <t>Docker Desktop Linux containers, Flutter web, AI disabled</t>
        </is>
      </c>
    </row>
    <row r="1018" ht="30" customHeight="1" s="78">
      <c r="A1018" s="73" t="inlineStr">
        <is>
          <t>QA-015</t>
        </is>
      </c>
      <c r="B1018" s="73" t="n">
        <v>12</v>
      </c>
      <c r="C1018" s="73" t="n"/>
    </row>
    <row r="1019" ht="30" customHeight="1" s="78">
      <c r="A1019" s="73" t="inlineStr">
        <is>
          <t>QA-015</t>
        </is>
      </c>
      <c r="B1019" s="73" t="n">
        <v>13</v>
      </c>
      <c r="C1019" s="73" t="inlineStr">
        <is>
          <t>## Decision</t>
        </is>
      </c>
    </row>
    <row r="1020" ht="30" customHeight="1" s="78">
      <c r="A1020" s="73" t="inlineStr">
        <is>
          <t>QA-015</t>
        </is>
      </c>
      <c r="B1020" s="73" t="n">
        <v>14</v>
      </c>
      <c r="C1020" s="73" t="n"/>
    </row>
    <row r="1021" ht="30" customHeight="1" s="78">
      <c r="A1021" s="73" t="inlineStr">
        <is>
          <t>QA-015</t>
        </is>
      </c>
      <c r="B1021" s="73" t="n">
        <v>15</v>
      </c>
      <c r="C1021" s="73" t="inlineStr">
        <is>
          <t>**PASS for the V5.2 Basic Analytics implementation in local staging.** The</t>
        </is>
      </c>
    </row>
    <row r="1022" ht="30" customHeight="1" s="78">
      <c r="A1022" s="73" t="inlineStr">
        <is>
          <t>QA-015</t>
        </is>
      </c>
      <c r="B1022" s="73" t="n">
        <v>16</v>
      </c>
      <c r="C1022" s="73" t="inlineStr">
        <is>
          <t>application now calculates and displays the 55 implemented Phase 1 metric</t>
        </is>
      </c>
    </row>
    <row r="1023" ht="30" customHeight="1" s="78">
      <c r="A1023" s="73" t="inlineStr">
        <is>
          <t>QA-015</t>
        </is>
      </c>
      <c r="B1023" s="73" t="n">
        <v>17</v>
      </c>
      <c r="C1023" s="73" t="inlineStr">
        <is>
          <t>definitions while preserving deterministic test-case grading. Students see</t>
        </is>
      </c>
    </row>
    <row r="1024" ht="30" customHeight="1" s="78">
      <c r="A1024" s="73" t="inlineStr">
        <is>
          <t>QA-015</t>
        </is>
      </c>
      <c r="B1024" s="73" t="n">
        <v>18</v>
      </c>
      <c r="C1024" s="73" t="inlineStr">
        <is>
          <t>only their own versioned progress and safe attempt history. Instructors see</t>
        </is>
      </c>
    </row>
    <row r="1025" ht="30" customHeight="1" s="78">
      <c r="A1025" s="73" t="inlineStr">
        <is>
          <t>QA-015</t>
        </is>
      </c>
      <c r="B1025" s="73" t="n">
        <v>19</v>
      </c>
      <c r="C1025" s="73" t="inlineStr">
        <is>
          <t>participant-code, assignment, classroom, and data-health summaries.</t>
        </is>
      </c>
    </row>
    <row r="1026" ht="30" customHeight="1" s="78">
      <c r="A1026" s="73" t="inlineStr">
        <is>
          <t>QA-015</t>
        </is>
      </c>
      <c r="B1026" s="73" t="n">
        <v>20</v>
      </c>
      <c r="C1026" s="73" t="n"/>
    </row>
    <row r="1027" ht="30" customHeight="1" s="78">
      <c r="A1027" s="73" t="inlineStr">
        <is>
          <t>QA-015</t>
        </is>
      </c>
      <c r="B1027" s="73" t="n">
        <v>21</v>
      </c>
      <c r="C1027" s="73" t="inlineStr">
        <is>
          <t>Promotion is not approved by this report. No commit, push, or production change</t>
        </is>
      </c>
    </row>
    <row r="1028" ht="30" customHeight="1" s="78">
      <c r="A1028" s="73" t="inlineStr">
        <is>
          <t>QA-015</t>
        </is>
      </c>
      <c r="B1028" s="73" t="n">
        <v>22</v>
      </c>
      <c r="C1028" s="73" t="inlineStr">
        <is>
          <t>was performed. The repository-level release check remains **BLOCKED** by</t>
        </is>
      </c>
    </row>
    <row r="1029" ht="30" customHeight="1" s="78">
      <c r="A1029" s="73" t="inlineStr">
        <is>
          <t>QA-015</t>
        </is>
      </c>
      <c r="B1029" s="73" t="n">
        <v>23</v>
      </c>
      <c r="C1029" s="73" t="inlineStr">
        <is>
          <t>untracked database backup files outside this implementation, and the Excel</t>
        </is>
      </c>
    </row>
    <row r="1030" ht="30" customHeight="1" s="78">
      <c r="A1030" s="73" t="inlineStr">
        <is>
          <t>QA-015</t>
        </is>
      </c>
      <c r="B1030" s="73" t="n">
        <v>24</v>
      </c>
      <c r="C1030" s="73" t="inlineStr">
        <is>
          <t>checklist remains **BLOCKED** by the unavailable approved spreadsheet runtime.</t>
        </is>
      </c>
    </row>
    <row r="1031" ht="30" customHeight="1" s="78">
      <c r="A1031" s="73" t="inlineStr">
        <is>
          <t>QA-015</t>
        </is>
      </c>
      <c r="B1031" s="73" t="n">
        <v>25</v>
      </c>
      <c r="C1031" s="73" t="n"/>
    </row>
    <row r="1032" ht="30" customHeight="1" s="78">
      <c r="A1032" s="73" t="inlineStr">
        <is>
          <t>QA-015</t>
        </is>
      </c>
      <c r="B1032" s="73" t="n">
        <v>26</v>
      </c>
      <c r="C1032" s="73" t="inlineStr">
        <is>
          <t>## Implementation verification</t>
        </is>
      </c>
    </row>
    <row r="1033" ht="30" customHeight="1" s="78">
      <c r="A1033" s="73" t="inlineStr">
        <is>
          <t>QA-015</t>
        </is>
      </c>
      <c r="B1033" s="73" t="n">
        <v>27</v>
      </c>
      <c r="C1033" s="73" t="n"/>
    </row>
    <row r="1034" ht="30" customHeight="1" s="78">
      <c r="A1034" s="73" t="inlineStr">
        <is>
          <t>QA-015</t>
        </is>
      </c>
      <c r="B1034" s="73" t="n">
        <v>28</v>
      </c>
      <c r="C1034" s="73" t="inlineStr">
        <is>
          <t>| Feature or issue | Change made | Test performed | Result | Remaining limitation |</t>
        </is>
      </c>
    </row>
    <row r="1035" ht="30" customHeight="1" s="78">
      <c r="A1035" s="73" t="inlineStr">
        <is>
          <t>QA-015</t>
        </is>
      </c>
      <c r="B1035" s="73" t="n">
        <v>29</v>
      </c>
      <c r="C1035" s="73" t="inlineStr">
        <is>
          <t>| --- | --- | --- | --- | --- |</t>
        </is>
      </c>
    </row>
    <row r="1036" ht="39.95" customHeight="1" s="78">
      <c r="A1036" s="73" t="inlineStr">
        <is>
          <t>QA-015</t>
        </is>
      </c>
      <c r="B1036" s="73" t="n">
        <v>30</v>
      </c>
      <c r="C1036" s="73" t="inlineStr">
        <is>
          <t>| Three-phase metric plan | Assigned all 161 candidate metrics to Basic, Moderate, or Advanced and exposed only the 55 implemented Basic definitions | Metric-catalog count assertion, API test, PDF reconciliation | PASS | Moderate and Advanced remain roadmap only |</t>
        </is>
      </c>
    </row>
    <row r="1037" ht="39.95" customHeight="1" s="78">
      <c r="A1037" s="73" t="inlineStr">
        <is>
          <t>QA-015</t>
        </is>
      </c>
      <c r="B1037" s="73" t="n">
        <v>31</v>
      </c>
      <c r="C1037" s="73" t="inlineStr">
        <is>
          <t>| Versioned activity | Added one activity record per student, assignment ID, and exact version | Fresh migration and populated-schema migration tests | PASS | Pre-V5.2 time remains unavailable by design |</t>
        </is>
      </c>
    </row>
    <row r="1038" ht="39.95" customHeight="1" s="78">
      <c r="A1038" s="73" t="inlineStr">
        <is>
          <t>QA-015</t>
        </is>
      </c>
      <c r="B1038" s="73" t="n">
        <v>32</v>
      </c>
      <c r="C1038" s="73" t="inlineStr">
        <is>
          <t>| Active-time capture | Heartbeat counts only visible, recently interactive use within 15 minutes | Controlled-clock active, idle, and multi-session tests | PASS | Browser timing is observational, not biometric attention measurement |</t>
        </is>
      </c>
    </row>
    <row r="1039" ht="39.95" customHeight="1" s="78">
      <c r="A1039" s="73" t="inlineStr">
        <is>
          <t>QA-015</t>
        </is>
      </c>
      <c r="B1039" s="73" t="n">
        <v>33</v>
      </c>
      <c r="C1039" s="73" t="inlineStr">
        <is>
          <t>| Completion definitions | First valid passing Run or Submit freezes active and elapsed completion time | Formula and first-success tests | PASS | Historical completion time is null when no activity record exists |</t>
        </is>
      </c>
    </row>
    <row r="1040" ht="39.95" customHeight="1" s="78">
      <c r="A1040" s="73" t="inlineStr">
        <is>
          <t>QA-015</t>
        </is>
      </c>
      <c r="B1040" s="73" t="n">
        <v>34</v>
      </c>
      <c r="C1040" s="73" t="inlineStr">
        <is>
          <t>| Student analytics | Added overview, assignment/version summaries, safe attempt history, and metric definitions | Widget tests plus rendered desktop QA | PASS | Student class comparisons intentionally excluded |</t>
        </is>
      </c>
    </row>
    <row r="1041" ht="39.95" customHeight="1" s="78">
      <c r="A1041" s="73" t="inlineStr">
        <is>
          <t>QA-015</t>
        </is>
      </c>
      <c r="B1041" s="73" t="n">
        <v>35</v>
      </c>
      <c r="C1041" s="73" t="inlineStr">
        <is>
          <t>| Instructor analytics | Added classroom, participant, assignment, hidden aggregate, and data-health catalogs | API authorization tests plus rendered desktop/mobile QA | PASS | Current restored dataset has nine historical instructor-owned submissions flagged as orphan research records |</t>
        </is>
      </c>
    </row>
    <row r="1042" ht="39.95" customHeight="1" s="78">
      <c r="A1042" s="73" t="inlineStr">
        <is>
          <t>QA-015</t>
        </is>
      </c>
      <c r="B1042" s="73" t="n">
        <v>36</v>
      </c>
      <c r="C1042" s="73" t="inlineStr">
        <is>
          <t>| Attempt pagination | Added student-self and instructor-authorized paginated endpoints | Pagination, cross-student denial, and unauthorized-access tests | PASS | Compatibility payload still retains its existing non-paginated attempt field |</t>
        </is>
      </c>
    </row>
    <row r="1043" ht="39.95" customHeight="1" s="78">
      <c r="A1043" s="73" t="inlineStr">
        <is>
          <t>QA-015</t>
        </is>
      </c>
      <c r="B1043" s="73" t="n">
        <v>37</v>
      </c>
      <c r="C1043" s="73" t="inlineStr">
        <is>
          <t>| Privacy | Excluded login IDs, credentials, source snapshots, hidden-test identities/content, and official solutions | API response scans and role-boundary tests | PASS | Instructors receive only hidden-test aggregate percentages |</t>
        </is>
      </c>
    </row>
    <row r="1044" ht="54" customHeight="1" s="78">
      <c r="A1044" s="73" t="inlineStr">
        <is>
          <t>QA-015</t>
        </is>
      </c>
      <c r="B1044" s="73" t="n">
        <v>38</v>
      </c>
      <c r="C1044" s="73" t="inlineStr">
        <is>
          <t>| Demo boundary | Protected password accounts from the obsolete demo flag; kept `/auth/demo` ephemeral | New account-file regression test, restart, database inspection, and rendered instructor QA | PASS | Old demo-tagged records remain historical data but no longer contaminate current aggregates |</t>
        </is>
      </c>
    </row>
    <row r="1045" ht="39.95" customHeight="1" s="78">
      <c r="A1045" s="73" t="inlineStr">
        <is>
          <t>QA-015</t>
        </is>
      </c>
      <c r="B1045" s="73" t="n">
        <v>39</v>
      </c>
      <c r="C1045" s="73" t="inlineStr">
        <is>
          <t>| Exports | Added participant-assignment and class-assignment datasets to CSV/Excel exports | Dataset reconciliation and formula tests | PASS | Manual workbook download was not repeated in the browser because it creates a local download artifact |</t>
        </is>
      </c>
    </row>
    <row r="1046" ht="39.95" customHeight="1" s="78">
      <c r="A1046" s="73" t="inlineStr">
        <is>
          <t>QA-015</t>
        </is>
      </c>
      <c r="B1046" s="73" t="n">
        <v>40</v>
      </c>
      <c r="C1046" s="73" t="inlineStr">
        <is>
          <t>| Data health | Added missing-version, duplicate, orphan, timestamp, demo, and export checks | API tests and rendered dashboard inspection | PASS | Nine historical instructor submissions are correctly reported for later governed cleanup |</t>
        </is>
      </c>
    </row>
    <row r="1047" ht="39.95" customHeight="1" s="78">
      <c r="A1047" s="73" t="inlineStr">
        <is>
          <t>QA-015</t>
        </is>
      </c>
      <c r="B1047" s="73" t="n">
        <v>41</v>
      </c>
      <c r="C1047" s="73" t="inlineStr">
        <is>
          <t>| AI boundary | Counted optional AI interactions without using them in scores | Backend analytics tests and existing tutor tests | PASS | Paid-provider response quality is outside Phase 1 and was not invoked |</t>
        </is>
      </c>
    </row>
    <row r="1048" ht="30" customHeight="1" s="78">
      <c r="A1048" s="73" t="inlineStr">
        <is>
          <t>QA-015</t>
        </is>
      </c>
      <c r="B1048" s="73" t="n">
        <v>42</v>
      </c>
      <c r="C1048" s="73" t="n"/>
    </row>
    <row r="1049" ht="30" customHeight="1" s="78">
      <c r="A1049" s="73" t="inlineStr">
        <is>
          <t>QA-015</t>
        </is>
      </c>
      <c r="B1049" s="73" t="n">
        <v>43</v>
      </c>
      <c r="C1049" s="73" t="inlineStr">
        <is>
          <t>## Assignment and execution QA</t>
        </is>
      </c>
    </row>
    <row r="1050" ht="30" customHeight="1" s="78">
      <c r="A1050" s="73" t="inlineStr">
        <is>
          <t>QA-015</t>
        </is>
      </c>
      <c r="B1050" s="73" t="n">
        <v>44</v>
      </c>
      <c r="C1050" s="73" t="n"/>
    </row>
    <row r="1051" ht="30" customHeight="1" s="78">
      <c r="A1051" s="73" t="inlineStr">
        <is>
          <t>QA-015</t>
        </is>
      </c>
      <c r="B1051" s="73" t="n">
        <v>45</v>
      </c>
      <c r="C1051" s="73" t="inlineStr">
        <is>
          <t>| Scenario | Evidence | Result |</t>
        </is>
      </c>
    </row>
    <row r="1052" ht="30" customHeight="1" s="78">
      <c r="A1052" s="73" t="inlineStr">
        <is>
          <t>QA-015</t>
        </is>
      </c>
      <c r="B1052" s="73" t="n">
        <v>46</v>
      </c>
      <c r="C1052" s="73" t="inlineStr">
        <is>
          <t>| --- | --- | --- |</t>
        </is>
      </c>
    </row>
    <row r="1053" ht="30" customHeight="1" s="78">
      <c r="A1053" s="73" t="inlineStr">
        <is>
          <t>QA-015</t>
        </is>
      </c>
      <c r="B1053" s="73" t="n">
        <v>47</v>
      </c>
      <c r="C1053" s="73" t="inlineStr">
        <is>
          <t>| Assignments 1-4 maintained answers | Classroom readiness suite executed every maintained Python answer | PASS |</t>
        </is>
      </c>
    </row>
    <row r="1054" ht="30" customHeight="1" s="78">
      <c r="A1054" s="73" t="inlineStr">
        <is>
          <t>QA-015</t>
        </is>
      </c>
      <c r="B1054" s="73" t="n">
        <v>48</v>
      </c>
      <c r="C1054" s="73" t="inlineStr">
        <is>
          <t>| Assignments 5-6 maintained answers | Real pinned ROS 2 Docker grader returned Assignment 5 `7/7` and Assignment 6 `9/9` | PASS |</t>
        </is>
      </c>
    </row>
    <row r="1055" ht="30" customHeight="1" s="78">
      <c r="A1055" s="73" t="inlineStr">
        <is>
          <t>QA-015</t>
        </is>
      </c>
      <c r="B1055" s="73" t="n">
        <v>49</v>
      </c>
      <c r="C1055" s="73" t="inlineStr">
        <is>
          <t>| Incorrect Python submission | Structured non-passing grader evidence | PASS |</t>
        </is>
      </c>
    </row>
    <row r="1056" ht="30" customHeight="1" s="78">
      <c r="A1056" s="73" t="inlineStr">
        <is>
          <t>QA-015</t>
        </is>
      </c>
      <c r="B1056" s="73" t="n">
        <v>50</v>
      </c>
      <c r="C1056" s="73" t="inlineStr">
        <is>
          <t>| Syntax error | Safe `syntax_error` classification | PASS |</t>
        </is>
      </c>
    </row>
    <row r="1057" ht="30" customHeight="1" s="78">
      <c r="A1057" s="73" t="inlineStr">
        <is>
          <t>QA-015</t>
        </is>
      </c>
      <c r="B1057" s="73" t="n">
        <v>51</v>
      </c>
      <c r="C1057" s="73" t="inlineStr">
        <is>
          <t>| Runtime error | Safe `runtime_error` classification | PASS |</t>
        </is>
      </c>
    </row>
    <row r="1058" ht="30" customHeight="1" s="78">
      <c r="A1058" s="73" t="inlineStr">
        <is>
          <t>QA-015</t>
        </is>
      </c>
      <c r="B1058" s="73" t="n">
        <v>52</v>
      </c>
      <c r="C1058" s="73" t="inlineStr">
        <is>
          <t>| Infinite loop | Bounded execution returned `timeout` | PASS |</t>
        </is>
      </c>
    </row>
    <row r="1059" ht="30" customHeight="1" s="78">
      <c r="A1059" s="73" t="inlineStr">
        <is>
          <t>QA-015</t>
        </is>
      </c>
      <c r="B1059" s="73" t="n">
        <v>53</v>
      </c>
      <c r="C1059" s="73" t="inlineStr">
        <is>
          <t>| Unsafe import | Safety policy rejected the submission without executing it | PASS |</t>
        </is>
      </c>
    </row>
    <row r="1060" ht="30" customHeight="1" s="78">
      <c r="A1060" s="73" t="inlineStr">
        <is>
          <t>QA-015</t>
        </is>
      </c>
      <c r="B1060" s="73" t="n">
        <v>54</v>
      </c>
      <c r="C1060" s="73" t="inlineStr">
        <is>
          <t>| Excessive output | Output was capped and marked truncated | PASS |</t>
        </is>
      </c>
    </row>
    <row r="1061" ht="30" customHeight="1" s="78">
      <c r="A1061" s="73" t="inlineStr">
        <is>
          <t>QA-015</t>
        </is>
      </c>
      <c r="B1061" s="73" t="n">
        <v>55</v>
      </c>
      <c r="C1061" s="73" t="inlineStr">
        <is>
          <t>| Oversized submission | HTTP 413 plus a safe size-limit analytics record | PASS |</t>
        </is>
      </c>
    </row>
    <row r="1062" ht="30" customHeight="1" s="78">
      <c r="A1062" s="73" t="inlineStr">
        <is>
          <t>QA-015</t>
        </is>
      </c>
      <c r="B1062" s="73" t="n">
        <v>56</v>
      </c>
      <c r="C1062" s="73" t="inlineStr">
        <is>
          <t>| Incorrect ROS behavior | ROS assignment tests rejected nonconforming observable behavior | PASS |</t>
        </is>
      </c>
    </row>
    <row r="1063" ht="30" customHeight="1" s="78">
      <c r="A1063" s="73" t="inlineStr">
        <is>
          <t>QA-015</t>
        </is>
      </c>
      <c r="B1063" s="73" t="n">
        <v>57</v>
      </c>
      <c r="C1063" s="73" t="n"/>
    </row>
    <row r="1064" ht="30" customHeight="1" s="78">
      <c r="A1064" s="73" t="inlineStr">
        <is>
          <t>QA-015</t>
        </is>
      </c>
      <c r="B1064" s="73" t="n">
        <v>58</v>
      </c>
      <c r="C1064" s="73" t="inlineStr">
        <is>
          <t>The focused classroom, execution-safety, and ROS regression group passed all 31</t>
        </is>
      </c>
    </row>
    <row r="1065" ht="30" customHeight="1" s="78">
      <c r="A1065" s="73" t="inlineStr">
        <is>
          <t>QA-015</t>
        </is>
      </c>
      <c r="B1065" s="73" t="n">
        <v>59</v>
      </c>
      <c r="C1065" s="73" t="inlineStr">
        <is>
          <t>tests. Python-only syntax/import/output cases are not applied to locked ROS</t>
        </is>
      </c>
    </row>
    <row r="1066" ht="30" customHeight="1" s="78">
      <c r="A1066" s="73" t="inlineStr">
        <is>
          <t>QA-015</t>
        </is>
      </c>
      <c r="B1066" s="73" t="n">
        <v>60</v>
      </c>
      <c r="C1066" s="73" t="inlineStr">
        <is>
          <t>package files as if they were equivalent; ROS behavior is checked by its</t>
        </is>
      </c>
    </row>
    <row r="1067" ht="30" customHeight="1" s="78">
      <c r="A1067" s="73" t="inlineStr">
        <is>
          <t>QA-015</t>
        </is>
      </c>
      <c r="B1067" s="73" t="n">
        <v>61</v>
      </c>
      <c r="C1067" s="73" t="inlineStr">
        <is>
          <t>containerized build, node, topic, timing, and stop-condition harness.</t>
        </is>
      </c>
    </row>
    <row r="1068" ht="30" customHeight="1" s="78">
      <c r="A1068" s="73" t="inlineStr">
        <is>
          <t>QA-015</t>
        </is>
      </c>
      <c r="B1068" s="73" t="n">
        <v>62</v>
      </c>
      <c r="C1068" s="73" t="n"/>
    </row>
    <row r="1069" ht="30" customHeight="1" s="78">
      <c r="A1069" s="73" t="inlineStr">
        <is>
          <t>QA-015</t>
        </is>
      </c>
      <c r="B1069" s="73" t="n">
        <v>63</v>
      </c>
      <c r="C1069" s="73" t="inlineStr">
        <is>
          <t>## Full automated gate</t>
        </is>
      </c>
    </row>
    <row r="1070" ht="30" customHeight="1" s="78">
      <c r="A1070" s="73" t="inlineStr">
        <is>
          <t>QA-015</t>
        </is>
      </c>
      <c r="B1070" s="73" t="n">
        <v>64</v>
      </c>
      <c r="C1070" s="73" t="n"/>
    </row>
    <row r="1071" ht="30" customHeight="1" s="78">
      <c r="A1071" s="73" t="inlineStr">
        <is>
          <t>QA-015</t>
        </is>
      </c>
      <c r="B1071" s="73" t="n">
        <v>65</v>
      </c>
      <c r="C1071" s="73" t="inlineStr">
        <is>
          <t>| Gate | Result |</t>
        </is>
      </c>
    </row>
    <row r="1072" ht="30" customHeight="1" s="78">
      <c r="A1072" s="73" t="inlineStr">
        <is>
          <t>QA-015</t>
        </is>
      </c>
      <c r="B1072" s="73" t="n">
        <v>66</v>
      </c>
      <c r="C1072" s="73" t="inlineStr">
        <is>
          <t>| --- | --- |</t>
        </is>
      </c>
    </row>
    <row r="1073" ht="30" customHeight="1" s="78">
      <c r="A1073" s="73" t="inlineStr">
        <is>
          <t>QA-015</t>
        </is>
      </c>
      <c r="B1073" s="73" t="n">
        <v>67</v>
      </c>
      <c r="C1073" s="73" t="inlineStr">
        <is>
          <t>| Backend regression after final fix | PASS, 179 tests |</t>
        </is>
      </c>
    </row>
    <row r="1074" ht="30" customHeight="1" s="78">
      <c r="A1074" s="73" t="inlineStr">
        <is>
          <t>QA-015</t>
        </is>
      </c>
      <c r="B1074" s="73" t="n">
        <v>68</v>
      </c>
      <c r="C1074" s="73" t="inlineStr">
        <is>
          <t>| Python dependencies | PASS, no broken requirements |</t>
        </is>
      </c>
    </row>
    <row r="1075" ht="30" customHeight="1" s="78">
      <c r="A1075" s="73" t="inlineStr">
        <is>
          <t>QA-015</t>
        </is>
      </c>
      <c r="B1075" s="73" t="n">
        <v>69</v>
      </c>
      <c r="C1075" s="73" t="inlineStr">
        <is>
          <t>| Python compilation | PASS |</t>
        </is>
      </c>
    </row>
    <row r="1076" ht="30" customHeight="1" s="78">
      <c r="A1076" s="73" t="inlineStr">
        <is>
          <t>QA-015</t>
        </is>
      </c>
      <c r="B1076" s="73" t="n">
        <v>70</v>
      </c>
      <c r="C1076" s="73" t="inlineStr">
        <is>
          <t>| Fresh PostgreSQL migration | PASS through `0004_basic_research_analytics` |</t>
        </is>
      </c>
    </row>
    <row r="1077" ht="30" customHeight="1" s="78">
      <c r="A1077" s="73" t="inlineStr">
        <is>
          <t>QA-015</t>
        </is>
      </c>
      <c r="B1077" s="73" t="n">
        <v>71</v>
      </c>
      <c r="C1077" s="73" t="inlineStr">
        <is>
          <t>| Populated database migration | PASS; existing attempts unchanged |</t>
        </is>
      </c>
    </row>
    <row r="1078" ht="30" customHeight="1" s="78">
      <c r="A1078" s="73" t="inlineStr">
        <is>
          <t>QA-015</t>
        </is>
      </c>
      <c r="B1078" s="73" t="n">
        <v>72</v>
      </c>
      <c r="C1078" s="73" t="inlineStr">
        <is>
          <t>| PostgreSQL backup/checksum/restart restore | PASS; all application table counts reconciled |</t>
        </is>
      </c>
    </row>
    <row r="1079" ht="30" customHeight="1" s="78">
      <c r="A1079" s="73" t="inlineStr">
        <is>
          <t>QA-015</t>
        </is>
      </c>
      <c r="B1079" s="73" t="n">
        <v>73</v>
      </c>
      <c r="C1079" s="73" t="inlineStr">
        <is>
          <t>| Real ROS 2 Docker answers | PASS, Assignments 5 and 6 |</t>
        </is>
      </c>
    </row>
    <row r="1080" ht="30" customHeight="1" s="78">
      <c r="A1080" s="73" t="inlineStr">
        <is>
          <t>QA-015</t>
        </is>
      </c>
      <c r="B1080" s="73" t="n">
        <v>74</v>
      </c>
      <c r="C1080" s="73" t="inlineStr">
        <is>
          <t>| Flutter analysis | PASS, no issues |</t>
        </is>
      </c>
    </row>
    <row r="1081" ht="30" customHeight="1" s="78">
      <c r="A1081" s="73" t="inlineStr">
        <is>
          <t>QA-015</t>
        </is>
      </c>
      <c r="B1081" s="73" t="n">
        <v>75</v>
      </c>
      <c r="C1081" s="73" t="inlineStr">
        <is>
          <t>| Flutter tests | PASS, 50 tests |</t>
        </is>
      </c>
    </row>
    <row r="1082" ht="30" customHeight="1" s="78">
      <c r="A1082" s="73" t="inlineStr">
        <is>
          <t>QA-015</t>
        </is>
      </c>
      <c r="B1082" s="73" t="n">
        <v>76</v>
      </c>
      <c r="C1082" s="73" t="inlineStr">
        <is>
          <t>| Flutter release web build | PASS |</t>
        </is>
      </c>
    </row>
    <row r="1083" ht="30" customHeight="1" s="78">
      <c r="A1083" s="73" t="inlineStr">
        <is>
          <t>QA-015</t>
        </is>
      </c>
      <c r="B1083" s="73" t="n">
        <v>77</v>
      </c>
      <c r="C1083" s="73" t="inlineStr">
        <is>
          <t>| Git whitespace check | PASS |</t>
        </is>
      </c>
    </row>
    <row r="1084" ht="39.95" customHeight="1" s="78">
      <c r="A1084" s="73" t="inlineStr">
        <is>
          <t>QA-015</t>
        </is>
      </c>
      <c r="B1084" s="73" t="n">
        <v>78</v>
      </c>
      <c r="C1084" s="73" t="inlineStr">
        <is>
          <t>| Repository source-safety check | PASS after the owner-approved backup-folder consolidation; legacy dumps are preserved inside ignored `local_handoff_package/history` |</t>
        </is>
      </c>
    </row>
    <row r="1085" ht="30" customHeight="1" s="78">
      <c r="A1085" s="73" t="inlineStr">
        <is>
          <t>QA-015</t>
        </is>
      </c>
      <c r="B1085" s="73" t="n">
        <v>79</v>
      </c>
      <c r="C1085" s="73" t="n"/>
    </row>
    <row r="1086" ht="30" customHeight="1" s="78">
      <c r="A1086" s="73" t="inlineStr">
        <is>
          <t>QA-015</t>
        </is>
      </c>
      <c r="B1086" s="73" t="n">
        <v>80</v>
      </c>
      <c r="C1086" s="73" t="inlineStr">
        <is>
          <t>## Rendered manual QA</t>
        </is>
      </c>
    </row>
    <row r="1087" ht="30" customHeight="1" s="78">
      <c r="A1087" s="73" t="inlineStr">
        <is>
          <t>QA-015</t>
        </is>
      </c>
      <c r="B1087" s="73" t="n">
        <v>81</v>
      </c>
      <c r="C1087" s="73" t="n"/>
    </row>
    <row r="1088" ht="30" customHeight="1" s="78">
      <c r="A1088" s="73" t="inlineStr">
        <is>
          <t>QA-015</t>
        </is>
      </c>
      <c r="B1088" s="73" t="n">
        <v>82</v>
      </c>
      <c r="C1088" s="73" t="inlineStr">
        <is>
          <t>| Flow | Actual result | Result |</t>
        </is>
      </c>
    </row>
    <row r="1089" ht="30" customHeight="1" s="78">
      <c r="A1089" s="73" t="inlineStr">
        <is>
          <t>QA-015</t>
        </is>
      </c>
      <c r="B1089" s="73" t="n">
        <v>83</v>
      </c>
      <c r="C1089" s="73" t="inlineStr">
        <is>
          <t>| --- | --- | --- |</t>
        </is>
      </c>
    </row>
    <row r="1090" ht="30" customHeight="1" s="78">
      <c r="A1090" s="73" t="inlineStr">
        <is>
          <t>QA-015</t>
        </is>
      </c>
      <c r="B1090" s="73" t="n">
        <v>84</v>
      </c>
      <c r="C1090" s="73" t="inlineStr">
        <is>
          <t>| Login and six-assignment catalog | Student and instructor password accounts opened the current six-assignment application | PASS |</t>
        </is>
      </c>
    </row>
    <row r="1091" ht="30" customHeight="1" s="78">
      <c r="A1091" s="73" t="inlineStr">
        <is>
          <t>QA-015</t>
        </is>
      </c>
      <c r="B1091" s="73" t="n">
        <v>85</v>
      </c>
      <c r="C1091" s="73" t="inlineStr">
        <is>
          <t>| Student overview | Completion, attempts, best score, and active time rendered | PASS |</t>
        </is>
      </c>
    </row>
    <row r="1092" ht="30" customHeight="1" s="78">
      <c r="A1092" s="73" t="inlineStr">
        <is>
          <t>QA-015</t>
        </is>
      </c>
      <c r="B1092" s="73" t="n">
        <v>86</v>
      </c>
      <c r="C1092" s="73" t="inlineStr">
        <is>
          <t>| Student assignment analytics | All six current assignment versions plus historical versions rendered separately | PASS |</t>
        </is>
      </c>
    </row>
    <row r="1093" ht="30" customHeight="1" s="78">
      <c r="A1093" s="73" t="inlineStr">
        <is>
          <t>QA-015</t>
        </is>
      </c>
      <c r="B1093" s="73" t="n">
        <v>87</v>
      </c>
      <c r="C1093" s="73" t="inlineStr">
        <is>
          <t>| Student attempt history | Safe statuses and visible attempt numbers rendered newest first | PASS |</t>
        </is>
      </c>
    </row>
    <row r="1094" ht="30" customHeight="1" s="78">
      <c r="A1094" s="73" t="inlineStr">
        <is>
          <t>QA-015</t>
        </is>
      </c>
      <c r="B1094" s="73" t="n">
        <v>88</v>
      </c>
      <c r="C1094" s="73" t="inlineStr">
        <is>
          <t>| Student metric catalog | Exactly 55 implemented definitions and catalog version 1.1 rendered | PASS |</t>
        </is>
      </c>
    </row>
    <row r="1095" ht="30" customHeight="1" s="78">
      <c r="A1095" s="73" t="inlineStr">
        <is>
          <t>QA-015</t>
        </is>
      </c>
      <c r="B1095" s="73" t="n">
        <v>89</v>
      </c>
      <c r="C1095" s="73" t="inlineStr">
        <is>
          <t>| Instructor overview | Persistent student appeared by participant code with aggregate totals | PASS |</t>
        </is>
      </c>
    </row>
    <row r="1096" ht="30" customHeight="1" s="78">
      <c r="A1096" s="73" t="inlineStr">
        <is>
          <t>QA-015</t>
        </is>
      </c>
      <c r="B1096" s="73" t="n">
        <v>90</v>
      </c>
      <c r="C1096" s="73" t="inlineStr">
        <is>
          <t>| Instructor assignment catalog | All six current versions rendered with completion summaries | PASS |</t>
        </is>
      </c>
    </row>
    <row r="1097" ht="30" customHeight="1" s="78">
      <c r="A1097" s="73" t="inlineStr">
        <is>
          <t>QA-015</t>
        </is>
      </c>
      <c r="B1097" s="73" t="n">
        <v>91</v>
      </c>
      <c r="C1097" s="73" t="inlineStr">
        <is>
          <t>| Data health | Zero missing versions, duplicates, timestamp errors, and demo contamination; export reconciliation PASS | PASS |</t>
        </is>
      </c>
    </row>
    <row r="1098" ht="39.95" customHeight="1" s="78">
      <c r="A1098" s="73" t="inlineStr">
        <is>
          <t>QA-015</t>
        </is>
      </c>
      <c r="B1098" s="73" t="n">
        <v>92</v>
      </c>
      <c r="C1098" s="73" t="inlineStr">
        <is>
          <t>| Credential-free demo | Opened Assignment 1 and ran its tests; authentication sessions, study sessions, learning events, and submissions remained exactly `76/16/38/63` before and after | PASS |</t>
        </is>
      </c>
    </row>
    <row r="1099" ht="30" customHeight="1" s="78">
      <c r="A1099" s="73" t="inlineStr">
        <is>
          <t>QA-015</t>
        </is>
      </c>
      <c r="B1099" s="73" t="n">
        <v>93</v>
      </c>
      <c r="C1099" s="73" t="inlineStr">
        <is>
          <t>| Desktop layout | Student and instructor pages rendered without visible overflow | PASS |</t>
        </is>
      </c>
    </row>
    <row r="1100" ht="30" customHeight="1" s="78">
      <c r="A1100" s="73" t="inlineStr">
        <is>
          <t>QA-015</t>
        </is>
      </c>
      <c r="B1100" s="73" t="n">
        <v>94</v>
      </c>
      <c r="C1100" s="73" t="inlineStr">
        <is>
          <t>| Mobile layout | Instructor home and analytics rendered at 390 x 844 without visible overflow | PASS |</t>
        </is>
      </c>
    </row>
    <row r="1101" ht="30" customHeight="1" s="78">
      <c r="A1101" s="73" t="inlineStr">
        <is>
          <t>QA-015</t>
        </is>
      </c>
      <c r="B1101" s="73" t="n">
        <v>95</v>
      </c>
      <c r="C1101" s="73" t="inlineStr">
        <is>
          <t>| Browser console | No application errors during final student/instructor QA | PASS |</t>
        </is>
      </c>
    </row>
    <row r="1102" ht="30" customHeight="1" s="78">
      <c r="A1102" s="73" t="inlineStr">
        <is>
          <t>QA-015</t>
        </is>
      </c>
      <c r="B1102" s="73" t="n">
        <v>96</v>
      </c>
      <c r="C1102" s="73" t="n"/>
    </row>
    <row r="1103" ht="30" customHeight="1" s="78">
      <c r="A1103" s="73" t="inlineStr">
        <is>
          <t>QA-015</t>
        </is>
      </c>
      <c r="B1103" s="73" t="n">
        <v>97</v>
      </c>
      <c r="C1103" s="73" t="inlineStr">
        <is>
          <t>## Defect found and fixed during QA</t>
        </is>
      </c>
    </row>
    <row r="1104" ht="30" customHeight="1" s="78">
      <c r="A1104" s="73" t="inlineStr">
        <is>
          <t>QA-015</t>
        </is>
      </c>
      <c r="B1104" s="73" t="n">
        <v>98</v>
      </c>
      <c r="C1104" s="73" t="n"/>
    </row>
    <row r="1105" ht="30" customHeight="1" s="78">
      <c r="A1105" s="73" t="inlineStr">
        <is>
          <t>QA-015</t>
        </is>
      </c>
      <c r="B1105" s="73" t="n">
        <v>99</v>
      </c>
      <c r="C1105" s="73" t="inlineStr">
        <is>
          <t>| Defect | Root cause | Fix | Verification | Result |</t>
        </is>
      </c>
    </row>
    <row r="1106" ht="30" customHeight="1" s="78">
      <c r="A1106" s="73" t="inlineStr">
        <is>
          <t>QA-015</t>
        </is>
      </c>
      <c r="B1106" s="73" t="n">
        <v>100</v>
      </c>
      <c r="C1106" s="73" t="inlineStr">
        <is>
          <t>| --- | --- | --- | --- | --- |</t>
        </is>
      </c>
    </row>
    <row r="1107" ht="68.09999999999999" customHeight="1" s="78">
      <c r="A1107" s="73" t="inlineStr">
        <is>
          <t>QA-015</t>
        </is>
      </c>
      <c r="B1107" s="73" t="n">
        <v>101</v>
      </c>
      <c r="C1107" s="73" t="inlineStr">
        <is>
          <t>| Password-authenticated default accounts were excluded as demo users after startup | The tracked account example and local account file reapplied `demo=true` after startup seed logic removed the obsolete flag | Force the two password-account IDs to `demo=false` during JSON synchronization and correct the safe account templates | New regression test, 22 focused auth/research tests, full 179-test backend suite, PostgreSQL restart, and rendered instructor dashboard | PASS |</t>
        </is>
      </c>
    </row>
    <row r="1108" ht="30" customHeight="1" s="78">
      <c r="A1108" s="73" t="inlineStr">
        <is>
          <t>QA-015</t>
        </is>
      </c>
      <c r="B1108" s="73" t="n">
        <v>102</v>
      </c>
      <c r="C1108" s="73" t="n"/>
    </row>
    <row r="1109" ht="30" customHeight="1" s="78">
      <c r="A1109" s="73" t="inlineStr">
        <is>
          <t>QA-015</t>
        </is>
      </c>
      <c r="B1109" s="73" t="n">
        <v>103</v>
      </c>
      <c r="C1109" s="73" t="inlineStr">
        <is>
          <t>## Known limitations and blockers</t>
        </is>
      </c>
    </row>
    <row r="1110" ht="30" customHeight="1" s="78">
      <c r="A1110" s="73" t="inlineStr">
        <is>
          <t>QA-015</t>
        </is>
      </c>
      <c r="B1110" s="73" t="n">
        <v>104</v>
      </c>
      <c r="C1110" s="73" t="n"/>
    </row>
    <row r="1111" ht="30" customHeight="1" s="78">
      <c r="A1111" s="73" t="inlineStr">
        <is>
          <t>QA-015</t>
        </is>
      </c>
      <c r="B1111" s="73" t="n">
        <v>105</v>
      </c>
      <c r="C1111" s="73" t="inlineStr">
        <is>
          <t>| Item | Status | Reason and next action |</t>
        </is>
      </c>
    </row>
    <row r="1112" ht="30" customHeight="1" s="78">
      <c r="A1112" s="73" t="inlineStr">
        <is>
          <t>QA-015</t>
        </is>
      </c>
      <c r="B1112" s="73" t="n">
        <v>106</v>
      </c>
      <c r="C1112" s="73" t="inlineStr">
        <is>
          <t>| --- | --- | --- |</t>
        </is>
      </c>
    </row>
    <row r="1113" ht="39.95" customHeight="1" s="78">
      <c r="A1113" s="73" t="inlineStr">
        <is>
          <t>QA-015</t>
        </is>
      </c>
      <c r="B1113" s="73" t="n">
        <v>107</v>
      </c>
      <c r="C1113" s="73" t="inlineStr">
        <is>
          <t>| Existing orphan research records | PARTIAL | Nine old submissions belong to the instructor account. They are excluded from student/class calculations and surfaced by Data Health. Decide on a governed archive or cleanup separately; this implementation did not delete research history. |</t>
        </is>
      </c>
    </row>
    <row r="1114" ht="39.95" customHeight="1" s="78">
      <c r="A1114" s="73" t="inlineStr">
        <is>
          <t>QA-015</t>
        </is>
      </c>
      <c r="B1114" s="73" t="n">
        <v>108</v>
      </c>
      <c r="C1114" s="73" t="inlineStr">
        <is>
          <t>| Master Excel SQA checklist | BLOCKED | The approved spreadsheet artifact package is unavailable in the bundled runtime. The workbook was not edited with an unsupported library. Copy this report's V5.2 rows into the workbook when the required runtime is restored. |</t>
        </is>
      </c>
    </row>
    <row r="1115" ht="39.95" customHeight="1" s="78">
      <c r="A1115" s="73" t="inlineStr">
        <is>
          <t>QA-015</t>
        </is>
      </c>
      <c r="B1115" s="73" t="n">
        <v>109</v>
      </c>
      <c r="C1115" s="73" t="inlineStr">
        <is>
          <t>| Legacy local database backup folder | RESOLVED | Four older files were preserved under ignored `local_handoff_package/history/legacy-2026-08-25`; the unused duplicate folder was removed and is now ignored if recreated. |</t>
        </is>
      </c>
    </row>
    <row r="1116" ht="39.95" customHeight="1" s="78">
      <c r="A1116" s="73" t="inlineStr">
        <is>
          <t>QA-015</t>
        </is>
      </c>
      <c r="B1116" s="73" t="n">
        <v>110</v>
      </c>
      <c r="C1116" s="73" t="inlineStr">
        <is>
          <t>| Physical second-device browser QA | NOT RUN | Clean-device PostgreSQL restore was automated, but this session did not operate a second physical computer/network. |</t>
        </is>
      </c>
    </row>
    <row r="1117" ht="30" customHeight="1" s="78">
      <c r="A1117" s="73" t="inlineStr">
        <is>
          <t>QA-015</t>
        </is>
      </c>
      <c r="B1117" s="73" t="n">
        <v>111</v>
      </c>
      <c r="C1117" s="73" t="inlineStr">
        <is>
          <t>| Production/live deployment | NOT RUN | Work is staging-only and no promotion authorization was provided. |</t>
        </is>
      </c>
    </row>
    <row r="1118" ht="30" customHeight="1" s="78">
      <c r="A1118" s="73" t="inlineStr">
        <is>
          <t>QA-015</t>
        </is>
      </c>
      <c r="B1118" s="73" t="n">
        <v>112</v>
      </c>
      <c r="C1118" s="73" t="inlineStr">
        <is>
          <t>| OpenAI provider quality | NOT RUN | AI remained disabled and Phase 1 analytics do not depend on paid AI responses. |</t>
        </is>
      </c>
    </row>
    <row r="1119" ht="30" customHeight="1" s="78">
      <c r="A1119" s="73" t="inlineStr">
        <is>
          <t>QA-015</t>
        </is>
      </c>
      <c r="B1119" s="73" t="n">
        <v>113</v>
      </c>
      <c r="C1119" s="73" t="n"/>
    </row>
    <row r="1120" ht="30" customHeight="1" s="78">
      <c r="A1120" s="73" t="inlineStr">
        <is>
          <t>QA-015</t>
        </is>
      </c>
      <c r="B1120" s="73" t="n">
        <v>114</v>
      </c>
      <c r="C1120" s="73" t="inlineStr">
        <is>
          <t>## Files intentionally left untouched</t>
        </is>
      </c>
    </row>
    <row r="1121" ht="30" customHeight="1" s="78">
      <c r="A1121" s="73" t="inlineStr">
        <is>
          <t>QA-015</t>
        </is>
      </c>
      <c r="B1121" s="73" t="n">
        <v>115</v>
      </c>
      <c r="C1121" s="73" t="n"/>
    </row>
    <row r="1122" ht="30" customHeight="1" s="78">
      <c r="A1122" s="73" t="inlineStr">
        <is>
          <t>QA-015</t>
        </is>
      </c>
      <c r="B1122" s="73" t="n">
        <v>116</v>
      </c>
      <c r="C1122" s="73" t="inlineStr">
        <is>
          <t>- `error_laptop.txt`</t>
        </is>
      </c>
    </row>
    <row r="1123" ht="30" customHeight="1" s="78">
      <c r="A1123" s="73" t="inlineStr">
        <is>
          <t>QA-015</t>
        </is>
      </c>
      <c r="B1123" s="73" t="n">
        <v>117</v>
      </c>
      <c r="C1123" s="73" t="inlineStr">
        <is>
          <t>- Existing PostgreSQL research rows, including the nine records flagged by Data Health</t>
        </is>
      </c>
    </row>
    <row r="1124" ht="30" customHeight="1" s="78">
      <c r="A1124" s="73" t="inlineStr">
        <is>
          <t>QA-015</t>
        </is>
      </c>
      <c r="B1124" s="73" t="n">
        <v>118</v>
      </c>
      <c r="C1124" s="73" t="n"/>
    </row>
    <row r="1125" ht="30" customHeight="1" s="78">
      <c r="A1125" s="73" t="inlineStr">
        <is>
          <t>QA-015</t>
        </is>
      </c>
      <c r="B1125" s="73" t="n">
        <v>119</v>
      </c>
      <c r="C1125" s="73" t="inlineStr">
        <is>
          <t>## Conclusion</t>
        </is>
      </c>
    </row>
    <row r="1126" ht="30" customHeight="1" s="78">
      <c r="A1126" s="73" t="inlineStr">
        <is>
          <t>QA-015</t>
        </is>
      </c>
      <c r="B1126" s="73" t="n">
        <v>120</v>
      </c>
      <c r="C1126" s="73" t="n"/>
    </row>
    <row r="1127" ht="30" customHeight="1" s="78">
      <c r="A1127" s="73" t="inlineStr">
        <is>
          <t>QA-015</t>
        </is>
      </c>
      <c r="B1127" s="73" t="n">
        <v>121</v>
      </c>
      <c r="C1127" s="73" t="inlineStr">
        <is>
          <t>V5.2 Basic Analytics is implemented and locally workable. Its code, migration,</t>
        </is>
      </c>
    </row>
    <row r="1128" ht="30" customHeight="1" s="78">
      <c r="A1128" s="73" t="inlineStr">
        <is>
          <t>QA-015</t>
        </is>
      </c>
      <c r="B1128" s="73" t="n">
        <v>122</v>
      </c>
      <c r="C1128" s="73" t="inlineStr">
        <is>
          <t>formulas, permissions, exports, PostgreSQL recovery, six-assignment grading,</t>
        </is>
      </c>
    </row>
    <row r="1129" ht="30" customHeight="1" s="78">
      <c r="A1129" s="73" t="inlineStr">
        <is>
          <t>QA-015</t>
        </is>
      </c>
      <c r="B1129" s="73" t="n">
        <v>123</v>
      </c>
      <c r="C1129" s="73" t="inlineStr">
        <is>
          <t>desktop UI, and mobile UI passed the available acceptance checks. Before a</t>
        </is>
      </c>
    </row>
    <row r="1130" ht="30" customHeight="1" s="78">
      <c r="A1130" s="73" t="inlineStr">
        <is>
          <t>QA-015</t>
        </is>
      </c>
      <c r="B1130" s="73" t="n">
        <v>124</v>
      </c>
      <c r="C1130" s="73" t="inlineStr">
        <is>
          <t>commit or release decision, update the Excel master checklist with the approved</t>
        </is>
      </c>
    </row>
    <row r="1131" ht="30" customHeight="1" s="78">
      <c r="A1131" s="73" t="inlineStr">
        <is>
          <t>QA-015</t>
        </is>
      </c>
      <c r="B1131" s="73" t="n">
        <v>125</v>
      </c>
      <c r="C1131" s="73" t="inlineStr">
        <is>
          <t>spreadsheet runtime.</t>
        </is>
      </c>
    </row>
    <row r="1132" ht="30" customHeight="1" s="78">
      <c r="A1132" s="73" t="inlineStr">
        <is>
          <t>QA-015</t>
        </is>
      </c>
      <c r="B1132" s="73" t="n">
        <v>126</v>
      </c>
      <c r="C1132" s="73" t="n"/>
    </row>
    <row r="1133" ht="30" customHeight="1" s="78">
      <c r="A1133" s="73" t="inlineStr">
        <is>
          <t>QA-016</t>
        </is>
      </c>
      <c r="B1133" s="73" t="n">
        <v>1</v>
      </c>
      <c r="C1133" s="73" t="inlineStr">
        <is>
          <t># V5.4 Assignment and Progress SQA Report</t>
        </is>
      </c>
    </row>
    <row r="1134" ht="30" customHeight="1" s="78">
      <c r="A1134" s="73" t="inlineStr">
        <is>
          <t>QA-016</t>
        </is>
      </c>
      <c r="B1134" s="73" t="n">
        <v>2</v>
      </c>
      <c r="C1134" s="73" t="n"/>
    </row>
    <row r="1135" ht="30" customHeight="1" s="78">
      <c r="A1135" s="73" t="inlineStr">
        <is>
          <t>QA-016</t>
        </is>
      </c>
      <c r="B1135" s="73" t="n">
        <v>3</v>
      </c>
      <c r="C1135" s="73" t="inlineStr">
        <is>
          <t xml:space="preserve">**Date:** 2026-08-30  </t>
        </is>
      </c>
    </row>
    <row r="1136" ht="30" customHeight="1" s="78">
      <c r="A1136" s="73" t="inlineStr">
        <is>
          <t>QA-016</t>
        </is>
      </c>
      <c r="B1136" s="73" t="n">
        <v>4</v>
      </c>
      <c r="C1136" s="73" t="inlineStr">
        <is>
          <t xml:space="preserve">**Scope:** Local staging application only  </t>
        </is>
      </c>
    </row>
    <row r="1137" ht="30" customHeight="1" s="78">
      <c r="A1137" s="73" t="inlineStr">
        <is>
          <t>QA-016</t>
        </is>
      </c>
      <c r="B1137" s="73" t="n">
        <v>5</v>
      </c>
      <c r="C1137" s="73" t="inlineStr">
        <is>
          <t>**AI tutor:** Disabled by design for this test run</t>
        </is>
      </c>
    </row>
    <row r="1138" ht="30" customHeight="1" s="78">
      <c r="A1138" s="73" t="inlineStr">
        <is>
          <t>QA-016</t>
        </is>
      </c>
      <c r="B1138" s="73" t="n">
        <v>6</v>
      </c>
      <c r="C1138" s="73" t="n"/>
    </row>
    <row r="1139" ht="30" customHeight="1" s="78">
      <c r="A1139" s="73" t="inlineStr">
        <is>
          <t>QA-016</t>
        </is>
      </c>
      <c r="B1139" s="73" t="n">
        <v>7</v>
      </c>
      <c r="C1139" s="73" t="inlineStr">
        <is>
          <t>## Result</t>
        </is>
      </c>
    </row>
    <row r="1140" ht="30" customHeight="1" s="78">
      <c r="A1140" s="73" t="inlineStr">
        <is>
          <t>QA-016</t>
        </is>
      </c>
      <c r="B1140" s="73" t="n">
        <v>8</v>
      </c>
      <c r="C1140" s="73" t="n"/>
    </row>
    <row r="1141" ht="30" customHeight="1" s="78">
      <c r="A1141" s="73" t="inlineStr">
        <is>
          <t>QA-016</t>
        </is>
      </c>
      <c r="B1141" s="73" t="n">
        <v>9</v>
      </c>
      <c r="C1141" s="73" t="inlineStr">
        <is>
          <t>The improved content for Assignments 1–6 is present in the application. The</t>
        </is>
      </c>
    </row>
    <row r="1142" ht="30" customHeight="1" s="78">
      <c r="A1142" s="73" t="inlineStr">
        <is>
          <t>QA-016</t>
        </is>
      </c>
      <c r="B1142" s="73" t="n">
        <v>10</v>
      </c>
      <c r="C1142" s="73" t="inlineStr">
        <is>
          <t>student analytics failure was repaired, and percentage-based progress and score</t>
        </is>
      </c>
    </row>
    <row r="1143" ht="30" customHeight="1" s="78">
      <c r="A1143" s="73" t="inlineStr">
        <is>
          <t>QA-016</t>
        </is>
      </c>
      <c r="B1143" s="73" t="n">
        <v>11</v>
      </c>
      <c r="C1143" s="73" t="inlineStr">
        <is>
          <t>colors were added. Automated backend and frontend gates pass.</t>
        </is>
      </c>
    </row>
    <row r="1144" ht="30" customHeight="1" s="78">
      <c r="A1144" s="73" t="inlineStr">
        <is>
          <t>QA-016</t>
        </is>
      </c>
      <c r="B1144" s="73" t="n">
        <v>12</v>
      </c>
      <c r="C1144" s="73" t="n"/>
    </row>
    <row r="1145" ht="30" customHeight="1" s="78">
      <c r="A1145" s="73" t="inlineStr">
        <is>
          <t>QA-016</t>
        </is>
      </c>
      <c r="B1145" s="73" t="n">
        <v>13</v>
      </c>
      <c r="C1145" s="73" t="inlineStr">
        <is>
          <t>## Verification matrix</t>
        </is>
      </c>
    </row>
    <row r="1146" ht="30" customHeight="1" s="78">
      <c r="A1146" s="73" t="inlineStr">
        <is>
          <t>QA-016</t>
        </is>
      </c>
      <c r="B1146" s="73" t="n">
        <v>14</v>
      </c>
      <c r="C1146" s="73" t="n"/>
    </row>
    <row r="1147" ht="30" customHeight="1" s="78">
      <c r="A1147" s="73" t="inlineStr">
        <is>
          <t>QA-016</t>
        </is>
      </c>
      <c r="B1147" s="73" t="n">
        <v>15</v>
      </c>
      <c r="C1147" s="73" t="inlineStr">
        <is>
          <t>| Area | Check | Result | Evidence |</t>
        </is>
      </c>
    </row>
    <row r="1148" ht="30" customHeight="1" s="78">
      <c r="A1148" s="73" t="inlineStr">
        <is>
          <t>QA-016</t>
        </is>
      </c>
      <c r="B1148" s="73" t="n">
        <v>16</v>
      </c>
      <c r="C1148" s="73" t="inlineStr">
        <is>
          <t>|---|---|---:|---|</t>
        </is>
      </c>
    </row>
    <row r="1149" ht="30" customHeight="1" s="78">
      <c r="A1149" s="73" t="inlineStr">
        <is>
          <t>QA-016</t>
        </is>
      </c>
      <c r="B1149" s="73" t="n">
        <v>17</v>
      </c>
      <c r="C1149" s="73" t="inlineStr">
        <is>
          <t>| Assignment content | Improved Assignments 1–6 load from the backend | PASS | Current assignment API and full backend suite |</t>
        </is>
      </c>
    </row>
    <row r="1150" ht="30" customHeight="1" s="78">
      <c r="A1150" s="73" t="inlineStr">
        <is>
          <t>QA-016</t>
        </is>
      </c>
      <c r="B1150" s="73" t="n">
        <v>18</v>
      </c>
      <c r="C1150" s="73" t="inlineStr">
        <is>
          <t>| Assignment visuals | Instruction images 1–6 are available as PNG responses | PASS | `/images/1` through `/images/6` returned HTTP 200 |</t>
        </is>
      </c>
    </row>
    <row r="1151" ht="39.95" customHeight="1" s="78">
      <c r="A1151" s="73" t="inlineStr">
        <is>
          <t>QA-016</t>
        </is>
      </c>
      <c r="B1151" s="73" t="n">
        <v>19</v>
      </c>
      <c r="C1151" s="73" t="inlineStr">
        <is>
          <t>| Student analytics | Multiple attempts no longer cause `/research/me` to return HTTP 500 | PASS | Regression test plus local `student` session returned HTTP 200 |</t>
        </is>
      </c>
    </row>
    <row r="1152" ht="39.95" customHeight="1" s="78">
      <c r="A1152" s="73" t="inlineStr">
        <is>
          <t>QA-016</t>
        </is>
      </c>
      <c r="B1152" s="73" t="n">
        <v>20</v>
      </c>
      <c r="C1152" s="73" t="inlineStr">
        <is>
          <t>| Student analytics UI | Study progress page renders summary cards, assignment analytics, and attempt history | PASS | Manual local browser check |</t>
        </is>
      </c>
    </row>
    <row r="1153" ht="39.95" customHeight="1" s="78">
      <c r="A1153" s="73" t="inlineStr">
        <is>
          <t>QA-016</t>
        </is>
      </c>
      <c r="B1153" s="73" t="n">
        <v>21</v>
      </c>
      <c r="C1153" s="73" t="inlineStr">
        <is>
          <t>| Progress color | Home progress percentage and bar interpolate from red through amber to green | PASS | Flutter widget tests and manual browser check |</t>
        </is>
      </c>
    </row>
    <row r="1154" ht="30" customHeight="1" s="78">
      <c r="A1154" s="73" t="inlineStr">
        <is>
          <t>QA-016</t>
        </is>
      </c>
      <c r="B1154" s="73" t="n">
        <v>22</v>
      </c>
      <c r="C1154" s="73" t="inlineStr">
        <is>
          <t>| Score color | Assignment badges and result score use the same percentage color scale | PASS | Flutter widget tests and manual browser check |</t>
        </is>
      </c>
    </row>
    <row r="1155" ht="39.95" customHeight="1" s="78">
      <c r="A1155" s="73" t="inlineStr">
        <is>
          <t>QA-016</t>
        </is>
      </c>
      <c r="B1155" s="73" t="n">
        <v>23</v>
      </c>
      <c r="C1155" s="73" t="inlineStr">
        <is>
          <t>| Empty results layout | Desktop Results panel stays collapsed before the first run, allowing Instructions to use the full right side; Results opens when a run starts | PASS | Focused workspace and keyboard-run widget tests |</t>
        </is>
      </c>
    </row>
    <row r="1156" ht="30" customHeight="1" s="78">
      <c r="A1156" s="73" t="inlineStr">
        <is>
          <t>QA-016</t>
        </is>
      </c>
      <c r="B1156" s="73" t="n">
        <v>24</v>
      </c>
      <c r="C1156" s="73" t="inlineStr">
        <is>
          <t>| Backend regression | Entire backend suite | PASS | 185 tests passed |</t>
        </is>
      </c>
    </row>
    <row r="1157" ht="30" customHeight="1" s="78">
      <c r="A1157" s="73" t="inlineStr">
        <is>
          <t>QA-016</t>
        </is>
      </c>
      <c r="B1157" s="73" t="n">
        <v>25</v>
      </c>
      <c r="C1157" s="73" t="inlineStr">
        <is>
          <t>| Python dependencies | Installed dependency compatibility | PASS | `pip check` reported no broken requirements |</t>
        </is>
      </c>
    </row>
    <row r="1158" ht="30" customHeight="1" s="78">
      <c r="A1158" s="73" t="inlineStr">
        <is>
          <t>QA-016</t>
        </is>
      </c>
      <c r="B1158" s="73" t="n">
        <v>26</v>
      </c>
      <c r="C1158" s="73" t="inlineStr">
        <is>
          <t>| Flutter static analysis | Dart/Flutter analyzer | PASS | No issues found |</t>
        </is>
      </c>
    </row>
    <row r="1159" ht="30" customHeight="1" s="78">
      <c r="A1159" s="73" t="inlineStr">
        <is>
          <t>QA-016</t>
        </is>
      </c>
      <c r="B1159" s="73" t="n">
        <v>27</v>
      </c>
      <c r="C1159" s="73" t="inlineStr">
        <is>
          <t>| Flutter regression | Entire Flutter test suite | PASS | 52 tests passed |</t>
        </is>
      </c>
    </row>
    <row r="1160" ht="30" customHeight="1" s="78">
      <c r="A1160" s="73" t="inlineStr">
        <is>
          <t>QA-016</t>
        </is>
      </c>
      <c r="B1160" s="73" t="n">
        <v>28</v>
      </c>
      <c r="C1160" s="73" t="inlineStr">
        <is>
          <t>| Flutter release | Production-style web compilation | PASS | Release web build completed |</t>
        </is>
      </c>
    </row>
    <row r="1161" ht="39.95" customHeight="1" s="78">
      <c r="A1161" s="73" t="inlineStr">
        <is>
          <t>QA-016</t>
        </is>
      </c>
      <c r="B1161" s="73" t="n">
        <v>29</v>
      </c>
      <c r="C1161" s="73" t="inlineStr">
        <is>
          <t>| ROS 2 runtime | Real Docker execution for Assignments 5–6 during this run | BLOCKED | Docker Desktop 4.86.0 crashed while starting its Linux engine because its internal `dockerInference` socket could not be accessed |</t>
        </is>
      </c>
    </row>
    <row r="1162" ht="30" customHeight="1" s="78">
      <c r="A1162" s="73" t="inlineStr">
        <is>
          <t>QA-016</t>
        </is>
      </c>
      <c r="B1162" s="73" t="n">
        <v>30</v>
      </c>
      <c r="C1162" s="73" t="n"/>
    </row>
    <row r="1163" ht="30" customHeight="1" s="78">
      <c r="A1163" s="73" t="inlineStr">
        <is>
          <t>QA-016</t>
        </is>
      </c>
      <c r="B1163" s="73" t="n">
        <v>31</v>
      </c>
      <c r="C1163" s="73" t="inlineStr">
        <is>
          <t>## Confirmed bug and fix</t>
        </is>
      </c>
    </row>
    <row r="1164" ht="30" customHeight="1" s="78">
      <c r="A1164" s="73" t="inlineStr">
        <is>
          <t>QA-016</t>
        </is>
      </c>
      <c r="B1164" s="73" t="n">
        <v>32</v>
      </c>
      <c r="C1164" s="73" t="n"/>
    </row>
    <row r="1165" ht="30" customHeight="1" s="78">
      <c r="A1165" s="73" t="inlineStr">
        <is>
          <t>QA-016</t>
        </is>
      </c>
      <c r="B1165" s="73" t="n">
        <v>33</v>
      </c>
      <c r="C1165" s="73" t="inlineStr">
        <is>
          <t>The analytics service paired a list of active-time snapshots with a list that</t>
        </is>
      </c>
    </row>
    <row r="1166" ht="30" customHeight="1" s="78">
      <c r="A1166" s="73" t="inlineStr">
        <is>
          <t>QA-016</t>
        </is>
      </c>
      <c r="B1166" s="73" t="n">
        <v>34</v>
      </c>
      <c r="C1166" s="73" t="inlineStr">
        <is>
          <t>was intentionally one item shorter, but requested strict equal-length pairing.</t>
        </is>
      </c>
    </row>
    <row r="1167" ht="30" customHeight="1" s="78">
      <c r="A1167" s="73" t="inlineStr">
        <is>
          <t>QA-016</t>
        </is>
      </c>
      <c r="B1167" s="73" t="n">
        <v>35</v>
      </c>
      <c r="C1167" s="73" t="inlineStr">
        <is>
          <t>Any student with multiple timed attempts could therefore trigger a server</t>
        </is>
      </c>
    </row>
    <row r="1168" ht="30" customHeight="1" s="78">
      <c r="A1168" s="73" t="inlineStr">
        <is>
          <t>QA-016</t>
        </is>
      </c>
      <c r="B1168" s="73" t="n">
        <v>36</v>
      </c>
      <c r="C1168" s="73" t="inlineStr">
        <is>
          <t>exception. The pairing now uses normal adjacent-item behavior, with a regression</t>
        </is>
      </c>
    </row>
    <row r="1169" ht="30" customHeight="1" s="78">
      <c r="A1169" s="73" t="inlineStr">
        <is>
          <t>QA-016</t>
        </is>
      </c>
      <c r="B1169" s="73" t="n">
        <v>37</v>
      </c>
      <c r="C1169" s="73" t="inlineStr">
        <is>
          <t>test covering two attempts and the calculated 60-second active gap.</t>
        </is>
      </c>
    </row>
    <row r="1170" ht="30" customHeight="1" s="78">
      <c r="A1170" s="73" t="inlineStr">
        <is>
          <t>QA-016</t>
        </is>
      </c>
      <c r="B1170" s="73" t="n">
        <v>38</v>
      </c>
      <c r="C1170" s="73" t="n"/>
    </row>
    <row r="1171" ht="30" customHeight="1" s="78">
      <c r="A1171" s="73" t="inlineStr">
        <is>
          <t>QA-016</t>
        </is>
      </c>
      <c r="B1171" s="73" t="n">
        <v>39</v>
      </c>
      <c r="C1171" s="73" t="inlineStr">
        <is>
          <t>## Limitation</t>
        </is>
      </c>
    </row>
    <row r="1172" ht="30" customHeight="1" s="78">
      <c r="A1172" s="73" t="inlineStr">
        <is>
          <t>QA-016</t>
        </is>
      </c>
      <c r="B1172" s="73" t="n">
        <v>40</v>
      </c>
      <c r="C1172" s="73" t="n"/>
    </row>
    <row r="1173" ht="30" customHeight="1" s="78">
      <c r="A1173" s="73" t="inlineStr">
        <is>
          <t>QA-016</t>
        </is>
      </c>
      <c r="B1173" s="73" t="n">
        <v>41</v>
      </c>
      <c r="C1173" s="73" t="inlineStr">
        <is>
          <t>The ROS 2 application code and automated tests pass, but the maintained answers</t>
        </is>
      </c>
    </row>
    <row r="1174" ht="30" customHeight="1" s="78">
      <c r="A1174" s="73" t="inlineStr">
        <is>
          <t>QA-016</t>
        </is>
      </c>
      <c r="B1174" s="73" t="n">
        <v>42</v>
      </c>
      <c r="C1174" s="73" t="inlineStr">
        <is>
          <t>for Assignments 5–6 could not be rerun through the real local Docker engine in</t>
        </is>
      </c>
    </row>
    <row r="1175" ht="30" customHeight="1" s="78">
      <c r="A1175" s="73" t="inlineStr">
        <is>
          <t>QA-016</t>
        </is>
      </c>
      <c r="B1175" s="73" t="n">
        <v>43</v>
      </c>
      <c r="C1175" s="73" t="inlineStr">
        <is>
          <t>this session because Docker Desktop failed before the engine became available.</t>
        </is>
      </c>
    </row>
    <row r="1176" ht="30" customHeight="1" s="78">
      <c r="A1176" s="73" t="inlineStr">
        <is>
          <t>QA-016</t>
        </is>
      </c>
      <c r="B1176" s="73" t="n">
        <v>44</v>
      </c>
      <c r="C1176" s="73" t="inlineStr">
        <is>
          <t>This is a local Docker Desktop runtime problem, not an application test failure.</t>
        </is>
      </c>
    </row>
    <row r="1177" ht="30" customHeight="1" s="78">
      <c r="A1177" s="73" t="inlineStr">
        <is>
          <t>QA-016</t>
        </is>
      </c>
      <c r="B1177" s="73" t="n">
        <v>45</v>
      </c>
      <c r="C1177" s="73" t="inlineStr">
        <is>
          <t>Restarting Windows (or repairing Docker Desktop) is required before repeating:</t>
        </is>
      </c>
    </row>
    <row r="1178" ht="30" customHeight="1" s="78">
      <c r="A1178" s="73" t="inlineStr">
        <is>
          <t>QA-016</t>
        </is>
      </c>
      <c r="B1178" s="73" t="n">
        <v>46</v>
      </c>
      <c r="C1178" s="73" t="n"/>
    </row>
    <row r="1179" ht="30" customHeight="1" s="78">
      <c r="A1179" s="73" t="inlineStr">
        <is>
          <t>QA-016</t>
        </is>
      </c>
      <c r="B1179" s="73" t="n">
        <v>47</v>
      </c>
      <c r="C1179" s="73" t="inlineStr">
        <is>
          <t>```powershell</t>
        </is>
      </c>
    </row>
    <row r="1180" ht="30" customHeight="1" s="78">
      <c r="A1180" s="73" t="inlineStr">
        <is>
          <t>QA-016</t>
        </is>
      </c>
      <c r="B1180" s="73" t="n">
        <v>48</v>
      </c>
      <c r="C1180" s="73" t="inlineStr">
        <is>
          <t>.\scripts\check-ros2-local.ps1</t>
        </is>
      </c>
    </row>
    <row r="1181" ht="30" customHeight="1" s="78">
      <c r="A1181" s="73" t="inlineStr">
        <is>
          <t>QA-016</t>
        </is>
      </c>
      <c r="B1181" s="73" t="n">
        <v>49</v>
      </c>
      <c r="C1181" s="73" t="inlineStr">
        <is>
          <t>```</t>
        </is>
      </c>
    </row>
    <row r="1182" ht="30" customHeight="1" s="78">
      <c r="A1182" s="73" t="inlineStr">
        <is>
          <t>QA-016</t>
        </is>
      </c>
      <c r="B1182" s="73" t="n">
        <v>50</v>
      </c>
      <c r="C1182" s="73" t="n"/>
    </row>
    <row r="1183" ht="30" customHeight="1" s="78">
      <c r="A1183" s="73" t="inlineStr">
        <is>
          <t>QA-016</t>
        </is>
      </c>
      <c r="B1183" s="73" t="n">
        <v>51</v>
      </c>
      <c r="C1183" s="73" t="inlineStr">
        <is>
          <t>Do not describe the real ROS runtime check as passed until that command succeeds.</t>
        </is>
      </c>
    </row>
    <row r="1184" ht="30" customHeight="1" s="78">
      <c r="A1184" s="73" t="inlineStr">
        <is>
          <t>QA-016</t>
        </is>
      </c>
      <c r="B1184" s="73" t="n">
        <v>52</v>
      </c>
      <c r="C1184" s="73" t="n"/>
    </row>
    <row r="1185" ht="30" customHeight="1" s="78">
      <c r="A1185" s="73" t="inlineStr">
        <is>
          <t>QA-017</t>
        </is>
      </c>
      <c r="B1185" s="73" t="n">
        <v>1</v>
      </c>
      <c r="C1185" s="73" t="inlineStr">
        <is>
          <t># V6.2 Learning Workbench QA</t>
        </is>
      </c>
    </row>
    <row r="1186" ht="30" customHeight="1" s="78">
      <c r="A1186" s="73" t="inlineStr">
        <is>
          <t>QA-017</t>
        </is>
      </c>
      <c r="B1186" s="73" t="n">
        <v>2</v>
      </c>
      <c r="C1186" s="73" t="n"/>
    </row>
    <row r="1187" ht="30" customHeight="1" s="78">
      <c r="A1187" s="73" t="inlineStr">
        <is>
          <t>QA-017</t>
        </is>
      </c>
      <c r="B1187" s="73" t="n">
        <v>3</v>
      </c>
      <c r="C1187" s="73" t="inlineStr">
        <is>
          <t>Scope: local staging only. Preserve deterministic grading, role privacy,</t>
        </is>
      </c>
    </row>
    <row r="1188" ht="30" customHeight="1" s="78">
      <c r="A1188" s="73" t="inlineStr">
        <is>
          <t>QA-017</t>
        </is>
      </c>
      <c r="B1188" s="73" t="n">
        <v>4</v>
      </c>
      <c r="C1188" s="73" t="inlineStr">
        <is>
          <t>quiz persistence, optional AI (off by default), and the existing shared header.</t>
        </is>
      </c>
    </row>
    <row r="1189" ht="30" customHeight="1" s="78">
      <c r="A1189" s="73" t="inlineStr">
        <is>
          <t>QA-017</t>
        </is>
      </c>
      <c r="B1189" s="73" t="n">
        <v>5</v>
      </c>
      <c r="C1189" s="73" t="n"/>
    </row>
    <row r="1190" ht="30" customHeight="1" s="78">
      <c r="A1190" s="73" t="inlineStr">
        <is>
          <t>QA-017</t>
        </is>
      </c>
      <c r="B1190" s="73" t="n">
        <v>6</v>
      </c>
      <c r="C1190" s="73" t="inlineStr">
        <is>
          <t>Update 2026-09-29: the desktop bottom dock described in this historical release</t>
        </is>
      </c>
    </row>
    <row r="1191" ht="30" customHeight="1" s="78">
      <c r="A1191" s="73" t="inlineStr">
        <is>
          <t>QA-017</t>
        </is>
      </c>
      <c r="B1191" s="73" t="n">
        <v>7</v>
      </c>
      <c r="C1191" s="73" t="inlineStr">
        <is>
          <t>record has been replaced by an isolated right-side overlay at the owner's</t>
        </is>
      </c>
    </row>
    <row r="1192" ht="30" customHeight="1" s="78">
      <c r="A1192" s="73" t="inlineStr">
        <is>
          <t>QA-017</t>
        </is>
      </c>
      <c r="B1192" s="73" t="n">
        <v>8</v>
      </c>
      <c r="C1192" s="73" t="inlineStr">
        <is>
          <t>request. See [Results panel correction QA](RESULTS_PANEL_CORRECTION_QA.md) for</t>
        </is>
      </c>
    </row>
    <row r="1193" ht="30" customHeight="1" s="78">
      <c r="A1193" s="73" t="inlineStr">
        <is>
          <t>QA-017</t>
        </is>
      </c>
      <c r="B1193" s="73" t="n">
        <v>9</v>
      </c>
      <c r="C1193" s="73" t="inlineStr">
        <is>
          <t>the current behavior and validation.</t>
        </is>
      </c>
    </row>
    <row r="1194" ht="30" customHeight="1" s="78">
      <c r="A1194" s="73" t="inlineStr">
        <is>
          <t>QA-017</t>
        </is>
      </c>
      <c r="B1194" s="73" t="n">
        <v>10</v>
      </c>
      <c r="C1194" s="73" t="n"/>
    </row>
    <row r="1195" ht="30" customHeight="1" s="78">
      <c r="A1195" s="73" t="inlineStr">
        <is>
          <t>QA-017</t>
        </is>
      </c>
      <c r="B1195" s="73" t="n">
        <v>11</v>
      </c>
      <c r="C1195" s="73" t="inlineStr">
        <is>
          <t>| Increment | Intended result | Validation | Status |</t>
        </is>
      </c>
    </row>
    <row r="1196" ht="30" customHeight="1" s="78">
      <c r="A1196" s="73" t="inlineStr">
        <is>
          <t>QA-017</t>
        </is>
      </c>
      <c r="B1196" s="73" t="n">
        <v>12</v>
      </c>
      <c r="C1196" s="73" t="inlineStr">
        <is>
          <t>|---|---|---|---|</t>
        </is>
      </c>
    </row>
    <row r="1197" ht="39.95" customHeight="1" s="78">
      <c r="A1197" s="73" t="inlineStr">
        <is>
          <t>QA-017</t>
        </is>
      </c>
      <c r="B1197" s="73" t="n">
        <v>13</v>
      </c>
      <c r="C1197" s="73" t="inlineStr">
        <is>
          <t>| Visual foundations and catalogs | Soft teal, sand and lavender surfaces; clear best/latest scores and next actions | Theme contrast &gt;= 4.5:1 on new surfaces; catalog widgets; desktop/narrow layouts | PASS |</t>
        </is>
      </c>
    </row>
    <row r="1198" ht="39.95" customHeight="1" s="78">
      <c r="A1198" s="73" t="inlineStr">
        <is>
          <t>QA-017</t>
        </is>
      </c>
      <c r="B1198" s="73" t="n">
        <v>14</v>
      </c>
      <c r="C1198" s="73" t="inlineStr">
        <is>
          <t>| Results workbench | Non-modal resizable desktop dock; narrow-screen drawer; minimize/reopen | Workspace widgets; browser opening, resizing, editing beside results and retained narrow-screen results | PASS |</t>
        </is>
      </c>
    </row>
    <row r="1199" ht="39.95" customHeight="1" s="78">
      <c r="A1199" s="73" t="inlineStr">
        <is>
          <t>QA-017</t>
        </is>
      </c>
      <c r="B1199" s="73" t="n">
        <v>15</v>
      </c>
      <c r="C1199" s="73" t="inlineStr">
        <is>
          <t>| Reading | Section navigation without changing lesson or assignment content | Reading widgets; authored HTML retained; browser outline jump to VFH | PASS |</t>
        </is>
      </c>
    </row>
    <row r="1200" ht="39.95" customHeight="1" s="78">
      <c r="A1200" s="73" t="inlineStr">
        <is>
          <t>QA-017</t>
        </is>
      </c>
      <c r="B1200" s="73" t="n">
        <v>16</v>
      </c>
      <c r="C1200" s="73" t="inlineStr">
        <is>
          <t>| Role dashboards and recovery | Clear student/instructor hierarchy; useful retry state | Dashboard widgets; session-expired 401 and retry checks; persistent student analytics browser review | PASS |</t>
        </is>
      </c>
    </row>
    <row r="1201" ht="39.95" customHeight="1" s="78">
      <c r="A1201" s="73" t="inlineStr">
        <is>
          <t>QA-017</t>
        </is>
      </c>
      <c r="B1201" s="73" t="n">
        <v>17</v>
      </c>
      <c r="C1201" s="73" t="inlineStr">
        <is>
          <t>| Integrated release | Analysis, tests, release build, backend regression, manual browser QA | 215 backend tests, 89 Flutter tests, clean analysis, release build, real ROS graders | PASS |</t>
        </is>
      </c>
    </row>
    <row r="1202" ht="30" customHeight="1" s="78">
      <c r="A1202" s="73" t="inlineStr">
        <is>
          <t>QA-017</t>
        </is>
      </c>
      <c r="B1202" s="73" t="n">
        <v>18</v>
      </c>
      <c r="C1202" s="73" t="n"/>
    </row>
    <row r="1203" ht="30" customHeight="1" s="78">
      <c r="A1203" s="73" t="inlineStr">
        <is>
          <t>QA-017</t>
        </is>
      </c>
      <c r="B1203" s="73" t="n">
        <v>19</v>
      </c>
      <c r="C1203" s="73" t="inlineStr">
        <is>
          <t>## Evidence and scope — 2026-09-28</t>
        </is>
      </c>
    </row>
    <row r="1204" ht="30" customHeight="1" s="78">
      <c r="A1204" s="73" t="inlineStr">
        <is>
          <t>QA-017</t>
        </is>
      </c>
      <c r="B1204" s="73" t="n">
        <v>20</v>
      </c>
      <c r="C1204" s="73" t="n"/>
    </row>
    <row r="1205" ht="30" customHeight="1" s="78">
      <c r="A1205" s="73" t="inlineStr">
        <is>
          <t>QA-017</t>
        </is>
      </c>
      <c r="B1205" s="73" t="n">
        <v>21</v>
      </c>
      <c r="C1205" s="73" t="inlineStr">
        <is>
          <t>- Canonical checkout: Robotics-Programming-Lab-Staging; production untouched.</t>
        </is>
      </c>
    </row>
    <row r="1206" ht="30" customHeight="1" s="78">
      <c r="A1206" s="73" t="inlineStr">
        <is>
          <t>QA-017</t>
        </is>
      </c>
      <c r="B1206" s="73" t="n">
        <v>22</v>
      </c>
      <c r="C1206" s="73" t="inlineStr">
        <is>
          <t>- Browser URL remains `http://127.0.0.1:8180/app`; API port 5100 and sandbox port 5101.</t>
        </is>
      </c>
    </row>
    <row r="1207" ht="30" customHeight="1" s="78">
      <c r="A1207" s="73" t="inlineStr">
        <is>
          <t>QA-017</t>
        </is>
      </c>
      <c r="B1207" s="73" t="n">
        <v>23</v>
      </c>
      <c r="C1207" s="73" t="inlineStr">
        <is>
          <t>- Backend: `215 passed in 80.65s`; `pip check` found no broken requirements.</t>
        </is>
      </c>
    </row>
    <row r="1208" ht="30" customHeight="1" s="78">
      <c r="A1208" s="73" t="inlineStr">
        <is>
          <t>QA-017</t>
        </is>
      </c>
      <c r="B1208" s="73" t="n">
        <v>24</v>
      </c>
      <c r="C1208" s="73" t="inlineStr">
        <is>
          <t>- Flutter: analysis clean; all 89 tests passed; release web build passed (52.3 seconds).</t>
        </is>
      </c>
    </row>
    <row r="1209" ht="30" customHeight="1" s="78">
      <c r="A1209" s="73" t="inlineStr">
        <is>
          <t>QA-017</t>
        </is>
      </c>
      <c r="B1209" s="73" t="n">
        <v>25</v>
      </c>
      <c r="C1209" s="73" t="inlineStr">
        <is>
          <t>- Real Docker ROS graders: Assignment 5 maintained answer 7/7; Assignment 6 9/9.</t>
        </is>
      </c>
    </row>
    <row r="1210" ht="39.95" customHeight="1" s="78">
      <c r="A1210" s="73" t="inlineStr">
        <is>
          <t>QA-017</t>
        </is>
      </c>
      <c r="B1210" s="73" t="n">
        <v>26</v>
      </c>
      <c r="C1210" s="73" t="inlineStr">
        <is>
          <t>- Persistent student browser checks: login, current assignment progress, saved Sensor Fusion quiz score and version-separated study analytics loaded successfully.</t>
        </is>
      </c>
    </row>
    <row r="1211" ht="39.95" customHeight="1" s="78">
      <c r="A1211" s="73" t="inlineStr">
        <is>
          <t>QA-017</t>
        </is>
      </c>
      <c r="B1211" s="73" t="n">
        <v>27</v>
      </c>
      <c r="C1211" s="73" t="inlineStr">
        <is>
          <t>- Instructor browser checks: login, six published assignment entries in the studio and participant-code classroom dashboard loaded. No accounts, questions or records were modified.</t>
        </is>
      </c>
    </row>
    <row r="1212" ht="39.95" customHeight="1" s="78">
      <c r="A1212" s="73" t="inlineStr">
        <is>
          <t>QA-017</t>
        </is>
      </c>
      <c r="B1212" s="73" t="n">
        <v>28</v>
      </c>
      <c r="C1212" s="73" t="inlineStr">
        <is>
          <t>- Disposable demo browser checks: untouched Assignment 1 starter 0% (0/4); complete solution 100% (4/4); editor usable alongside the dock; AI switches remained off. Demo refresh returned to login, with no permanent student attempts added.</t>
        </is>
      </c>
    </row>
    <row r="1213" ht="39.95" customHeight="1" s="78">
      <c r="A1213" s="73" t="inlineStr">
        <is>
          <t>QA-017</t>
        </is>
      </c>
      <c r="B1213" s="73" t="n">
        <v>29</v>
      </c>
      <c r="C1213" s="73" t="inlineStr">
        <is>
          <t>- Responsive browser checks: 1440 × 900 desktop and 390 × 844 narrow workspace. Outline selection moved to the requested lesson heading after the scroll settled.</t>
        </is>
      </c>
    </row>
    <row r="1214" ht="39.95" customHeight="1" s="78">
      <c r="A1214" s="73" t="inlineStr">
        <is>
          <t>QA-017</t>
        </is>
      </c>
      <c r="B1214" s="73" t="n">
        <v>30</v>
      </c>
      <c r="C1214" s="73" t="inlineStr">
        <is>
          <t>- Excel: appended a V6.2 Workbench evidence sheet; prior 11 sheets' cell values/formulas, table names, validations, merges and chart counts verified unchanged. Before/after renders reviewed.</t>
        </is>
      </c>
    </row>
    <row r="1215" ht="30" customHeight="1" s="78">
      <c r="A1215" s="73" t="inlineStr">
        <is>
          <t>QA-017</t>
        </is>
      </c>
      <c r="B1215" s="73" t="n">
        <v>31</v>
      </c>
      <c r="C1215" s="73" t="inlineStr">
        <is>
          <t>- AGENTS.md maintenance review: no new architecture, environment or working-policy change requiring an instruction update.</t>
        </is>
      </c>
    </row>
    <row r="1216" ht="30" customHeight="1" s="78">
      <c r="A1216" s="73" t="inlineStr">
        <is>
          <t>QA-017</t>
        </is>
      </c>
      <c r="B1216" s="73" t="n">
        <v>32</v>
      </c>
      <c r="C1216" s="73" t="n"/>
    </row>
    <row r="1217" ht="30" customHeight="1" s="78">
      <c r="A1217" s="73" t="inlineStr">
        <is>
          <t>QA-017</t>
        </is>
      </c>
      <c r="B1217" s="73" t="n">
        <v>33</v>
      </c>
      <c r="C1217" s="73" t="inlineStr">
        <is>
          <t>## Confirmed issues fixed during implementation</t>
        </is>
      </c>
    </row>
    <row r="1218" ht="30" customHeight="1" s="78">
      <c r="A1218" s="73" t="inlineStr">
        <is>
          <t>QA-017</t>
        </is>
      </c>
      <c r="B1218" s="73" t="n">
        <v>34</v>
      </c>
      <c r="C1218" s="73" t="n"/>
    </row>
    <row r="1219" ht="30" customHeight="1" s="78">
      <c r="A1219" s="73" t="inlineStr">
        <is>
          <t>QA-017</t>
        </is>
      </c>
      <c r="B1219" s="73" t="n">
        <v>35</v>
      </c>
      <c r="C1219" s="73" t="inlineStr">
        <is>
          <t>| Issue | Fix | Verification |</t>
        </is>
      </c>
    </row>
    <row r="1220" ht="30" customHeight="1" s="78">
      <c r="A1220" s="73" t="inlineStr">
        <is>
          <t>QA-017</t>
        </is>
      </c>
      <c r="B1220" s="73" t="n">
        <v>36</v>
      </c>
      <c r="C1220" s="73" t="inlineStr">
        <is>
          <t>|---|---|---|</t>
        </is>
      </c>
    </row>
    <row r="1221" ht="30" customHeight="1" s="78">
      <c r="A1221" s="73" t="inlineStr">
        <is>
          <t>QA-017</t>
        </is>
      </c>
      <c r="B1221" s="73" t="n">
        <v>37</v>
      </c>
      <c r="C1221" s="73" t="inlineStr">
        <is>
          <t>| Initial candidate tint gave primary text only 4.48:1 contrast | Lightened teal/lavender surfaces | Contrast regression passed |</t>
        </is>
      </c>
    </row>
    <row r="1222" ht="39.95" customHeight="1" s="78">
      <c r="A1222" s="73" t="inlineStr">
        <is>
          <t>QA-017</t>
        </is>
      </c>
      <c r="B1222" s="73" t="n">
        <v>38</v>
      </c>
      <c r="C1222" s="73" t="inlineStr">
        <is>
          <t>| Additional catalog badges overflowed the existing row | Flexible status row; increased card height; single-column layout for enlarged text | Catalog/responsive widget tests passed |</t>
        </is>
      </c>
    </row>
    <row r="1223" ht="30" customHeight="1" s="78">
      <c r="A1223" s="73" t="inlineStr">
        <is>
          <t>QA-017</t>
        </is>
      </c>
      <c r="B1223" s="73" t="n">
        <v>39</v>
      </c>
      <c r="C1223" s="73" t="inlineStr">
        <is>
          <t>| Empty results content could overflow a shallow dock | Scrollable empty-results body | Workspace tests passed |</t>
        </is>
      </c>
    </row>
    <row r="1224" ht="39.95" customHeight="1" s="78">
      <c r="A1224" s="73" t="inlineStr">
        <is>
          <t>QA-017</t>
        </is>
      </c>
      <c r="B1224" s="73" t="n">
        <v>40</v>
      </c>
      <c r="C1224" s="73" t="inlineStr">
        <is>
          <t>| Expired-session Contents request appeared as an unexplained content failure | Dedicated sign-in-again message for HTTP 401 | API/widget regression passed |</t>
        </is>
      </c>
    </row>
    <row r="1225" ht="30" customHeight="1" s="78">
      <c r="A1225" s="73" t="inlineStr">
        <is>
          <t>QA-017</t>
        </is>
      </c>
      <c r="B1225" s="73" t="n">
        <v>41</v>
      </c>
      <c r="C1225" s="73" t="n"/>
    </row>
    <row r="1226" ht="30" customHeight="1" s="78">
      <c r="A1226" s="73" t="inlineStr">
        <is>
          <t>QA-017</t>
        </is>
      </c>
      <c r="B1226" s="73" t="n">
        <v>42</v>
      </c>
      <c r="C1226" s="73" t="inlineStr">
        <is>
          <t>## Limitations / not run</t>
        </is>
      </c>
    </row>
    <row r="1227" ht="30" customHeight="1" s="78">
      <c r="A1227" s="73" t="inlineStr">
        <is>
          <t>QA-017</t>
        </is>
      </c>
      <c r="B1227" s="73" t="n">
        <v>43</v>
      </c>
      <c r="C1227" s="73" t="n"/>
    </row>
    <row r="1228" ht="39.95" customHeight="1" s="78">
      <c r="A1228" s="73" t="inlineStr">
        <is>
          <t>QA-017</t>
        </is>
      </c>
      <c r="B1228" s="73" t="n">
        <v>44</v>
      </c>
      <c r="C1228" s="73" t="inlineStr">
        <is>
          <t>- No production deployment, physical Ubuntu/new-device run or paid OpenAI request. AI behavior is covered by the existing mocked tests; this is not evidence of provider availability.</t>
        </is>
      </c>
    </row>
    <row r="1229" ht="39.95" customHeight="1" s="78">
      <c r="A1229" s="73" t="inlineStr">
        <is>
          <t>QA-017</t>
        </is>
      </c>
      <c r="B1229" s="73" t="n">
        <v>45</v>
      </c>
      <c r="C1229" s="73" t="inlineStr">
        <is>
          <t>- This release is a visual/workflow upgrade, not a rewrite of assignment questions, grading or research formulas. Broader accessibility certification and every browser/zoom combination are not claimed.</t>
        </is>
      </c>
    </row>
    <row r="1230" ht="39.95" customHeight="1" s="78">
      <c r="A1230" s="73" t="inlineStr">
        <is>
          <t>QA-017</t>
        </is>
      </c>
      <c r="B1230" s="73" t="n">
        <v>46</v>
      </c>
      <c r="C1230" s="73" t="inlineStr">
        <is>
          <t>- Backend regression ran an export of the exact staged Git tree, including the existing maintained-answer paths. The local user answer moves were not restored, deleted or published.</t>
        </is>
      </c>
    </row>
    <row r="1231" ht="30" customHeight="1" s="78">
      <c r="A1231" s="73" t="inlineStr">
        <is>
          <t>QA-017</t>
        </is>
      </c>
      <c r="B1231" s="73" t="n">
        <v>47</v>
      </c>
      <c r="C1231" s="73" t="n"/>
    </row>
    <row r="1232" ht="30" customHeight="1" s="78">
      <c r="A1232" s="73" t="inlineStr">
        <is>
          <t>QA-017</t>
        </is>
      </c>
      <c r="B1232" s="73" t="n">
        <v>48</v>
      </c>
      <c r="C1232" s="73" t="inlineStr">
        <is>
          <t>Unrelated local moves of answer files and reference PDFs are excluded from this</t>
        </is>
      </c>
    </row>
    <row r="1233" ht="30" customHeight="1" s="78">
      <c r="A1233" s="73" t="inlineStr">
        <is>
          <t>QA-017</t>
        </is>
      </c>
      <c r="B1233" s="73" t="n">
        <v>49</v>
      </c>
      <c r="C1233" s="73" t="inlineStr">
        <is>
          <t>release. Do not treat those working-tree changes as part of the UI upgrade.</t>
        </is>
      </c>
    </row>
    <row r="1234" ht="30" customHeight="1" s="78">
      <c r="A1234" s="73" t="inlineStr">
        <is>
          <t>QA-017</t>
        </is>
      </c>
      <c r="B1234" s="73" t="n">
        <v>50</v>
      </c>
      <c r="C1234" s="73" t="n"/>
    </row>
    <row r="1235" ht="30" customHeight="1" s="78">
      <c r="A1235" s="73" t="inlineStr">
        <is>
          <t>QA-018</t>
        </is>
      </c>
      <c r="B1235" s="73" t="n">
        <v>1</v>
      </c>
      <c r="C1235" s="73" t="inlineStr">
        <is>
          <t># Local visual polish QA — 2026-09-28</t>
        </is>
      </c>
    </row>
    <row r="1236" ht="30" customHeight="1" s="78">
      <c r="A1236" s="73" t="inlineStr">
        <is>
          <t>QA-018</t>
        </is>
      </c>
      <c r="B1236" s="73" t="n">
        <v>2</v>
      </c>
      <c r="C1236" s="73" t="n"/>
    </row>
    <row r="1237" ht="30" customHeight="1" s="78">
      <c r="A1237" s="73" t="inlineStr">
        <is>
          <t>QA-018</t>
        </is>
      </c>
      <c r="B1237" s="73" t="n">
        <v>3</v>
      </c>
      <c r="C1237" s="73" t="inlineStr">
        <is>
          <t>Scope: staging checkout, `feature/course-content-library`, base `831f5cd`</t>
        </is>
      </c>
    </row>
    <row r="1238" ht="30" customHeight="1" s="78">
      <c r="A1238" s="73" t="inlineStr">
        <is>
          <t>QA-018</t>
        </is>
      </c>
      <c r="B1238" s="73" t="n">
        <v>4</v>
      </c>
      <c r="C1238" s="73" t="inlineStr">
        <is>
          <t>plus uncommitted working changes. No production change or publication.</t>
        </is>
      </c>
    </row>
    <row r="1239" ht="30" customHeight="1" s="78">
      <c r="A1239" s="73" t="inlineStr">
        <is>
          <t>QA-018</t>
        </is>
      </c>
      <c r="B1239" s="73" t="n">
        <v>5</v>
      </c>
      <c r="C1239" s="73" t="inlineStr">
        <is>
          <t>Normal app: http://127.0.0.1:8180/app; API 5100; sandbox 5101; existing</t>
        </is>
      </c>
    </row>
    <row r="1240" ht="30" customHeight="1" s="78">
      <c r="A1240" s="73" t="inlineStr">
        <is>
          <t>QA-018</t>
        </is>
      </c>
      <c r="B1240" s="73" t="n">
        <v>6</v>
      </c>
      <c r="C1240" s="73" t="inlineStr">
        <is>
          <t>Neon staging configuration. No paid AI calls.</t>
        </is>
      </c>
    </row>
    <row r="1241" ht="30" customHeight="1" s="78">
      <c r="A1241" s="73" t="inlineStr">
        <is>
          <t>QA-018</t>
        </is>
      </c>
      <c r="B1241" s="73" t="n">
        <v>7</v>
      </c>
      <c r="C1241" s="73" t="n"/>
    </row>
    <row r="1242" ht="30" customHeight="1" s="78">
      <c r="A1242" s="73" t="inlineStr">
        <is>
          <t>QA-018</t>
        </is>
      </c>
      <c r="B1242" s="73" t="n">
        <v>8</v>
      </c>
      <c r="C1242" s="73" t="inlineStr">
        <is>
          <t>## Implementation</t>
        </is>
      </c>
    </row>
    <row r="1243" ht="30" customHeight="1" s="78">
      <c r="A1243" s="73" t="inlineStr">
        <is>
          <t>QA-018</t>
        </is>
      </c>
      <c r="B1243" s="73" t="n">
        <v>9</v>
      </c>
      <c r="C1243" s="73" t="n"/>
    </row>
    <row r="1244" ht="30" customHeight="1" s="78">
      <c r="A1244" s="73" t="inlineStr">
        <is>
          <t>QA-018</t>
        </is>
      </c>
      <c r="B1244" s="73" t="n">
        <v>10</v>
      </c>
      <c r="C1244" s="73" t="inlineStr">
        <is>
          <t>- Preserve the common branded header and Assignment/Contents navigation.</t>
        </is>
      </c>
    </row>
    <row r="1245" ht="30" customHeight="1" s="78">
      <c r="A1245" s="73" t="inlineStr">
        <is>
          <t>QA-018</t>
        </is>
      </c>
      <c r="B1245" s="73" t="n">
        <v>11</v>
      </c>
      <c r="C1245" s="73" t="inlineStr">
        <is>
          <t>- Shared accessible text, error, warning, success, results-surface colors.</t>
        </is>
      </c>
    </row>
    <row r="1246" ht="30" customHeight="1" s="78">
      <c r="A1246" s="73" t="inlineStr">
        <is>
          <t>QA-018</t>
        </is>
      </c>
      <c r="B1246" s="73" t="n">
        <v>12</v>
      </c>
      <c r="C1246" s="73" t="inlineStr">
        <is>
          <t>- Consistent form focus borders, outlined buttons, tooltips and table headings.</t>
        </is>
      </c>
    </row>
    <row r="1247" ht="30" customHeight="1" s="78">
      <c r="A1247" s="73" t="inlineStr">
        <is>
          <t>QA-018</t>
        </is>
      </c>
      <c r="B1247" s="73" t="n">
        <v>13</v>
      </c>
      <c r="C1247" s="73" t="inlineStr">
        <is>
          <t>- Equal-height content cards per responsive row, without truncating descriptions.</t>
        </is>
      </c>
    </row>
    <row r="1248" ht="30" customHeight="1" s="78">
      <c r="A1248" s="73" t="inlineStr">
        <is>
          <t>QA-018</t>
        </is>
      </c>
      <c r="B1248" s="73" t="n">
        <v>14</v>
      </c>
      <c r="C1248" s="73" t="inlineStr">
        <is>
          <t>- Wrap score badges under enlarged text; all six cards keep attempt/best/latest</t>
        </is>
      </c>
    </row>
    <row r="1249" ht="30" customHeight="1" s="78">
      <c r="A1249" s="73" t="inlineStr">
        <is>
          <t>QA-018</t>
        </is>
      </c>
      <c r="B1249" s="73" t="n">
        <v>15</v>
      </c>
      <c r="C1249" s="73" t="inlineStr">
        <is>
          <t xml:space="preserve">  values, including not-attempted state.</t>
        </is>
      </c>
    </row>
    <row r="1250" ht="30" customHeight="1" s="78">
      <c r="A1250" s="73" t="inlineStr">
        <is>
          <t>QA-018</t>
        </is>
      </c>
      <c r="B1250" s="73" t="n">
        <v>16</v>
      </c>
      <c r="C1250" s="73" t="inlineStr">
        <is>
          <t>- Constrain lesson prose to 880 pixels and improve paragraph/heading spacing.</t>
        </is>
      </c>
    </row>
    <row r="1251" ht="30" customHeight="1" s="78">
      <c r="A1251" s="73" t="inlineStr">
        <is>
          <t>QA-018</t>
        </is>
      </c>
      <c r="B1251" s="73" t="n">
        <v>17</v>
      </c>
      <c r="C1251" s="73" t="inlineStr">
        <is>
          <t>- Use the same readable instruction font as the application.</t>
        </is>
      </c>
    </row>
    <row r="1252" ht="30" customHeight="1" s="78">
      <c r="A1252" s="73" t="inlineStr">
        <is>
          <t>QA-018</t>
        </is>
      </c>
      <c r="B1252" s="73" t="n">
        <v>18</v>
      </c>
      <c r="C1252" s="73" t="inlineStr">
        <is>
          <t>- Preserve the results drawer, editor shortcuts, light/dark editor palettes,</t>
        </is>
      </c>
    </row>
    <row r="1253" ht="30" customHeight="1" s="78">
      <c r="A1253" s="73" t="inlineStr">
        <is>
          <t>QA-018</t>
        </is>
      </c>
      <c r="B1253" s="73" t="n">
        <v>19</v>
      </c>
      <c r="C1253" s="73" t="inlineStr">
        <is>
          <t xml:space="preserve">  and AI-off default. Form styling must not override the editor background.</t>
        </is>
      </c>
    </row>
    <row r="1254" ht="30" customHeight="1" s="78">
      <c r="A1254" s="73" t="inlineStr">
        <is>
          <t>QA-018</t>
        </is>
      </c>
      <c r="B1254" s="73" t="n">
        <v>20</v>
      </c>
      <c r="C1254" s="73" t="inlineStr">
        <is>
          <t>- Use bordered white analytics cards with complete labels and a one-column</t>
        </is>
      </c>
    </row>
    <row r="1255" ht="30" customHeight="1" s="78">
      <c r="A1255" s="73" t="inlineStr">
        <is>
          <t>QA-018</t>
        </is>
      </c>
      <c r="B1255" s="73" t="n">
        <v>21</v>
      </c>
      <c r="C1255" s="73" t="inlineStr">
        <is>
          <t xml:space="preserve">  layout on very narrow screens; instructor/account status colors match.</t>
        </is>
      </c>
    </row>
    <row r="1256" ht="30" customHeight="1" s="78">
      <c r="A1256" s="73" t="inlineStr">
        <is>
          <t>QA-018</t>
        </is>
      </c>
      <c r="B1256" s="73" t="n">
        <v>22</v>
      </c>
      <c r="C1256" s="73" t="inlineStr">
        <is>
          <t>- No grading, analytics formula, auth, database schema or API changes in this task.</t>
        </is>
      </c>
    </row>
    <row r="1257" ht="30" customHeight="1" s="78">
      <c r="A1257" s="73" t="inlineStr">
        <is>
          <t>QA-018</t>
        </is>
      </c>
      <c r="B1257" s="73" t="n">
        <v>23</v>
      </c>
      <c r="C1257" s="73" t="n"/>
    </row>
    <row r="1258" ht="30" customHeight="1" s="78">
      <c r="A1258" s="73" t="inlineStr">
        <is>
          <t>QA-018</t>
        </is>
      </c>
      <c r="B1258" s="73" t="n">
        <v>24</v>
      </c>
      <c r="C1258" s="73" t="inlineStr">
        <is>
          <t>## Confirmed issues found and fixed</t>
        </is>
      </c>
    </row>
    <row r="1259" ht="30" customHeight="1" s="78">
      <c r="A1259" s="73" t="inlineStr">
        <is>
          <t>QA-018</t>
        </is>
      </c>
      <c r="B1259" s="73" t="n">
        <v>25</v>
      </c>
      <c r="C1259" s="73" t="n"/>
    </row>
    <row r="1260" ht="30" customHeight="1" s="78">
      <c r="A1260" s="73" t="inlineStr">
        <is>
          <t>QA-018</t>
        </is>
      </c>
      <c r="B1260" s="73" t="n">
        <v>26</v>
      </c>
      <c r="C1260" s="73" t="inlineStr">
        <is>
          <t>| Issue | Evidence | Fix |</t>
        </is>
      </c>
    </row>
    <row r="1261" ht="30" customHeight="1" s="78">
      <c r="A1261" s="73" t="inlineStr">
        <is>
          <t>QA-018</t>
        </is>
      </c>
      <c r="B1261" s="73" t="n">
        <v>27</v>
      </c>
      <c r="C1261" s="73" t="inlineStr">
        <is>
          <t>|---|---|---|</t>
        </is>
      </c>
    </row>
    <row r="1262" ht="39.95" customHeight="1" s="78">
      <c r="A1262" s="73" t="inlineStr">
        <is>
          <t>QA-018</t>
        </is>
      </c>
      <c r="B1262" s="73" t="n">
        <v>28</v>
      </c>
      <c r="C1262" s="73" t="inlineStr">
        <is>
          <t>| Score badges overflow with 150% text scaling | New widget checks failed at tablet/desktop widths | Flexible badge text wraps; all three width checks pass |</t>
        </is>
      </c>
    </row>
    <row r="1263" ht="39.95" customHeight="1" s="78">
      <c r="A1263" s="73" t="inlineStr">
        <is>
          <t>QA-018</t>
        </is>
      </c>
      <c r="B1263" s="73" t="n">
        <v>29</v>
      </c>
      <c r="C1263" s="73" t="inlineStr">
        <is>
          <t>| Form fill overrides dark code-editor background | Browser screenshot during incremental QA | Do not globally fill input decorations; regression assertion added |</t>
        </is>
      </c>
    </row>
    <row r="1264" ht="30" customHeight="1" s="78">
      <c r="A1264" s="73" t="inlineStr">
        <is>
          <t>QA-018</t>
        </is>
      </c>
      <c r="B1264" s="73" t="n">
        <v>30</v>
      </c>
      <c r="C1264" s="73" t="inlineStr">
        <is>
          <t>| Partial-status orange was inconsistent with accessible shared palette | Code inspection | Shared amber foreground/container |</t>
        </is>
      </c>
    </row>
    <row r="1265" ht="30" customHeight="1" s="78">
      <c r="A1265" s="73" t="inlineStr">
        <is>
          <t>QA-018</t>
        </is>
      </c>
      <c r="B1265" s="73" t="n">
        <v>31</v>
      </c>
      <c r="C1265" s="73" t="inlineStr">
        <is>
          <t>| Analytics card labels could be truncated | Code inspection | Remove two-line ellipsis; retain complete labels |</t>
        </is>
      </c>
    </row>
    <row r="1266" ht="30" customHeight="1" s="78">
      <c r="A1266" s="73" t="inlineStr">
        <is>
          <t>QA-018</t>
        </is>
      </c>
      <c r="B1266" s="73" t="n">
        <v>32</v>
      </c>
      <c r="C1266" s="73" t="n"/>
    </row>
    <row r="1267" ht="30" customHeight="1" s="78">
      <c r="A1267" s="73" t="inlineStr">
        <is>
          <t>QA-018</t>
        </is>
      </c>
      <c r="B1267" s="73" t="n">
        <v>33</v>
      </c>
      <c r="C1267" s="73" t="inlineStr">
        <is>
          <t>## Verification</t>
        </is>
      </c>
    </row>
    <row r="1268" ht="30" customHeight="1" s="78">
      <c r="A1268" s="73" t="inlineStr">
        <is>
          <t>QA-018</t>
        </is>
      </c>
      <c r="B1268" s="73" t="n">
        <v>34</v>
      </c>
      <c r="C1268" s="73" t="n"/>
    </row>
    <row r="1269" ht="30" customHeight="1" s="78">
      <c r="A1269" s="73" t="inlineStr">
        <is>
          <t>QA-018</t>
        </is>
      </c>
      <c r="B1269" s="73" t="n">
        <v>35</v>
      </c>
      <c r="C1269" s="73" t="inlineStr">
        <is>
          <t>| Check | Result | Evidence / limit |</t>
        </is>
      </c>
    </row>
    <row r="1270" ht="30" customHeight="1" s="78">
      <c r="A1270" s="73" t="inlineStr">
        <is>
          <t>QA-018</t>
        </is>
      </c>
      <c r="B1270" s="73" t="n">
        <v>36</v>
      </c>
      <c r="C1270" s="73" t="inlineStr">
        <is>
          <t>|---|---|---|</t>
        </is>
      </c>
    </row>
    <row r="1271" ht="30" customHeight="1" s="78">
      <c r="A1271" s="73" t="inlineStr">
        <is>
          <t>QA-018</t>
        </is>
      </c>
      <c r="B1271" s="73" t="n">
        <v>37</v>
      </c>
      <c r="C1271" s="73" t="inlineStr">
        <is>
          <t>| Shared normal text contrast | PASS | At least 4.5:1 for primary/surface/secondary/status combinations |</t>
        </is>
      </c>
    </row>
    <row r="1272" ht="30" customHeight="1" s="78">
      <c r="A1272" s="73" t="inlineStr">
        <is>
          <t>QA-018</t>
        </is>
      </c>
      <c r="B1272" s="73" t="n">
        <v>38</v>
      </c>
      <c r="C1272" s="73" t="inlineStr">
        <is>
          <t>| Score badges, every integer percentage 0–100 | PASS | Contrast measured on actual 12%-tinted white badge background |</t>
        </is>
      </c>
    </row>
    <row r="1273" ht="30" customHeight="1" s="78">
      <c r="A1273" s="73" t="inlineStr">
        <is>
          <t>QA-018</t>
        </is>
      </c>
      <c r="B1273" s="73" t="n">
        <v>39</v>
      </c>
      <c r="C1273" s="73" t="inlineStr">
        <is>
          <t>| Catalog at 390, 768, 1440 width with 150% text | PASS | No layout exceptions; all six progress summaries render |</t>
        </is>
      </c>
    </row>
    <row r="1274" ht="39.95" customHeight="1" s="78">
      <c r="A1274" s="73" t="inlineStr">
        <is>
          <t>QA-018</t>
        </is>
      </c>
      <c r="B1274" s="73" t="n">
        <v>40</v>
      </c>
      <c r="C1274" s="73" t="inlineStr">
        <is>
          <t>| Full Flutter widget/unit suite | PASS | 85 tests, including roles, analytics, editor palettes, retry/loading, instructions, results and AI-off behavior |</t>
        </is>
      </c>
    </row>
    <row r="1275" ht="30" customHeight="1" s="78">
      <c r="A1275" s="73" t="inlineStr">
        <is>
          <t>QA-018</t>
        </is>
      </c>
      <c r="B1275" s="73" t="n">
        <v>41</v>
      </c>
      <c r="C1275" s="73" t="inlineStr">
        <is>
          <t>| Flutter analysis | PASS | No issues |</t>
        </is>
      </c>
    </row>
    <row r="1276" ht="30" customHeight="1" s="78">
      <c r="A1276" s="73" t="inlineStr">
        <is>
          <t>QA-018</t>
        </is>
      </c>
      <c r="B1276" s="73" t="n">
        <v>42</v>
      </c>
      <c r="C1276" s="73" t="inlineStr">
        <is>
          <t>| Release web build | PASS | OneDrive-safe copy, API_BASE_URL points to local 5100 |</t>
        </is>
      </c>
    </row>
    <row r="1277" ht="30" customHeight="1" s="78">
      <c r="A1277" s="73" t="inlineStr">
        <is>
          <t>QA-018</t>
        </is>
      </c>
      <c r="B1277" s="73" t="n">
        <v>43</v>
      </c>
      <c r="C1277" s="73" t="inlineStr">
        <is>
          <t>| Student browser: catalog toggle, account/header, saved quiz summary | PASS | Existing 30% quiz summary remains visible at normal 8180 URL |</t>
        </is>
      </c>
    </row>
    <row r="1278" ht="30" customHeight="1" s="78">
      <c r="A1278" s="73" t="inlineStr">
        <is>
          <t>QA-018</t>
        </is>
      </c>
      <c r="B1278" s="73" t="n">
        <v>44</v>
      </c>
      <c r="C1278" s="73" t="inlineStr">
        <is>
          <t>| Lesson reading at desktop and portrait phone width | PASS | Screenshot inspection: wrapping, headings, navigation |</t>
        </is>
      </c>
    </row>
    <row r="1279" ht="30" customHeight="1" s="78">
      <c r="A1279" s="73" t="inlineStr">
        <is>
          <t>QA-018</t>
        </is>
      </c>
      <c r="B1279" s="73" t="n">
        <v>45</v>
      </c>
      <c r="C1279" s="73" t="inlineStr">
        <is>
          <t>| Keyboard Home and catalog toggle | PASS | Enter activation and Tab focus inspected |</t>
        </is>
      </c>
    </row>
    <row r="1280" ht="30" customHeight="1" s="78">
      <c r="A1280" s="73" t="inlineStr">
        <is>
          <t>QA-018</t>
        </is>
      </c>
      <c r="B1280" s="73" t="n">
        <v>46</v>
      </c>
      <c r="C1280" s="73" t="inlineStr">
        <is>
          <t>| Results open before run; AI off | PASS | Distinct blue-tinted drawer; switch false; no request sent |</t>
        </is>
      </c>
    </row>
    <row r="1281" ht="39.95" customHeight="1" s="78">
      <c r="A1281" s="73" t="inlineStr">
        <is>
          <t>QA-018</t>
        </is>
      </c>
      <c r="B1281" s="73" t="n">
        <v>47</v>
      </c>
      <c r="C1281" s="73" t="inlineStr">
        <is>
          <t>| Final editor light/dark and drawer minimize | PASS | Both palettes visually inspected after repair; minimize returns to editor without changing code |</t>
        </is>
      </c>
    </row>
    <row r="1282" ht="30" customHeight="1" s="78">
      <c r="A1282" s="73" t="inlineStr">
        <is>
          <t>QA-018</t>
        </is>
      </c>
      <c r="B1282" s="73" t="n">
        <v>48</v>
      </c>
      <c r="C1282" s="73" t="inlineStr">
        <is>
          <t>| Instructor browser/account studio | NOT RUN | Role/dashboard widget coverage passed; separate instructor browser session not exercised |</t>
        </is>
      </c>
    </row>
    <row r="1283" ht="30" customHeight="1" s="78">
      <c r="A1283" s="73" t="inlineStr">
        <is>
          <t>QA-018</t>
        </is>
      </c>
      <c r="B1283" s="73" t="n">
        <v>49</v>
      </c>
      <c r="C1283" s="73" t="inlineStr">
        <is>
          <t>| New quiz submissions and six-assignment grading sweep | NOT RUN | Presentation-only change; avoid adding persistent study attempts |</t>
        </is>
      </c>
    </row>
    <row r="1284" ht="39.95" customHeight="1" s="78">
      <c r="A1284" s="73" t="inlineStr">
        <is>
          <t>QA-018</t>
        </is>
      </c>
      <c r="B1284" s="73" t="n">
        <v>50</v>
      </c>
      <c r="C1284" s="73" t="inlineStr">
        <is>
          <t>| Physical Ubuntu / other device / all screen-reader combinations | NOT RUN | This session is Windows desktop; not an accessibility certification |</t>
        </is>
      </c>
    </row>
    <row r="1285" ht="30" customHeight="1" s="78">
      <c r="A1285" s="73" t="inlineStr">
        <is>
          <t>QA-018</t>
        </is>
      </c>
      <c r="B1285" s="73" t="n">
        <v>51</v>
      </c>
      <c r="C1285" s="73" t="n"/>
    </row>
    <row r="1286" ht="30" customHeight="1" s="78">
      <c r="A1286" s="73" t="inlineStr">
        <is>
          <t>QA-018</t>
        </is>
      </c>
      <c r="B1286" s="73" t="n">
        <v>52</v>
      </c>
      <c r="C1286" s="73" t="inlineStr">
        <is>
          <t>`AGENTS.md` checked: no new environment, architecture, security or release rule</t>
        </is>
      </c>
    </row>
    <row r="1287" ht="30" customHeight="1" s="78">
      <c r="A1287" s="73" t="inlineStr">
        <is>
          <t>QA-018</t>
        </is>
      </c>
      <c r="B1287" s="73" t="n">
        <v>53</v>
      </c>
      <c r="C1287" s="73" t="inlineStr">
        <is>
          <t>introduced by visual polish, so no additional governance edit was needed.</t>
        </is>
      </c>
    </row>
    <row r="1288" ht="30" customHeight="1" s="78">
      <c r="A1288" s="73" t="inlineStr">
        <is>
          <t>QA-018</t>
        </is>
      </c>
      <c r="B1288" s="73" t="n">
        <v>54</v>
      </c>
      <c r="C1288" s="73" t="inlineStr">
        <is>
          <t>Existing unrelated course/backend changes, moved reference PDFs and answer-folder</t>
        </is>
      </c>
    </row>
    <row r="1289" ht="30" customHeight="1" s="78">
      <c r="A1289" s="73" t="inlineStr">
        <is>
          <t>QA-018</t>
        </is>
      </c>
      <c r="B1289" s="73" t="n">
        <v>55</v>
      </c>
      <c r="C1289" s="73" t="inlineStr">
        <is>
          <t>rename were preserved. Earlier full backend QA reported missing old</t>
        </is>
      </c>
    </row>
    <row r="1290" ht="30" customHeight="1" s="78">
      <c r="A1290" s="73" t="inlineStr">
        <is>
          <t>QA-018</t>
        </is>
      </c>
      <c r="B1290" s="73" t="n">
        <v>56</v>
      </c>
      <c r="C1290" s="73" t="inlineStr">
        <is>
          <t>`manual_sqa_answers` paths; that independent rename is not repaired here and</t>
        </is>
      </c>
    </row>
    <row r="1291" ht="30" customHeight="1" s="78">
      <c r="A1291" s="73" t="inlineStr">
        <is>
          <t>QA-018</t>
        </is>
      </c>
      <c r="B1291" s="73" t="n">
        <v>57</v>
      </c>
      <c r="C1291" s="73" t="inlineStr">
        <is>
          <t>remains a publication concern. No secrets, generated builds, or screenshots</t>
        </is>
      </c>
    </row>
    <row r="1292" ht="30" customHeight="1" s="78">
      <c r="A1292" s="73" t="inlineStr">
        <is>
          <t>QA-018</t>
        </is>
      </c>
      <c r="B1292" s="73" t="n">
        <v>58</v>
      </c>
      <c r="C1292" s="73" t="inlineStr">
        <is>
          <t>were added to Git. Screenshot evidence is in the local safe QA directory.</t>
        </is>
      </c>
    </row>
    <row r="1293" ht="30" customHeight="1" s="78">
      <c r="A1293" s="73" t="inlineStr">
        <is>
          <t>QA-018</t>
        </is>
      </c>
      <c r="B1293" s="73" t="n">
        <v>59</v>
      </c>
      <c r="C1293" s="73" t="n"/>
    </row>
    <row r="1294" ht="30" customHeight="1" s="78">
      <c r="A1294" s="73" t="inlineStr">
        <is>
          <t>QA-018</t>
        </is>
      </c>
      <c r="B1294" s="73" t="n">
        <v>60</v>
      </c>
      <c r="C1294" s="73" t="inlineStr">
        <is>
          <t>## v6.1 publication gate</t>
        </is>
      </c>
    </row>
    <row r="1295" ht="30" customHeight="1" s="78">
      <c r="A1295" s="73" t="inlineStr">
        <is>
          <t>QA-018</t>
        </is>
      </c>
      <c r="B1295" s="73" t="n">
        <v>61</v>
      </c>
      <c r="C1295" s="73" t="n"/>
    </row>
    <row r="1296" ht="30" customHeight="1" s="78">
      <c r="A1296" s="73" t="inlineStr">
        <is>
          <t>QA-018</t>
        </is>
      </c>
      <c r="B1296" s="73" t="n">
        <v>62</v>
      </c>
      <c r="C1296" s="73" t="inlineStr">
        <is>
          <t>The owner authorized staging `main` publication with commit message `v6.1`.</t>
        </is>
      </c>
    </row>
    <row r="1297" ht="30" customHeight="1" s="78">
      <c r="A1297" s="73" t="inlineStr">
        <is>
          <t>QA-018</t>
        </is>
      </c>
      <c r="B1297" s="73" t="n">
        <v>63</v>
      </c>
      <c r="C1297" s="73" t="inlineStr">
        <is>
          <t>The existing remote cleanup commit `b15efff` was retained. The commit excludes</t>
        </is>
      </c>
    </row>
    <row r="1298" ht="30" customHeight="1" s="78">
      <c r="A1298" s="73" t="inlineStr">
        <is>
          <t>QA-018</t>
        </is>
      </c>
      <c r="B1298" s="73" t="n">
        <v>64</v>
      </c>
      <c r="C1298" s="73" t="inlineStr">
        <is>
          <t>the unrelated local answer-folder rename, reference-PDF moves and content-build</t>
        </is>
      </c>
    </row>
    <row r="1299" ht="30" customHeight="1" s="78">
      <c r="A1299" s="73" t="inlineStr">
        <is>
          <t>QA-018</t>
        </is>
      </c>
      <c r="B1299" s="73" t="n">
        <v>65</v>
      </c>
      <c r="C1299" s="73" t="inlineStr">
        <is>
          <t>script cleanup; those files remain local user work.</t>
        </is>
      </c>
    </row>
    <row r="1300" ht="30" customHeight="1" s="78">
      <c r="A1300" s="73" t="inlineStr">
        <is>
          <t>QA-018</t>
        </is>
      </c>
      <c r="B1300" s="73" t="n">
        <v>66</v>
      </c>
      <c r="C1300" s="73" t="n"/>
    </row>
    <row r="1301" ht="30" customHeight="1" s="78">
      <c r="A1301" s="73" t="inlineStr">
        <is>
          <t>QA-018</t>
        </is>
      </c>
      <c r="B1301" s="73" t="n">
        <v>67</v>
      </c>
      <c r="C1301" s="73" t="inlineStr">
        <is>
          <t>- Full backend suite on an export of the exact staged Git contents: **215 passed**.</t>
        </is>
      </c>
    </row>
    <row r="1302" ht="30" customHeight="1" s="78">
      <c r="A1302" s="73" t="inlineStr">
        <is>
          <t>QA-018</t>
        </is>
      </c>
      <c r="B1302" s="73" t="n">
        <v>68</v>
      </c>
      <c r="C1302" s="73" t="inlineStr">
        <is>
          <t xml:space="preserve">  This export retains the tracked `manual_sqa_answers` folder, so the earlier</t>
        </is>
      </c>
    </row>
    <row r="1303" ht="30" customHeight="1" s="78">
      <c r="A1303" s="73" t="inlineStr">
        <is>
          <t>QA-018</t>
        </is>
      </c>
      <c r="B1303" s="73" t="n">
        <v>69</v>
      </c>
      <c r="C1303" s="73" t="inlineStr">
        <is>
          <t xml:space="preserve">  local-only missing-answer-path failures do not apply to the published snapshot.</t>
        </is>
      </c>
    </row>
    <row r="1304" ht="30" customHeight="1" s="78">
      <c r="A1304" s="73" t="inlineStr">
        <is>
          <t>QA-018</t>
        </is>
      </c>
      <c r="B1304" s="73" t="n">
        <v>70</v>
      </c>
      <c r="C1304" s="73" t="inlineStr">
        <is>
          <t>- Focused course/migration suite: **13 passed**; `pip check`: no broken requirements.</t>
        </is>
      </c>
    </row>
    <row r="1305" ht="30" customHeight="1" s="78">
      <c r="A1305" s="73" t="inlineStr">
        <is>
          <t>QA-018</t>
        </is>
      </c>
      <c r="B1305" s="73" t="n">
        <v>71</v>
      </c>
      <c r="C1305" s="73" t="inlineStr">
        <is>
          <t>- Frontend final revision: **85 passed**, analyzer clean, release web build passed.</t>
        </is>
      </c>
    </row>
    <row r="1306" ht="30" customHeight="1" s="78">
      <c r="A1306" s="73" t="inlineStr">
        <is>
          <t>QA-018</t>
        </is>
      </c>
      <c r="B1306" s="73" t="n">
        <v>72</v>
      </c>
      <c r="C1306" s="73" t="inlineStr">
        <is>
          <t>- Staged secret-pattern scan, forbidden tracked-path scan and diff whitespace</t>
        </is>
      </c>
    </row>
    <row r="1307" ht="30" customHeight="1" s="78">
      <c r="A1307" s="73" t="inlineStr">
        <is>
          <t>QA-018</t>
        </is>
      </c>
      <c r="B1307" s="73" t="n">
        <v>73</v>
      </c>
      <c r="C1307" s="73" t="inlineStr">
        <is>
          <t xml:space="preserve">  check: **PASS**. Private configuration and generated artifacts remain excluded.</t>
        </is>
      </c>
    </row>
    <row r="1308" ht="30" customHeight="1" s="78">
      <c r="A1308" s="73" t="inlineStr">
        <is>
          <t>QA-018</t>
        </is>
      </c>
      <c r="B1308" s="73" t="n">
        <v>74</v>
      </c>
      <c r="C1308" s="73" t="inlineStr">
        <is>
          <t>- Instructor manual browser and physical Ubuntu QA remain not run in this gate;</t>
        </is>
      </c>
    </row>
    <row r="1309" ht="30" customHeight="1" s="78">
      <c r="A1309" s="73" t="inlineStr">
        <is>
          <t>QA-018</t>
        </is>
      </c>
      <c r="B1309" s="73" t="n">
        <v>75</v>
      </c>
      <c r="C1309" s="73" t="inlineStr">
        <is>
          <t xml:space="preserve">  automated role/dashboard coverage passed. No production deployment authorized.</t>
        </is>
      </c>
    </row>
    <row r="1310" ht="30" customHeight="1" s="78">
      <c r="A1310" s="73" t="inlineStr">
        <is>
          <t>QA-018</t>
        </is>
      </c>
      <c r="B1310" s="73" t="n">
        <v>76</v>
      </c>
      <c r="C1310" s="73" t="n"/>
    </row>
    <row r="1311" ht="30" customHeight="1" s="78">
      <c r="A1311" s="73" t="inlineStr">
        <is>
          <t>QA-019</t>
        </is>
      </c>
      <c r="B1311" s="73" t="n">
        <v>1</v>
      </c>
      <c r="C1311" s="73" t="inlineStr">
        <is>
          <t># AI Tutor Phase 1 Staging SQA Report</t>
        </is>
      </c>
    </row>
    <row r="1312" ht="30" customHeight="1" s="78">
      <c r="A1312" s="73" t="inlineStr">
        <is>
          <t>QA-019</t>
        </is>
      </c>
      <c r="B1312" s="73" t="n">
        <v>2</v>
      </c>
      <c r="C1312" s="73" t="n"/>
    </row>
    <row r="1313" ht="30" customHeight="1" s="78">
      <c r="A1313" s="73" t="inlineStr">
        <is>
          <t>QA-019</t>
        </is>
      </c>
      <c r="B1313" s="73" t="n">
        <v>3</v>
      </c>
      <c r="C1313" s="73" t="inlineStr">
        <is>
          <t>**Date:** 2026-08-21</t>
        </is>
      </c>
    </row>
    <row r="1314" ht="30" customHeight="1" s="78">
      <c r="A1314" s="73" t="inlineStr">
        <is>
          <t>QA-019</t>
        </is>
      </c>
      <c r="B1314" s="73" t="n">
        <v>4</v>
      </c>
      <c r="C1314" s="73" t="n"/>
    </row>
    <row r="1315" ht="30" customHeight="1" s="78">
      <c r="A1315" s="73" t="inlineStr">
        <is>
          <t>QA-019</t>
        </is>
      </c>
      <c r="B1315" s="73" t="n">
        <v>5</v>
      </c>
      <c r="C1315" s="73" t="inlineStr">
        <is>
          <t>**Repository:** `CS-Ponkoj/Robotics-Programming-Lab-Staging`</t>
        </is>
      </c>
    </row>
    <row r="1316" ht="30" customHeight="1" s="78">
      <c r="A1316" s="73" t="inlineStr">
        <is>
          <t>QA-019</t>
        </is>
      </c>
      <c r="B1316" s="73" t="n">
        <v>6</v>
      </c>
      <c r="C1316" s="73" t="n"/>
    </row>
    <row r="1317" ht="30" customHeight="1" s="78">
      <c r="A1317" s="73" t="inlineStr">
        <is>
          <t>QA-019</t>
        </is>
      </c>
      <c r="B1317" s="73" t="n">
        <v>7</v>
      </c>
      <c r="C1317" s="73" t="inlineStr">
        <is>
          <t>**Local checkout:** `Robotics-Programming-Lab-Staging`</t>
        </is>
      </c>
    </row>
    <row r="1318" ht="30" customHeight="1" s="78">
      <c r="A1318" s="73" t="inlineStr">
        <is>
          <t>QA-019</t>
        </is>
      </c>
      <c r="B1318" s="73" t="n">
        <v>8</v>
      </c>
      <c r="C1318" s="73" t="n"/>
    </row>
    <row r="1319" ht="30" customHeight="1" s="78">
      <c r="A1319" s="73" t="inlineStr">
        <is>
          <t>QA-019</t>
        </is>
      </c>
      <c r="B1319" s="73" t="n">
        <v>9</v>
      </c>
      <c r="C1319" s="73" t="inlineStr">
        <is>
          <t>**Branch:** `ai-tutor-phase1`</t>
        </is>
      </c>
    </row>
    <row r="1320" ht="30" customHeight="1" s="78">
      <c r="A1320" s="73" t="inlineStr">
        <is>
          <t>QA-019</t>
        </is>
      </c>
      <c r="B1320" s="73" t="n">
        <v>10</v>
      </c>
      <c r="C1320" s="73" t="n"/>
    </row>
    <row r="1321" ht="30" customHeight="1" s="78">
      <c r="A1321" s="73" t="inlineStr">
        <is>
          <t>QA-019</t>
        </is>
      </c>
      <c r="B1321" s="73" t="n">
        <v>11</v>
      </c>
      <c r="C1321" s="73" t="inlineStr">
        <is>
          <t>**Baseline commit:** `09c2517e8e6950882901b048af262f06317a7880`</t>
        </is>
      </c>
    </row>
    <row r="1322" ht="30" customHeight="1" s="78">
      <c r="A1322" s="73" t="inlineStr">
        <is>
          <t>QA-019</t>
        </is>
      </c>
      <c r="B1322" s="73" t="n">
        <v>12</v>
      </c>
      <c r="C1322" s="73" t="n"/>
    </row>
    <row r="1323" ht="30" customHeight="1" s="78">
      <c r="A1323" s="73" t="inlineStr">
        <is>
          <t>QA-019</t>
        </is>
      </c>
      <c r="B1323" s="73" t="n">
        <v>13</v>
      </c>
      <c r="C1323" s="73" t="inlineStr">
        <is>
          <t>**Tested source state:** baseline commit plus the uncommitted Phase 1 working-tree</t>
        </is>
      </c>
    </row>
    <row r="1324" ht="30" customHeight="1" s="78">
      <c r="A1324" s="73" t="inlineStr">
        <is>
          <t>QA-019</t>
        </is>
      </c>
      <c r="B1324" s="73" t="n">
        <v>14</v>
      </c>
      <c r="C1324" s="73" t="inlineStr">
        <is>
          <t>diff listed in this report</t>
        </is>
      </c>
    </row>
    <row r="1325" ht="30" customHeight="1" s="78">
      <c r="A1325" s="73" t="inlineStr">
        <is>
          <t>QA-019</t>
        </is>
      </c>
      <c r="B1325" s="73" t="n">
        <v>15</v>
      </c>
      <c r="C1325" s="73" t="n"/>
    </row>
    <row r="1326" ht="30" customHeight="1" s="78">
      <c r="A1326" s="73" t="inlineStr">
        <is>
          <t>QA-019</t>
        </is>
      </c>
      <c r="B1326" s="73" t="n">
        <v>16</v>
      </c>
      <c r="C1326" s="73" t="inlineStr">
        <is>
          <t>**Environment:** Windows 11, Flutter web, FastAPI, SQLite, remote Python</t>
        </is>
      </c>
    </row>
    <row r="1327" ht="30" customHeight="1" s="78">
      <c r="A1327" s="73" t="inlineStr">
        <is>
          <t>QA-019</t>
        </is>
      </c>
      <c r="B1327" s="73" t="n">
        <v>17</v>
      </c>
      <c r="C1327" s="73" t="inlineStr">
        <is>
          <t>sandbox, ROS 2 Jazzy Docker grader</t>
        </is>
      </c>
    </row>
    <row r="1328" ht="30" customHeight="1" s="78">
      <c r="A1328" s="73" t="inlineStr">
        <is>
          <t>QA-019</t>
        </is>
      </c>
      <c r="B1328" s="73" t="n">
        <v>18</v>
      </c>
      <c r="C1328" s="73" t="n"/>
    </row>
    <row r="1329" ht="30" customHeight="1" s="78">
      <c r="A1329" s="73" t="inlineStr">
        <is>
          <t>QA-019</t>
        </is>
      </c>
      <c r="B1329" s="73" t="n">
        <v>19</v>
      </c>
      <c r="C1329" s="73" t="inlineStr">
        <is>
          <t>**AI mode:** opt-in; OpenAI key configured locally; deterministic fallback</t>
        </is>
      </c>
    </row>
    <row r="1330" ht="30" customHeight="1" s="78">
      <c r="A1330" s="73" t="inlineStr">
        <is>
          <t>QA-019</t>
        </is>
      </c>
      <c r="B1330" s="73" t="n">
        <v>20</v>
      </c>
      <c r="C1330" s="73" t="inlineStr">
        <is>
          <t>available</t>
        </is>
      </c>
    </row>
    <row r="1331" ht="30" customHeight="1" s="78">
      <c r="A1331" s="73" t="inlineStr">
        <is>
          <t>QA-019</t>
        </is>
      </c>
      <c r="B1331" s="73" t="n">
        <v>21</v>
      </c>
      <c r="C1331" s="73" t="n"/>
    </row>
    <row r="1332" ht="30" customHeight="1" s="78">
      <c r="A1332" s="73" t="inlineStr">
        <is>
          <t>QA-019</t>
        </is>
      </c>
      <c r="B1332" s="73" t="n">
        <v>22</v>
      </c>
      <c r="C1332" s="73" t="inlineStr">
        <is>
          <t>## Outcome</t>
        </is>
      </c>
    </row>
    <row r="1333" ht="30" customHeight="1" s="78">
      <c r="A1333" s="73" t="inlineStr">
        <is>
          <t>QA-019</t>
        </is>
      </c>
      <c r="B1333" s="73" t="n">
        <v>23</v>
      </c>
      <c r="C1333" s="73" t="n"/>
    </row>
    <row r="1334" ht="30" customHeight="1" s="78">
      <c r="A1334" s="73" t="inlineStr">
        <is>
          <t>QA-019</t>
        </is>
      </c>
      <c r="B1334" s="73" t="n">
        <v>24</v>
      </c>
      <c r="C1334" s="73" t="inlineStr">
        <is>
          <t>Phase 1 is functionally ready in staging. Test-case grading remains the only</t>
        </is>
      </c>
    </row>
    <row r="1335" ht="30" customHeight="1" s="78">
      <c r="A1335" s="73" t="inlineStr">
        <is>
          <t>QA-019</t>
        </is>
      </c>
      <c r="B1335" s="73" t="n">
        <v>25</v>
      </c>
      <c r="C1335" s="73" t="inlineStr">
        <is>
          <t>grading authority. The tutor can explain the first observed problem, recommend</t>
        </is>
      </c>
    </row>
    <row r="1336" ht="30" customHeight="1" s="78">
      <c r="A1336" s="73" t="inlineStr">
        <is>
          <t>QA-019</t>
        </is>
      </c>
      <c r="B1336" s="73" t="n">
        <v>26</v>
      </c>
      <c r="C1336" s="73" t="inlineStr">
        <is>
          <t>debugging steps, provide gradual hints, and answer a question about the latest</t>
        </is>
      </c>
    </row>
    <row r="1337" ht="30" customHeight="1" s="78">
      <c r="A1337" s="73" t="inlineStr">
        <is>
          <t>QA-019</t>
        </is>
      </c>
      <c r="B1337" s="73" t="n">
        <v>27</v>
      </c>
      <c r="C1337" s="73" t="inlineStr">
        <is>
          <t>attempt without receiving hidden tests, protected expected values, grader</t>
        </is>
      </c>
    </row>
    <row r="1338" ht="30" customHeight="1" s="78">
      <c r="A1338" s="73" t="inlineStr">
        <is>
          <t>QA-019</t>
        </is>
      </c>
      <c r="B1338" s="73" t="n">
        <v>28</v>
      </c>
      <c r="C1338" s="73" t="inlineStr">
        <is>
          <t>configuration, credentials, or official solutions.</t>
        </is>
      </c>
    </row>
    <row r="1339" ht="30" customHeight="1" s="78">
      <c r="A1339" s="73" t="inlineStr">
        <is>
          <t>QA-019</t>
        </is>
      </c>
      <c r="B1339" s="73" t="n">
        <v>29</v>
      </c>
      <c r="C1339" s="73" t="n"/>
    </row>
    <row r="1340" ht="30" customHeight="1" s="78">
      <c r="A1340" s="73" t="inlineStr">
        <is>
          <t>QA-019</t>
        </is>
      </c>
      <c r="B1340" s="73" t="n">
        <v>30</v>
      </c>
      <c r="C1340" s="73" t="inlineStr">
        <is>
          <t>All automated gates, maintained answers for Assignments 1-6, adversarial</t>
        </is>
      </c>
    </row>
    <row r="1341" ht="30" customHeight="1" s="78">
      <c r="A1341" s="73" t="inlineStr">
        <is>
          <t>QA-019</t>
        </is>
      </c>
      <c r="B1341" s="73" t="n">
        <v>31</v>
      </c>
      <c r="C1341" s="73" t="inlineStr">
        <is>
          <t>execution checks, student flows, instructor flows, desktop layout, mobile-width</t>
        </is>
      </c>
    </row>
    <row r="1342" ht="30" customHeight="1" s="78">
      <c r="A1342" s="73" t="inlineStr">
        <is>
          <t>QA-019</t>
        </is>
      </c>
      <c r="B1342" s="73" t="n">
        <v>32</v>
      </c>
      <c r="C1342" s="73" t="inlineStr">
        <is>
          <t>layout, keyboard behavior, research privacy checks, and safe fallback behavior</t>
        </is>
      </c>
    </row>
    <row r="1343" ht="30" customHeight="1" s="78">
      <c r="A1343" s="73" t="inlineStr">
        <is>
          <t>QA-019</t>
        </is>
      </c>
      <c r="B1343" s="73" t="n">
        <v>33</v>
      </c>
      <c r="C1343" s="73" t="inlineStr">
        <is>
          <t>passed. Real OpenAI wording and pedagogical correctness remain **blocked** from</t>
        </is>
      </c>
    </row>
    <row r="1344" ht="30" customHeight="1" s="78">
      <c r="A1344" s="73" t="inlineStr">
        <is>
          <t>QA-019</t>
        </is>
      </c>
      <c r="B1344" s="73" t="n">
        <v>34</v>
      </c>
      <c r="C1344" s="73" t="inlineStr">
        <is>
          <t>certification because the configured account returned `429 insufficient_quota`.</t>
        </is>
      </c>
    </row>
    <row r="1345" ht="30" customHeight="1" s="78">
      <c r="A1345" s="73" t="inlineStr">
        <is>
          <t>QA-019</t>
        </is>
      </c>
      <c r="B1345" s="73" t="n">
        <v>35</v>
      </c>
      <c r="C1345" s="73" t="inlineStr">
        <is>
          <t>The application handled that condition correctly and grading remained fully</t>
        </is>
      </c>
    </row>
    <row r="1346" ht="30" customHeight="1" s="78">
      <c r="A1346" s="73" t="inlineStr">
        <is>
          <t>QA-019</t>
        </is>
      </c>
      <c r="B1346" s="73" t="n">
        <v>36</v>
      </c>
      <c r="C1346" s="73" t="inlineStr">
        <is>
          <t>available.</t>
        </is>
      </c>
    </row>
    <row r="1347" ht="30" customHeight="1" s="78">
      <c r="A1347" s="73" t="inlineStr">
        <is>
          <t>QA-019</t>
        </is>
      </c>
      <c r="B1347" s="73" t="n">
        <v>37</v>
      </c>
      <c r="C1347" s="73" t="n"/>
    </row>
    <row r="1348" ht="30" customHeight="1" s="78">
      <c r="A1348" s="73" t="inlineStr">
        <is>
          <t>QA-019</t>
        </is>
      </c>
      <c r="B1348" s="73" t="n">
        <v>38</v>
      </c>
      <c r="C1348" s="73" t="inlineStr">
        <is>
          <t>## Feature and QA results</t>
        </is>
      </c>
    </row>
    <row r="1349" ht="30" customHeight="1" s="78">
      <c r="A1349" s="73" t="inlineStr">
        <is>
          <t>QA-019</t>
        </is>
      </c>
      <c r="B1349" s="73" t="n">
        <v>39</v>
      </c>
      <c r="C1349" s="73" t="n"/>
    </row>
    <row r="1350" ht="30" customHeight="1" s="78">
      <c r="A1350" s="73" t="inlineStr">
        <is>
          <t>QA-019</t>
        </is>
      </c>
      <c r="B1350" s="73" t="n">
        <v>40</v>
      </c>
      <c r="C1350" s="73" t="inlineStr">
        <is>
          <t>| Area | Test | Expected | Result | Evidence |</t>
        </is>
      </c>
    </row>
    <row r="1351" ht="30" customHeight="1" s="78">
      <c r="A1351" s="73" t="inlineStr">
        <is>
          <t>QA-019</t>
        </is>
      </c>
      <c r="B1351" s="73" t="n">
        <v>41</v>
      </c>
      <c r="C1351" s="73" t="inlineStr">
        <is>
          <t>|---|---|---|---|---|</t>
        </is>
      </c>
    </row>
    <row r="1352" ht="30" customHeight="1" s="78">
      <c r="A1352" s="73" t="inlineStr">
        <is>
          <t>QA-019</t>
        </is>
      </c>
      <c r="B1352" s="73" t="n">
        <v>42</v>
      </c>
      <c r="C1352" s="73" t="inlineStr">
        <is>
          <t>| Grading boundary | AI disabled by default | Ordinary test grading makes no model request | PASS | UI default and backend opt-in tests |</t>
        </is>
      </c>
    </row>
    <row r="1353" ht="30" customHeight="1" s="78">
      <c r="A1353" s="73" t="inlineStr">
        <is>
          <t>QA-019</t>
        </is>
      </c>
      <c r="B1353" s="73" t="n">
        <v>43</v>
      </c>
      <c r="C1353" s="73" t="inlineStr">
        <is>
          <t>| Grading boundary | AI cannot change grade | Score/pass state comes only from grader evidence | PASS | API tests and manual Assignment 1 run |</t>
        </is>
      </c>
    </row>
    <row r="1354" ht="39.95" customHeight="1" s="78">
      <c r="A1354" s="73" t="inlineStr">
        <is>
          <t>QA-019</t>
        </is>
      </c>
      <c r="B1354" s="73" t="n">
        <v>44</v>
      </c>
      <c r="C1354" s="73" t="inlineStr">
        <is>
          <t>| Structured feedback | Diagnosis, answer, debugging steps, guiding question, hint, next action | Strict bounded response | PASS | Tutor schema tests and rendered tutor card |</t>
        </is>
      </c>
    </row>
    <row r="1355" ht="39.95" customHeight="1" s="78">
      <c r="A1355" s="73" t="inlineStr">
        <is>
          <t>QA-019</t>
        </is>
      </c>
      <c r="B1355" s="73" t="n">
        <v>45</v>
      </c>
      <c r="C1355" s="73" t="inlineStr">
        <is>
          <t>| Student questions | Ask about latest owned submission | Structured answer or safe fallback | PASS | Endpoint, ownership, Flutter success/retry/manual tests |</t>
        </is>
      </c>
    </row>
    <row r="1356" ht="30" customHeight="1" s="78">
      <c r="A1356" s="73" t="inlineStr">
        <is>
          <t>QA-019</t>
        </is>
      </c>
      <c r="B1356" s="73" t="n">
        <v>46</v>
      </c>
      <c r="C1356" s="73" t="inlineStr">
        <is>
          <t>| Progressive support | Hint levels 1-4 | Increasing guidance without direct solution | PASS | Existing hint tests and tutor UI |</t>
        </is>
      </c>
    </row>
    <row r="1357" ht="30" customHeight="1" s="78">
      <c r="A1357" s="73" t="inlineStr">
        <is>
          <t>QA-019</t>
        </is>
      </c>
      <c r="B1357" s="73" t="n">
        <v>47</v>
      </c>
      <c r="C1357" s="73" t="inlineStr">
        <is>
          <t>| Solution protection | Request full answer/code | Refuse replacement solution | PASS | Policy tests and 24 instructor cases |</t>
        </is>
      </c>
    </row>
    <row r="1358" ht="30" customHeight="1" s="78">
      <c r="A1358" s="73" t="inlineStr">
        <is>
          <t>QA-019</t>
        </is>
      </c>
      <c r="B1358" s="73" t="n">
        <v>48</v>
      </c>
      <c r="C1358" s="73" t="inlineStr">
        <is>
          <t>| Hidden-test protection | Tutor input construction | No hidden source/config/expected values | PASS | Secret-sentinel and serialization tests |</t>
        </is>
      </c>
    </row>
    <row r="1359" ht="39.95" customHeight="1" s="78">
      <c r="A1359" s="73" t="inlineStr">
        <is>
          <t>QA-019</t>
        </is>
      </c>
      <c r="B1359" s="73" t="n">
        <v>49</v>
      </c>
      <c r="C1359" s="73" t="inlineStr">
        <is>
          <t>| Output protection | Model returns code/protected phrases/malformed JSON | Reject and use deterministic fallback | PASS | Tutor policy regression tests |</t>
        </is>
      </c>
    </row>
    <row r="1360" ht="30" customHeight="1" s="78">
      <c r="A1360" s="73" t="inlineStr">
        <is>
          <t>QA-019</t>
        </is>
      </c>
      <c r="B1360" s="73" t="n">
        <v>50</v>
      </c>
      <c r="C1360" s="73" t="inlineStr">
        <is>
          <t>| Privacy | Model response storage | OpenAI `store=false` | PASS | Captured request assertion |</t>
        </is>
      </c>
    </row>
    <row r="1361" ht="30" customHeight="1" s="78">
      <c r="A1361" s="73" t="inlineStr">
        <is>
          <t>QA-019</t>
        </is>
      </c>
      <c r="B1361" s="73" t="n">
        <v>51</v>
      </c>
      <c r="C1361" s="73" t="inlineStr">
        <is>
          <t>| Privacy | Student question research event | Store length/type, not raw question | PASS | Research contract and persistence tests |</t>
        </is>
      </c>
    </row>
    <row r="1362" ht="30" customHeight="1" s="78">
      <c r="A1362" s="73" t="inlineStr">
        <is>
          <t>QA-019</t>
        </is>
      </c>
      <c r="B1362" s="73" t="n">
        <v>52</v>
      </c>
      <c r="C1362" s="73" t="inlineStr">
        <is>
          <t>| Authorization | Student asks about another student's submission | Reject | PASS | Cross-student API test |</t>
        </is>
      </c>
    </row>
    <row r="1363" ht="30" customHeight="1" s="78">
      <c r="A1363" s="73" t="inlineStr">
        <is>
          <t>QA-019</t>
        </is>
      </c>
      <c r="B1363" s="73" t="n">
        <v>53</v>
      </c>
      <c r="C1363" s="73" t="inlineStr">
        <is>
          <t>| Authorization | Unauthenticated tutor request | Reject | PASS | API authentication test |</t>
        </is>
      </c>
    </row>
    <row r="1364" ht="30" customHeight="1" s="78">
      <c r="A1364" s="73" t="inlineStr">
        <is>
          <t>QA-019</t>
        </is>
      </c>
      <c r="B1364" s="73" t="n">
        <v>54</v>
      </c>
      <c r="C1364" s="73" t="inlineStr">
        <is>
          <t>| Abuse control | Repeated questions | Rate limit with recoverable UI error | PASS | Backend 429 and Flutter retry tests |</t>
        </is>
      </c>
    </row>
    <row r="1365" ht="39.95" customHeight="1" s="78">
      <c r="A1365" s="73" t="inlineStr">
        <is>
          <t>QA-019</t>
        </is>
      </c>
      <c r="B1365" s="73" t="n">
        <v>55</v>
      </c>
      <c r="C1365" s="73" t="inlineStr">
        <is>
          <t>| Reliability | Missing key/provider error/malformed response | Grading succeeds with built-in tutor | PASS | Unit tests and manual no-credit fallback |</t>
        </is>
      </c>
    </row>
    <row r="1366" ht="30" customHeight="1" s="78">
      <c r="A1366" s="73" t="inlineStr">
        <is>
          <t>QA-019</t>
        </is>
      </c>
      <c r="B1366" s="73" t="n">
        <v>56</v>
      </c>
      <c r="C1366" s="73" t="inlineStr">
        <is>
          <t>| Assignment coverage | AI evaluation datasets | Four cases for each Assignment 1-6 | PASS | 24/24 controlled cases passed safe pipeline |</t>
        </is>
      </c>
    </row>
    <row r="1367" ht="30" customHeight="1" s="78">
      <c r="A1367" s="73" t="inlineStr">
        <is>
          <t>QA-019</t>
        </is>
      </c>
      <c r="B1367" s="73" t="n">
        <v>57</v>
      </c>
      <c r="C1367" s="73" t="inlineStr">
        <is>
          <t>| Assignment 1 | Maintained Python answer | 100%, 4/4 | PASS | Local authenticated API: 0.40 s |</t>
        </is>
      </c>
    </row>
    <row r="1368" ht="30" customHeight="1" s="78">
      <c r="A1368" s="73" t="inlineStr">
        <is>
          <t>QA-019</t>
        </is>
      </c>
      <c r="B1368" s="73" t="n">
        <v>58</v>
      </c>
      <c r="C1368" s="73" t="inlineStr">
        <is>
          <t>| Assignment 2 | Maintained Python answer | 100%, 4/4 | PASS | Local authenticated API: 0.39 s |</t>
        </is>
      </c>
    </row>
    <row r="1369" ht="30" customHeight="1" s="78">
      <c r="A1369" s="73" t="inlineStr">
        <is>
          <t>QA-019</t>
        </is>
      </c>
      <c r="B1369" s="73" t="n">
        <v>59</v>
      </c>
      <c r="C1369" s="73" t="inlineStr">
        <is>
          <t>| Assignment 3 | Maintained Python answer | 100%, 6/6 | PASS | Local authenticated API: 0.74 s |</t>
        </is>
      </c>
    </row>
    <row r="1370" ht="30" customHeight="1" s="78">
      <c r="A1370" s="73" t="inlineStr">
        <is>
          <t>QA-019</t>
        </is>
      </c>
      <c r="B1370" s="73" t="n">
        <v>60</v>
      </c>
      <c r="C1370" s="73" t="inlineStr">
        <is>
          <t>| Assignment 4 | Maintained Python answer | 100%, 2/2 | PASS | Local authenticated API: 0.53 s |</t>
        </is>
      </c>
    </row>
    <row r="1371" ht="30" customHeight="1" s="78">
      <c r="A1371" s="73" t="inlineStr">
        <is>
          <t>QA-019</t>
        </is>
      </c>
      <c r="B1371" s="73" t="n">
        <v>61</v>
      </c>
      <c r="C1371" s="73" t="inlineStr">
        <is>
          <t>| Assignment 5 | Maintained ROS 2 answer | 100%, 7/7 | PASS | Real Jazzy Docker grader, 79 messages at about 10 Hz |</t>
        </is>
      </c>
    </row>
    <row r="1372" ht="30" customHeight="1" s="78">
      <c r="A1372" s="73" t="inlineStr">
        <is>
          <t>QA-019</t>
        </is>
      </c>
      <c r="B1372" s="73" t="n">
        <v>62</v>
      </c>
      <c r="C1372" s="73" t="inlineStr">
        <is>
          <t>| Assignment 6 | Maintained ROS 2 answer | 100%, 9/9 | PASS | Real Jazzy Docker grader, 44 settled messages at about 9.2 Hz |</t>
        </is>
      </c>
    </row>
    <row r="1373" ht="30" customHeight="1" s="78">
      <c r="A1373" s="73" t="inlineStr">
        <is>
          <t>QA-019</t>
        </is>
      </c>
      <c r="B1373" s="73" t="n">
        <v>63</v>
      </c>
      <c r="C1373" s="73" t="inlineStr">
        <is>
          <t>| Incorrect code | Assignment 2 wrong value | Graded failure | PASS | 200 response, `pass=false` |</t>
        </is>
      </c>
    </row>
    <row r="1374" ht="30" customHeight="1" s="78">
      <c r="A1374" s="73" t="inlineStr">
        <is>
          <t>QA-019</t>
        </is>
      </c>
      <c r="B1374" s="73" t="n">
        <v>64</v>
      </c>
      <c r="C1374" s="73" t="inlineStr">
        <is>
          <t>| Syntax error | Invalid Python | Safe syntax classification | PASS | 200 response, `syntax_error` |</t>
        </is>
      </c>
    </row>
    <row r="1375" ht="30" customHeight="1" s="78">
      <c r="A1375" s="73" t="inlineStr">
        <is>
          <t>QA-019</t>
        </is>
      </c>
      <c r="B1375" s="73" t="n">
        <v>65</v>
      </c>
      <c r="C1375" s="73" t="inlineStr">
        <is>
          <t>| Runtime error | Division by zero | Safe runtime classification | PASS | 200 response, `runtime_error` |</t>
        </is>
      </c>
    </row>
    <row r="1376" ht="30" customHeight="1" s="78">
      <c r="A1376" s="73" t="inlineStr">
        <is>
          <t>QA-019</t>
        </is>
      </c>
      <c r="B1376" s="73" t="n">
        <v>66</v>
      </c>
      <c r="C1376" s="73" t="inlineStr">
        <is>
          <t>| Infinite loop | Non-terminating code | Bounded timeout | PASS | `timeout` after 5.39 s |</t>
        </is>
      </c>
    </row>
    <row r="1377" ht="30" customHeight="1" s="78">
      <c r="A1377" s="73" t="inlineStr">
        <is>
          <t>QA-019</t>
        </is>
      </c>
      <c r="B1377" s="73" t="n">
        <v>67</v>
      </c>
      <c r="C1377" s="73" t="inlineStr">
        <is>
          <t>| Excessive output | 200,000-character print | Output bounded | PASS | Returned output limited to about 20,000 characters |</t>
        </is>
      </c>
    </row>
    <row r="1378" ht="30" customHeight="1" s="78">
      <c r="A1378" s="73" t="inlineStr">
        <is>
          <t>QA-019</t>
        </is>
      </c>
      <c r="B1378" s="73" t="n">
        <v>68</v>
      </c>
      <c r="C1378" s="73" t="inlineStr">
        <is>
          <t>| Unsafe import | `import os` | Sandbox rejection | PASS | `rejected` in 0.45 s |</t>
        </is>
      </c>
    </row>
    <row r="1379" ht="30" customHeight="1" s="78">
      <c r="A1379" s="73" t="inlineStr">
        <is>
          <t>QA-019</t>
        </is>
      </c>
      <c r="B1379" s="73" t="n">
        <v>69</v>
      </c>
      <c r="C1379" s="73" t="inlineStr">
        <is>
          <t>| Oversized submission | More than 50,000 characters | Request rejected | PASS | HTTP 413 in 0.01 s |</t>
        </is>
      </c>
    </row>
    <row r="1380" ht="39.95" customHeight="1" s="78">
      <c r="A1380" s="73" t="inlineStr">
        <is>
          <t>QA-019</t>
        </is>
      </c>
      <c r="B1380" s="73" t="n">
        <v>70</v>
      </c>
      <c r="C1380" s="73" t="inlineStr">
        <is>
          <t>| Student browser | Login, six assignments, editor, run, opt-in tutor, question | Complete without hang or console error | PASS | Manual Flutter web QA on `127.0.0.1:8180` |</t>
        </is>
      </c>
    </row>
    <row r="1381" ht="39.95" customHeight="1" s="78">
      <c r="A1381" s="73" t="inlineStr">
        <is>
          <t>QA-019</t>
        </is>
      </c>
      <c r="B1381" s="73" t="n">
        <v>71</v>
      </c>
      <c r="C1381" s="73" t="inlineStr">
        <is>
          <t>| Demo browser | Temporary student capabilities | Student tools available without permanent study data | PASS | Manual demo flow plus persistence regressions |</t>
        </is>
      </c>
    </row>
    <row r="1382" ht="39.95" customHeight="1" s="78">
      <c r="A1382" s="73" t="inlineStr">
        <is>
          <t>QA-019</t>
        </is>
      </c>
      <c r="B1382" s="73" t="n">
        <v>72</v>
      </c>
      <c r="C1382" s="73" t="inlineStr">
        <is>
          <t>| Instructor browser | Login, six-assignment studio, student accounts, research dashboard | Authorized management views render | PASS | Manual Flutter web QA |</t>
        </is>
      </c>
    </row>
    <row r="1383" ht="30" customHeight="1" s="78">
      <c r="A1383" s="73" t="inlineStr">
        <is>
          <t>QA-019</t>
        </is>
      </c>
      <c r="B1383" s="73" t="n">
        <v>73</v>
      </c>
      <c r="C1383" s="73" t="inlineStr">
        <is>
          <t>| Responsive design | 390 x 844 viewport | No clipped dashboard controls/data | PASS | Manual mobile-width screenshot and widget tests |</t>
        </is>
      </c>
    </row>
    <row r="1384" ht="30" customHeight="1" s="78">
      <c r="A1384" s="73" t="inlineStr">
        <is>
          <t>QA-019</t>
        </is>
      </c>
      <c r="B1384" s="73" t="n">
        <v>74</v>
      </c>
      <c r="C1384" s="73" t="inlineStr">
        <is>
          <t>| Keyboard/accessibility | Ctrl+Enter, labels, live error regions, narrow results | Operable and readable | PASS | Flutter widget tests |</t>
        </is>
      </c>
    </row>
    <row r="1385" ht="30" customHeight="1" s="78">
      <c r="A1385" s="73" t="inlineStr">
        <is>
          <t>QA-019</t>
        </is>
      </c>
      <c r="B1385" s="73" t="n">
        <v>75</v>
      </c>
      <c r="C1385" s="73" t="inlineStr">
        <is>
          <t>| Backend regression | Entire backend suite | No failures | PASS | 166 pytest tests |</t>
        </is>
      </c>
    </row>
    <row r="1386" ht="30" customHeight="1" s="78">
      <c r="A1386" s="73" t="inlineStr">
        <is>
          <t>QA-019</t>
        </is>
      </c>
      <c r="B1386" s="73" t="n">
        <v>76</v>
      </c>
      <c r="C1386" s="73" t="inlineStr">
        <is>
          <t>| Frontend regression | Analyze and all Flutter tests | No issues/failures | PASS | Analyzer clean; 48 Flutter tests |</t>
        </is>
      </c>
    </row>
    <row r="1387" ht="30" customHeight="1" s="78">
      <c r="A1387" s="73" t="inlineStr">
        <is>
          <t>QA-019</t>
        </is>
      </c>
      <c r="B1387" s="73" t="n">
        <v>77</v>
      </c>
      <c r="C1387" s="73" t="inlineStr">
        <is>
          <t>| Release build | Flutter web release compilation | Successful | PASS | OneDrive-safe release build completed |</t>
        </is>
      </c>
    </row>
    <row r="1388" ht="30" customHeight="1" s="78">
      <c r="A1388" s="73" t="inlineStr">
        <is>
          <t>QA-019</t>
        </is>
      </c>
      <c r="B1388" s="73" t="n">
        <v>78</v>
      </c>
      <c r="C1388" s="73" t="inlineStr">
        <is>
          <t>| Dependencies | Python environment consistency | No broken requirements | PASS | `pip check` clean |</t>
        </is>
      </c>
    </row>
    <row r="1389" ht="30" customHeight="1" s="78">
      <c r="A1389" s="73" t="inlineStr">
        <is>
          <t>QA-019</t>
        </is>
      </c>
      <c r="B1389" s="73" t="n">
        <v>79</v>
      </c>
      <c r="C1389" s="73" t="inlineStr">
        <is>
          <t>| Service health | Managed API and sandbox | Healthy | PASS | Verification script health checks |</t>
        </is>
      </c>
    </row>
    <row r="1390" ht="39.95" customHeight="1" s="78">
      <c r="A1390" s="73" t="inlineStr">
        <is>
          <t>QA-019</t>
        </is>
      </c>
      <c r="B1390" s="73" t="n">
        <v>80</v>
      </c>
      <c r="C1390" s="73" t="inlineStr">
        <is>
          <t>| OpenAI live semantic quality | Real provider answer against approved cases | Correct, pedagogical, non-revealing answers | BLOCKED | Provider returned `429 insufficient_quota`; no provider answer existed to score |</t>
        </is>
      </c>
    </row>
    <row r="1391" ht="39.95" customHeight="1" s="78">
      <c r="A1391" s="73" t="inlineStr">
        <is>
          <t>QA-019</t>
        </is>
      </c>
      <c r="B1391" s="73" t="n">
        <v>81</v>
      </c>
      <c r="C1391" s="73" t="inlineStr">
        <is>
          <t>| External-device/network | Separate physical computer/network | Complete browser workflow | NOT RUN | Current SQA was local to this Windows machine |</t>
        </is>
      </c>
    </row>
    <row r="1392" ht="30" customHeight="1" s="78">
      <c r="A1392" s="73" t="inlineStr">
        <is>
          <t>QA-019</t>
        </is>
      </c>
      <c r="B1392" s="73" t="n">
        <v>82</v>
      </c>
      <c r="C1392" s="73" t="n"/>
    </row>
    <row r="1393" ht="30" customHeight="1" s="78">
      <c r="A1393" s="73" t="inlineStr">
        <is>
          <t>QA-019</t>
        </is>
      </c>
      <c r="B1393" s="73" t="n">
        <v>83</v>
      </c>
      <c r="C1393" s="73" t="inlineStr">
        <is>
          <t>## Bugs found and resolved</t>
        </is>
      </c>
    </row>
    <row r="1394" ht="30" customHeight="1" s="78">
      <c r="A1394" s="73" t="inlineStr">
        <is>
          <t>QA-019</t>
        </is>
      </c>
      <c r="B1394" s="73" t="n">
        <v>84</v>
      </c>
      <c r="C1394" s="73" t="n"/>
    </row>
    <row r="1395" ht="30" customHeight="1" s="78">
      <c r="A1395" s="73" t="inlineStr">
        <is>
          <t>QA-019</t>
        </is>
      </c>
      <c r="B1395" s="73" t="n">
        <v>85</v>
      </c>
      <c r="C1395" s="73" t="inlineStr">
        <is>
          <t>| ID | Problem | Fix | Verification |</t>
        </is>
      </c>
    </row>
    <row r="1396" ht="30" customHeight="1" s="78">
      <c r="A1396" s="73" t="inlineStr">
        <is>
          <t>QA-019</t>
        </is>
      </c>
      <c r="B1396" s="73" t="n">
        <v>86</v>
      </c>
      <c r="C1396" s="73" t="inlineStr">
        <is>
          <t>|---|---|---|---|</t>
        </is>
      </c>
    </row>
    <row r="1397" ht="39.95" customHeight="1" s="78">
      <c r="A1397" s="73" t="inlineStr">
        <is>
          <t>QA-019</t>
        </is>
      </c>
      <c r="B1397" s="73" t="n">
        <v>87</v>
      </c>
      <c r="C1397" s="73" t="inlineStr">
        <is>
          <t>| AI-01 | Flutter discarded most structured tutor fields after decoding the submit response | Preserve the complete `tutor_feedback` map in the feedback DTO | DTO and rendered-card tests pass |</t>
        </is>
      </c>
    </row>
    <row r="1398" ht="39.95" customHeight="1" s="78">
      <c r="A1398" s="73" t="inlineStr">
        <is>
          <t>QA-019</t>
        </is>
      </c>
      <c r="B1398" s="73" t="n">
        <v>88</v>
      </c>
      <c r="C1398" s="73" t="inlineStr">
        <is>
          <t>| AI-02 | A returned tutor response could render without keeping the question form available if the local toggle state changed | Treat returned tutor feedback as authoritative tutor availability | Regression test and manual browser flow pass |</t>
        </is>
      </c>
    </row>
    <row r="1399" ht="39.95" customHeight="1" s="78">
      <c r="A1399" s="73" t="inlineStr">
        <is>
          <t>QA-019</t>
        </is>
      </c>
      <c r="B1399" s="73" t="n">
        <v>89</v>
      </c>
      <c r="C1399" s="73" t="inlineStr">
        <is>
          <t>| AI-03 | Question retries could lose context or produce duplicate requests | Keep the typed question, show a recoverable error, and disable duplicate sends while loading | Retry and duplicate-request widget tests pass |</t>
        </is>
      </c>
    </row>
    <row r="1400" ht="39.95" customHeight="1" s="78">
      <c r="A1400" s="73" t="inlineStr">
        <is>
          <t>QA-019</t>
        </is>
      </c>
      <c r="B1400" s="73" t="n">
        <v>90</v>
      </c>
      <c r="C1400" s="73" t="inlineStr">
        <is>
          <t>| AI-04 | A free-form model response could violate the expected response contract | Require strict JSON schema validation and apply output solution-leakage checks | Malformed and unsafe-output tests fall back safely |</t>
        </is>
      </c>
    </row>
    <row r="1401" ht="39.95" customHeight="1" s="78">
      <c r="A1401" s="73" t="inlineStr">
        <is>
          <t>QA-019</t>
        </is>
      </c>
      <c r="B1401" s="73" t="n">
        <v>91</v>
      </c>
      <c r="C1401" s="73" t="inlineStr">
        <is>
          <t>| AI-05 | Question text could have entered general learning-event storage | Persist only interaction type and question length in research events | Privacy regression test passes |</t>
        </is>
      </c>
    </row>
    <row r="1402" ht="39.95" customHeight="1" s="78">
      <c r="A1402" s="73" t="inlineStr">
        <is>
          <t>QA-019</t>
        </is>
      </c>
      <c r="B1402" s="73" t="n">
        <v>92</v>
      </c>
      <c r="C1402" s="73" t="inlineStr">
        <is>
          <t>| QA-01 | Port 8080 showed an older cached Flutter service worker during manual QA | Repeated the test on clean local origin 8180 and verified the compiled source/API response | Current tutor form and response rendered correctly |</t>
        </is>
      </c>
    </row>
    <row r="1403" ht="30" customHeight="1" s="78">
      <c r="A1403" s="73" t="inlineStr">
        <is>
          <t>QA-019</t>
        </is>
      </c>
      <c r="B1403" s="73" t="n">
        <v>93</v>
      </c>
      <c r="C1403" s="73" t="n"/>
    </row>
    <row r="1404" ht="30" customHeight="1" s="78">
      <c r="A1404" s="73" t="inlineStr">
        <is>
          <t>QA-019</t>
        </is>
      </c>
      <c r="B1404" s="73" t="n">
        <v>94</v>
      </c>
      <c r="C1404" s="73" t="inlineStr">
        <is>
          <t>## Verification commands</t>
        </is>
      </c>
    </row>
    <row r="1405" ht="30" customHeight="1" s="78">
      <c r="A1405" s="73" t="inlineStr">
        <is>
          <t>QA-019</t>
        </is>
      </c>
      <c r="B1405" s="73" t="n">
        <v>95</v>
      </c>
      <c r="C1405" s="73" t="n"/>
    </row>
    <row r="1406" ht="30" customHeight="1" s="78">
      <c r="A1406" s="73" t="inlineStr">
        <is>
          <t>QA-019</t>
        </is>
      </c>
      <c r="B1406" s="73" t="n">
        <v>96</v>
      </c>
      <c r="C1406" s="73" t="inlineStr">
        <is>
          <t>```powershell</t>
        </is>
      </c>
    </row>
    <row r="1407" ht="30" customHeight="1" s="78">
      <c r="A1407" s="73" t="inlineStr">
        <is>
          <t>QA-019</t>
        </is>
      </c>
      <c r="B1407" s="73" t="n">
        <v>97</v>
      </c>
      <c r="C1407" s="73" t="inlineStr">
        <is>
          <t>.\scripts\verify-local.ps1 -ApiBaseUrl http://127.0.0.1:5000</t>
        </is>
      </c>
    </row>
    <row r="1408" ht="30" customHeight="1" s="78">
      <c r="A1408" s="73" t="inlineStr">
        <is>
          <t>QA-019</t>
        </is>
      </c>
      <c r="B1408" s="73" t="n">
        <v>98</v>
      </c>
      <c r="C1408" s="73" t="inlineStr">
        <is>
          <t>.\scripts\check-ros2-local.ps1</t>
        </is>
      </c>
    </row>
    <row r="1409" ht="30" customHeight="1" s="78">
      <c r="A1409" s="73" t="inlineStr">
        <is>
          <t>QA-019</t>
        </is>
      </c>
      <c r="B1409" s="73" t="n">
        <v>99</v>
      </c>
      <c r="C1409" s="73" t="n"/>
    </row>
    <row r="1410" ht="30" customHeight="1" s="78">
      <c r="A1410" s="73" t="inlineStr">
        <is>
          <t>QA-019</t>
        </is>
      </c>
      <c r="B1410" s="73" t="n">
        <v>100</v>
      </c>
      <c r="C1410" s="73" t="inlineStr">
        <is>
          <t>Set-Location .\backend</t>
        </is>
      </c>
    </row>
    <row r="1411" ht="30" customHeight="1" s="78">
      <c r="A1411" s="73" t="inlineStr">
        <is>
          <t>QA-019</t>
        </is>
      </c>
      <c r="B1411" s="73" t="n">
        <v>101</v>
      </c>
      <c r="C1411" s="73" t="inlineStr">
        <is>
          <t>..\venv\Scripts\python.exe -m pytest tests\test_tutor_evaluations.py tests\test_tutor.py -q</t>
        </is>
      </c>
    </row>
    <row r="1412" ht="30" customHeight="1" s="78">
      <c r="A1412" s="73" t="inlineStr">
        <is>
          <t>QA-019</t>
        </is>
      </c>
      <c r="B1412" s="73" t="n">
        <v>102</v>
      </c>
      <c r="C1412" s="73" t="inlineStr">
        <is>
          <t>```</t>
        </is>
      </c>
    </row>
    <row r="1413" ht="30" customHeight="1" s="78">
      <c r="A1413" s="73" t="inlineStr">
        <is>
          <t>QA-019</t>
        </is>
      </c>
      <c r="B1413" s="73" t="n">
        <v>103</v>
      </c>
      <c r="C1413" s="73" t="n"/>
    </row>
    <row r="1414" ht="30" customHeight="1" s="78">
      <c r="A1414" s="73" t="inlineStr">
        <is>
          <t>QA-019</t>
        </is>
      </c>
      <c r="B1414" s="73" t="n">
        <v>104</v>
      </c>
      <c r="C1414" s="73" t="inlineStr">
        <is>
          <t>Results:</t>
        </is>
      </c>
    </row>
    <row r="1415" ht="30" customHeight="1" s="78">
      <c r="A1415" s="73" t="inlineStr">
        <is>
          <t>QA-019</t>
        </is>
      </c>
      <c r="B1415" s="73" t="n">
        <v>105</v>
      </c>
      <c r="C1415" s="73" t="n"/>
    </row>
    <row r="1416" ht="30" customHeight="1" s="78">
      <c r="A1416" s="73" t="inlineStr">
        <is>
          <t>QA-019</t>
        </is>
      </c>
      <c r="B1416" s="73" t="n">
        <v>106</v>
      </c>
      <c r="C1416" s="73" t="inlineStr">
        <is>
          <t>- complete backend suite: 166 passed;</t>
        </is>
      </c>
    </row>
    <row r="1417" ht="30" customHeight="1" s="78">
      <c r="A1417" s="73" t="inlineStr">
        <is>
          <t>QA-019</t>
        </is>
      </c>
      <c r="B1417" s="73" t="n">
        <v>107</v>
      </c>
      <c r="C1417" s="73" t="inlineStr">
        <is>
          <t>- focused tutor suite: 31 passed;</t>
        </is>
      </c>
    </row>
    <row r="1418" ht="30" customHeight="1" s="78">
      <c r="A1418" s="73" t="inlineStr">
        <is>
          <t>QA-019</t>
        </is>
      </c>
      <c r="B1418" s="73" t="n">
        <v>108</v>
      </c>
      <c r="C1418" s="73" t="inlineStr">
        <is>
          <t>- Flutter suite: 48 passed;</t>
        </is>
      </c>
    </row>
    <row r="1419" ht="30" customHeight="1" s="78">
      <c r="A1419" s="73" t="inlineStr">
        <is>
          <t>QA-019</t>
        </is>
      </c>
      <c r="B1419" s="73" t="n">
        <v>109</v>
      </c>
      <c r="C1419" s="73" t="inlineStr">
        <is>
          <t>- Flutter analyzer: no issues;</t>
        </is>
      </c>
    </row>
    <row r="1420" ht="30" customHeight="1" s="78">
      <c r="A1420" s="73" t="inlineStr">
        <is>
          <t>QA-019</t>
        </is>
      </c>
      <c r="B1420" s="73" t="n">
        <v>110</v>
      </c>
      <c r="C1420" s="73" t="inlineStr">
        <is>
          <t>- release web build: passed;</t>
        </is>
      </c>
    </row>
    <row r="1421" ht="30" customHeight="1" s="78">
      <c r="A1421" s="73" t="inlineStr">
        <is>
          <t>QA-019</t>
        </is>
      </c>
      <c r="B1421" s="73" t="n">
        <v>111</v>
      </c>
      <c r="C1421" s="73" t="inlineStr">
        <is>
          <t>- Assignment 1-4 maintained answers: all 100%;</t>
        </is>
      </c>
    </row>
    <row r="1422" ht="30" customHeight="1" s="78">
      <c r="A1422" s="73" t="inlineStr">
        <is>
          <t>QA-019</t>
        </is>
      </c>
      <c r="B1422" s="73" t="n">
        <v>112</v>
      </c>
      <c r="C1422" s="73" t="inlineStr">
        <is>
          <t>- Assignment 5-6 maintained answers: both 100% in the real ROS 2 grader.</t>
        </is>
      </c>
    </row>
    <row r="1423" ht="30" customHeight="1" s="78">
      <c r="A1423" s="73" t="inlineStr">
        <is>
          <t>QA-019</t>
        </is>
      </c>
      <c r="B1423" s="73" t="n">
        <v>113</v>
      </c>
      <c r="C1423" s="73" t="n"/>
    </row>
    <row r="1424" ht="30" customHeight="1" s="78">
      <c r="A1424" s="73" t="inlineStr">
        <is>
          <t>QA-019</t>
        </is>
      </c>
      <c r="B1424" s="73" t="n">
        <v>114</v>
      </c>
      <c r="C1424" s="73" t="inlineStr">
        <is>
          <t>## Release decision</t>
        </is>
      </c>
    </row>
    <row r="1425" ht="30" customHeight="1" s="78">
      <c r="A1425" s="73" t="inlineStr">
        <is>
          <t>QA-019</t>
        </is>
      </c>
      <c r="B1425" s="73" t="n">
        <v>115</v>
      </c>
      <c r="C1425" s="73" t="n"/>
    </row>
    <row r="1426" ht="30" customHeight="1" s="78">
      <c r="A1426" s="73" t="inlineStr">
        <is>
          <t>QA-019</t>
        </is>
      </c>
      <c r="B1426" s="73" t="n">
        <v>116</v>
      </c>
      <c r="C1426" s="73" t="inlineStr">
        <is>
          <t>**Staging implementation decision: PASS with one external limitation.** The</t>
        </is>
      </c>
    </row>
    <row r="1427" ht="30" customHeight="1" s="78">
      <c r="A1427" s="73" t="inlineStr">
        <is>
          <t>QA-019</t>
        </is>
      </c>
      <c r="B1427" s="73" t="n">
        <v>117</v>
      </c>
      <c r="C1427" s="73" t="inlineStr">
        <is>
          <t>feature is safe and usable with the deterministic tutor today. Do not claim</t>
        </is>
      </c>
    </row>
    <row r="1428" ht="30" customHeight="1" s="78">
      <c r="A1428" s="73" t="inlineStr">
        <is>
          <t>QA-019</t>
        </is>
      </c>
      <c r="B1428" s="73" t="n">
        <v>118</v>
      </c>
      <c r="C1428" s="73" t="inlineStr">
        <is>
          <t>that real OpenAI responses are pedagogically certified until API credit is</t>
        </is>
      </c>
    </row>
    <row r="1429" ht="30" customHeight="1" s="78">
      <c r="A1429" s="73" t="inlineStr">
        <is>
          <t>QA-019</t>
        </is>
      </c>
      <c r="B1429" s="73" t="n">
        <v>119</v>
      </c>
      <c r="C1429" s="73" t="inlineStr">
        <is>
          <t>available and the 24 instructor cases are evaluated with actual provider</t>
        </is>
      </c>
    </row>
    <row r="1430" ht="30" customHeight="1" s="78">
      <c r="A1430" s="73" t="inlineStr">
        <is>
          <t>QA-019</t>
        </is>
      </c>
      <c r="B1430" s="73" t="n">
        <v>120</v>
      </c>
      <c r="C1430" s="73" t="inlineStr">
        <is>
          <t>responses and instructor review. Production promotion still requires owner</t>
        </is>
      </c>
    </row>
    <row r="1431" ht="30" customHeight="1" s="78">
      <c r="A1431" s="73" t="inlineStr">
        <is>
          <t>QA-019</t>
        </is>
      </c>
      <c r="B1431" s="73" t="n">
        <v>121</v>
      </c>
      <c r="C1431" s="73" t="inlineStr">
        <is>
          <t>approval and a separate production SQA cycle.</t>
        </is>
      </c>
    </row>
    <row r="1432" ht="30" customHeight="1" s="78">
      <c r="A1432" s="73" t="inlineStr">
        <is>
          <t>QA-019</t>
        </is>
      </c>
      <c r="B1432" s="73" t="n">
        <v>122</v>
      </c>
      <c r="C1432" s="73" t="n"/>
    </row>
    <row r="1433" ht="30" customHeight="1" s="78">
      <c r="A1433" s="73" t="inlineStr">
        <is>
          <t>QA-019</t>
        </is>
      </c>
      <c r="B1433" s="73" t="n">
        <v>123</v>
      </c>
      <c r="C1433" s="73" t="inlineStr">
        <is>
          <t>## Workbook status</t>
        </is>
      </c>
    </row>
    <row r="1434" ht="30" customHeight="1" s="78">
      <c r="A1434" s="73" t="inlineStr">
        <is>
          <t>QA-019</t>
        </is>
      </c>
      <c r="B1434" s="73" t="n">
        <v>124</v>
      </c>
      <c r="C1434" s="73" t="n"/>
    </row>
    <row r="1435" ht="30" customHeight="1" s="78">
      <c r="A1435" s="73" t="inlineStr">
        <is>
          <t>QA-019</t>
        </is>
      </c>
      <c r="B1435" s="73" t="n">
        <v>125</v>
      </c>
      <c r="C1435" s="73" t="inlineStr">
        <is>
          <t>The Markdown SQA record is current. Updating</t>
        </is>
      </c>
    </row>
    <row r="1436" ht="30" customHeight="1" s="78">
      <c r="A1436" s="73" t="inlineStr">
        <is>
          <t>QA-019</t>
        </is>
      </c>
      <c r="B1436" s="73" t="n">
        <v>126</v>
      </c>
      <c r="C1436" s="73" t="inlineStr">
        <is>
          <t>`Robotics_Programming_Lab_Master_SQA_Checklist.xlsx` was blocked in this runtime</t>
        </is>
      </c>
    </row>
    <row r="1437" ht="30" customHeight="1" s="78">
      <c r="A1437" s="73" t="inlineStr">
        <is>
          <t>QA-019</t>
        </is>
      </c>
      <c r="B1437" s="73" t="n">
        <v>127</v>
      </c>
      <c r="C1437" s="73" t="inlineStr">
        <is>
          <t>because the required workspace spreadsheet dependency loader was unavailable.</t>
        </is>
      </c>
    </row>
    <row r="1438" ht="30" customHeight="1" s="78">
      <c r="A1438" s="73" t="inlineStr">
        <is>
          <t>QA-019</t>
        </is>
      </c>
      <c r="B1438" s="73" t="n">
        <v>128</v>
      </c>
      <c r="C1438" s="73" t="inlineStr">
        <is>
          <t>The workbook was left unchanged rather than edited through an unsupported</t>
        </is>
      </c>
    </row>
    <row r="1439" ht="30" customHeight="1" s="78">
      <c r="A1439" s="73" t="inlineStr">
        <is>
          <t>QA-019</t>
        </is>
      </c>
      <c r="B1439" s="73" t="n">
        <v>129</v>
      </c>
      <c r="C1439" s="73" t="inlineStr">
        <is>
          <t>library.</t>
        </is>
      </c>
    </row>
    <row r="1440" ht="30" customHeight="1" s="78">
      <c r="A1440" s="73" t="inlineStr">
        <is>
          <t>QA-019</t>
        </is>
      </c>
      <c r="B1440" s="73" t="n">
        <v>130</v>
      </c>
      <c r="C1440" s="73" t="n"/>
    </row>
    <row r="1441" ht="30" customHeight="1" s="78">
      <c r="A1441" s="73" t="inlineStr">
        <is>
          <t>QA-020</t>
        </is>
      </c>
      <c r="B1441" s="73" t="n">
        <v>1</v>
      </c>
      <c r="C1441" s="73" t="inlineStr">
        <is>
          <t># Assignment 5 ROS 2 Local SQA Report</t>
        </is>
      </c>
    </row>
    <row r="1442" ht="30" customHeight="1" s="78">
      <c r="A1442" s="73" t="inlineStr">
        <is>
          <t>QA-020</t>
        </is>
      </c>
      <c r="B1442" s="73" t="n">
        <v>2</v>
      </c>
      <c r="C1442" s="73" t="n"/>
    </row>
    <row r="1443" ht="30" customHeight="1" s="78">
      <c r="A1443" s="73" t="inlineStr">
        <is>
          <t>QA-020</t>
        </is>
      </c>
      <c r="B1443" s="73" t="n">
        <v>3</v>
      </c>
      <c r="C1443" s="73" t="inlineStr">
        <is>
          <t>**Test date:** 2026-08-11</t>
        </is>
      </c>
    </row>
    <row r="1444" ht="30" customHeight="1" s="78">
      <c r="A1444" s="73" t="inlineStr">
        <is>
          <t>QA-020</t>
        </is>
      </c>
      <c r="B1444" s="73" t="n">
        <v>4</v>
      </c>
      <c r="C1444" s="73" t="n"/>
    </row>
    <row r="1445" ht="30" customHeight="1" s="78">
      <c r="A1445" s="73" t="inlineStr">
        <is>
          <t>QA-020</t>
        </is>
      </c>
      <c r="B1445" s="73" t="n">
        <v>5</v>
      </c>
      <c r="C1445" s="73" t="inlineStr">
        <is>
          <t>**Environment:** `C:\Users\cspon\OneDrive - University of Nevada, Reno\Robotics-Programming-Lab-Staging`</t>
        </is>
      </c>
    </row>
    <row r="1446" ht="30" customHeight="1" s="78">
      <c r="A1446" s="73" t="inlineStr">
        <is>
          <t>QA-020</t>
        </is>
      </c>
      <c r="B1446" s="73" t="n">
        <v>6</v>
      </c>
      <c r="C1446" s="73" t="n"/>
    </row>
    <row r="1447" ht="39.95" customHeight="1" s="78">
      <c r="A1447" s="73" t="inlineStr">
        <is>
          <t>QA-020</t>
        </is>
      </c>
      <c r="B1447" s="73" t="n">
        <v>7</v>
      </c>
      <c r="C1447" s="73" t="inlineStr">
        <is>
          <t>**Branch and tested commit:** staging `main` at `d4ef4934eb12bf5d36392a79f14e47058f71464f` (application source unchanged from the previously tested ROS implementation)</t>
        </is>
      </c>
    </row>
    <row r="1448" ht="30" customHeight="1" s="78">
      <c r="A1448" s="73" t="inlineStr">
        <is>
          <t>QA-020</t>
        </is>
      </c>
      <c r="B1448" s="73" t="n">
        <v>8</v>
      </c>
      <c r="C1448" s="73" t="n"/>
    </row>
    <row r="1449" ht="54" customHeight="1" s="78">
      <c r="A1449" s="73" t="inlineStr">
        <is>
          <t>QA-020</t>
        </is>
      </c>
      <c r="B1449" s="73" t="n">
        <v>9</v>
      </c>
      <c r="C1449" s="73" t="inlineStr">
        <is>
          <t>**Decision:** PASS for the local staging implementation, automated release gate, authenticated functional QA, rendered browser QA and staging-Git synchronization. The former Codex browser-control blocker was resolved with the documented Windows `unelevated` sandbox fallback. Live was not touched and remains a separate future step because it requires a hosted ROS worker.</t>
        </is>
      </c>
    </row>
    <row r="1450" ht="30" customHeight="1" s="78">
      <c r="A1450" s="73" t="inlineStr">
        <is>
          <t>QA-020</t>
        </is>
      </c>
      <c r="B1450" s="73" t="n">
        <v>10</v>
      </c>
      <c r="C1450" s="73" t="n"/>
    </row>
    <row r="1451" ht="30" customHeight="1" s="78">
      <c r="A1451" s="73" t="inlineStr">
        <is>
          <t>QA-020</t>
        </is>
      </c>
      <c r="B1451" s="73" t="n">
        <v>11</v>
      </c>
      <c r="C1451" s="73" t="inlineStr">
        <is>
          <t>| Area | Result | Evidence |</t>
        </is>
      </c>
    </row>
    <row r="1452" ht="30" customHeight="1" s="78">
      <c r="A1452" s="73" t="inlineStr">
        <is>
          <t>QA-020</t>
        </is>
      </c>
      <c r="B1452" s="73" t="n">
        <v>12</v>
      </c>
      <c r="C1452" s="73" t="inlineStr">
        <is>
          <t>|---|---:|---|</t>
        </is>
      </c>
    </row>
    <row r="1453" ht="30" customHeight="1" s="78">
      <c r="A1453" s="73" t="inlineStr">
        <is>
          <t>QA-020</t>
        </is>
      </c>
      <c r="B1453" s="73" t="n">
        <v>13</v>
      </c>
      <c r="C1453" s="73" t="inlineStr">
        <is>
          <t>| Pre-change recovery point | PASS | `backup-version-4.1-pre-ros` pushed to staging at `522dd745` |</t>
        </is>
      </c>
    </row>
    <row r="1454" ht="30" customHeight="1" s="78">
      <c r="A1454" s="73" t="inlineStr">
        <is>
          <t>QA-020</t>
        </is>
      </c>
      <c r="B1454" s="73" t="n">
        <v>14</v>
      </c>
      <c r="C1454" s="73" t="inlineStr">
        <is>
          <t>| Assignment configuration | PASS | Stable ID `ros2-drive-forward`, version 1, seven public behavior checks, simulation disabled |</t>
        </is>
      </c>
    </row>
    <row r="1455" ht="30" customHeight="1" s="78">
      <c r="A1455" s="73" t="inlineStr">
        <is>
          <t>QA-020</t>
        </is>
      </c>
      <c r="B1455" s="73" t="n">
        <v>15</v>
      </c>
      <c r="C1455" s="73" t="inlineStr">
        <is>
          <t>| Student workspace data | PASS | Seven project files returned; exactly one editable `controller.py` |</t>
        </is>
      </c>
    </row>
    <row r="1456" ht="30" customHeight="1" s="78">
      <c r="A1456" s="73" t="inlineStr">
        <is>
          <t>QA-020</t>
        </is>
      </c>
      <c r="B1456" s="73" t="n">
        <v>16</v>
      </c>
      <c r="C1456" s="73" t="inlineStr">
        <is>
          <t>| Private data boundary | PASS | Student API omits `grader_config` and `reference_solution_path` |</t>
        </is>
      </c>
    </row>
    <row r="1457" ht="30" customHeight="1" s="78">
      <c r="A1457" s="73" t="inlineStr">
        <is>
          <t>QA-020</t>
        </is>
      </c>
      <c r="B1457" s="73" t="n">
        <v>17</v>
      </c>
      <c r="C1457" s="73" t="inlineStr">
        <is>
          <t>| Maintained answer | PASS | `manual_sqa_answers/assignment_5_ros2_drive_forward/controller.py` is tracked for instructor checks |</t>
        </is>
      </c>
    </row>
    <row r="1458" ht="39.95" customHeight="1" s="78">
      <c r="A1458" s="73" t="inlineStr">
        <is>
          <t>QA-020</t>
        </is>
      </c>
      <c r="B1458" s="73" t="n">
        <v>18</v>
      </c>
      <c r="C1458" s="73" t="inlineStr">
        <is>
          <t>| Grader unit and API tests | PASS | Correct, partial, syntax-error, unsafe-import, isolation-policy, missing-Docker and injected-API paths pass |</t>
        </is>
      </c>
    </row>
    <row r="1459" ht="30" customHeight="1" s="78">
      <c r="A1459" s="73" t="inlineStr">
        <is>
          <t>QA-020</t>
        </is>
      </c>
      <c r="B1459" s="73" t="n">
        <v>19</v>
      </c>
      <c r="C1459" s="73" t="inlineStr">
        <is>
          <t>| Full backend regression | PASS | 100 tests passed from the synchronized staging folder in 31.27 seconds |</t>
        </is>
      </c>
    </row>
    <row r="1460" ht="30" customHeight="1" s="78">
      <c r="A1460" s="73" t="inlineStr">
        <is>
          <t>QA-020</t>
        </is>
      </c>
      <c r="B1460" s="73" t="n">
        <v>20</v>
      </c>
      <c r="C1460" s="73" t="inlineStr">
        <is>
          <t>| Python dependency integrity | PASS | `pip check` reports no broken requirements |</t>
        </is>
      </c>
    </row>
    <row r="1461" ht="30" customHeight="1" s="78">
      <c r="A1461" s="73" t="inlineStr">
        <is>
          <t>QA-020</t>
        </is>
      </c>
      <c r="B1461" s="73" t="n">
        <v>21</v>
      </c>
      <c r="C1461" s="73" t="inlineStr">
        <is>
          <t>| Python compilation | PASS | Backend `compileall` succeeds |</t>
        </is>
      </c>
    </row>
    <row r="1462" ht="30" customHeight="1" s="78">
      <c r="A1462" s="73" t="inlineStr">
        <is>
          <t>QA-020</t>
        </is>
      </c>
      <c r="B1462" s="73" t="n">
        <v>22</v>
      </c>
      <c r="C1462" s="73" t="inlineStr">
        <is>
          <t>| Flutter static analysis | PASS | No issues found |</t>
        </is>
      </c>
    </row>
    <row r="1463" ht="30" customHeight="1" s="78">
      <c r="A1463" s="73" t="inlineStr">
        <is>
          <t>QA-020</t>
        </is>
      </c>
      <c r="B1463" s="73" t="n">
        <v>23</v>
      </c>
      <c r="C1463" s="73" t="inlineStr">
        <is>
          <t>| Flutter regression | PASS | 39 tests passed, including project tree and read-only editor checks |</t>
        </is>
      </c>
    </row>
    <row r="1464" ht="30" customHeight="1" s="78">
      <c r="A1464" s="73" t="inlineStr">
        <is>
          <t>QA-020</t>
        </is>
      </c>
      <c r="B1464" s="73" t="n">
        <v>24</v>
      </c>
      <c r="C1464" s="73" t="inlineStr">
        <is>
          <t>| Flutter release web build | PASS | OneDrive-safe release build completed using API base URL `http://127.0.0.1:5100` |</t>
        </is>
      </c>
    </row>
    <row r="1465" ht="30" customHeight="1" s="78">
      <c r="A1465" s="73" t="inlineStr">
        <is>
          <t>QA-020</t>
        </is>
      </c>
      <c r="B1465" s="73" t="n">
        <v>25</v>
      </c>
      <c r="C1465" s="73" t="inlineStr">
        <is>
          <t>| Local launcher | PASS | Uses web-server mode and an IPv4 health probe |</t>
        </is>
      </c>
    </row>
    <row r="1466" ht="30" customHeight="1" s="78">
      <c r="A1466" s="73" t="inlineStr">
        <is>
          <t>QA-020</t>
        </is>
      </c>
      <c r="B1466" s="73" t="n">
        <v>26</v>
      </c>
      <c r="C1466" s="73" t="inlineStr">
        <is>
          <t>| Local service health | PASS | Frontend 200; backend and dedicated Python sandbox report `ok` |</t>
        </is>
      </c>
    </row>
    <row r="1467" ht="30" customHeight="1" s="78">
      <c r="A1467" s="73" t="inlineStr">
        <is>
          <t>QA-020</t>
        </is>
      </c>
      <c r="B1467" s="73" t="n">
        <v>27</v>
      </c>
      <c r="C1467" s="73" t="inlineStr">
        <is>
          <t>| Authenticated Assignment 5 API | PASS | Demo student loads Assignment 5 and its safe project-file payload |</t>
        </is>
      </c>
    </row>
    <row r="1468" ht="30" customHeight="1" s="78">
      <c r="A1468" s="73" t="inlineStr">
        <is>
          <t>QA-020</t>
        </is>
      </c>
      <c r="B1468" s="73" t="n">
        <v>28</v>
      </c>
      <c r="C1468" s="73" t="inlineStr">
        <is>
          <t>| Docker readiness | PASS | Docker Desktop 4.86.0; Linux engine 29.7.2; project readiness script locates PATH or standard Windows installation |</t>
        </is>
      </c>
    </row>
    <row r="1469" ht="30" customHeight="1" s="78">
      <c r="A1469" s="73" t="inlineStr">
        <is>
          <t>QA-020</t>
        </is>
      </c>
      <c r="B1469" s="73" t="n">
        <v>29</v>
      </c>
      <c r="C1469" s="73" t="inlineStr">
        <is>
          <t>| Real ROS 2 Jazzy image build | PASS | Pinned official Jazzy base built as `robotics-lab-ros2-grader:jazzy-v1` |</t>
        </is>
      </c>
    </row>
    <row r="1470" ht="30" customHeight="1" s="78">
      <c r="A1470" s="73" t="inlineStr">
        <is>
          <t>QA-020</t>
        </is>
      </c>
      <c r="B1470" s="73" t="n">
        <v>30</v>
      </c>
      <c r="C1470" s="73" t="inlineStr">
        <is>
          <t>| Correct answer in real ROS runtime | PASS | Seven of seven tests pass; approximately 58 messages at 10 Hz |</t>
        </is>
      </c>
    </row>
    <row r="1471" ht="30" customHeight="1" s="78">
      <c r="A1471" s="73" t="inlineStr">
        <is>
          <t>QA-020</t>
        </is>
      </c>
      <c r="B1471" s="73" t="n">
        <v>31</v>
      </c>
      <c r="C1471" s="73" t="inlineStr">
        <is>
          <t>| Authenticated real ROS API | PASS | Correct controller returns execution success, score 100 and seven passing evidence rows in 9.03 seconds |</t>
        </is>
      </c>
    </row>
    <row r="1472" ht="39.95" customHeight="1" s="78">
      <c r="A1472" s="73" t="inlineStr">
        <is>
          <t>QA-020</t>
        </is>
      </c>
      <c r="B1472" s="73" t="n">
        <v>32</v>
      </c>
      <c r="C1472" s="73" t="inlineStr">
        <is>
          <t>| Adversarial real ROS matrix | PASS | Wrong velocity, syntax error, runtime crash, unsafe import, infinite loop, excessive output and oversized code all produced the expected bounded result |</t>
        </is>
      </c>
    </row>
    <row r="1473" ht="39.95" customHeight="1" s="78">
      <c r="A1473" s="73" t="inlineStr">
        <is>
          <t>QA-020</t>
        </is>
      </c>
      <c r="B1473" s="73" t="n">
        <v>33</v>
      </c>
      <c r="C1473" s="73" t="inlineStr">
        <is>
          <t>| Container isolation | PASS | Non-root worker, network disabled, read-only root, capability drop, no-new-privileges, resource limits, executable workspace and non-executable `/tmp` |</t>
        </is>
      </c>
    </row>
    <row r="1474" ht="54" customHeight="1" s="78">
      <c r="A1474" s="73" t="inlineStr">
        <is>
          <t>QA-020</t>
        </is>
      </c>
      <c r="B1474" s="73" t="n">
        <v>34</v>
      </c>
      <c r="C1474" s="73" t="inlineStr">
        <is>
          <t>| Manual functional QA | PASS | Exact staging-folder run passed health, invalid login, both roles, role isolation, instructor validation, seven-file safe project tree with one editable file, correct score 100 with seven evidence rows in 9.03 seconds, and wrong velocity rejected at score 80 in 8.98 seconds |</t>
        </is>
      </c>
    </row>
    <row r="1475" ht="39.95" customHeight="1" s="78">
      <c r="A1475" s="73" t="inlineStr">
        <is>
          <t>QA-020</t>
        </is>
      </c>
      <c r="B1475" s="73" t="n">
        <v>35</v>
      </c>
      <c r="C1475" s="73" t="inlineStr">
        <is>
          <t>| Student solution boundary | PASS | The compatibility `solution_html` field is empty (length 0); no grader configuration, reference-solution path or private project file is returned |</t>
        </is>
      </c>
    </row>
    <row r="1476" ht="30" customHeight="1" s="78">
      <c r="A1476" s="73" t="inlineStr">
        <is>
          <t>QA-020</t>
        </is>
      </c>
      <c r="B1476" s="73" t="n">
        <v>36</v>
      </c>
      <c r="C1476" s="73" t="inlineStr">
        <is>
          <t>| AI default | PASS | Managed local state records `aiEnabled: false` |</t>
        </is>
      </c>
    </row>
    <row r="1477" ht="39.95" customHeight="1" s="78">
      <c r="A1477" s="73" t="inlineStr">
        <is>
          <t>QA-020</t>
        </is>
      </c>
      <c r="B1477" s="73" t="n">
        <v>37</v>
      </c>
      <c r="C1477" s="73" t="inlineStr">
        <is>
          <t>| Local/staging Git consistency | PASS | Local staging `main` and `origin/main` resolved to `d4ef4934` before this report-only update; unrelated local artifacts remain excluded from the release commit |</t>
        </is>
      </c>
    </row>
    <row r="1478" ht="54" customHeight="1" s="78">
      <c r="A1478" s="73" t="inlineStr">
        <is>
          <t>QA-020</t>
        </is>
      </c>
      <c r="B1478" s="73" t="n">
        <v>38</v>
      </c>
      <c r="C1478" s="73" t="inlineStr">
        <is>
          <t>| Rendered browser interaction | PASS | Codex connected to the local app after switching to the documented Windows `unelevated` sandbox fallback. Verified login, five assignment cards, Assignment 5 file locks, editable `controller.py`, AI off by default, starter score 29%, maintained solution score 100% with seven passing tests, mobile-width results and `Ctrl+Enter` execution. |</t>
        </is>
      </c>
    </row>
    <row r="1479" ht="30" customHeight="1" s="78">
      <c r="A1479" s="73" t="inlineStr">
        <is>
          <t>QA-020</t>
        </is>
      </c>
      <c r="B1479" s="73" t="n">
        <v>39</v>
      </c>
      <c r="C1479" s="73" t="n"/>
    </row>
    <row r="1480" ht="30" customHeight="1" s="78">
      <c r="A1480" s="73" t="inlineStr">
        <is>
          <t>QA-020</t>
        </is>
      </c>
      <c r="B1480" s="73" t="n">
        <v>40</v>
      </c>
      <c r="C1480" s="73" t="inlineStr">
        <is>
          <t>## Staging decision and live limitation</t>
        </is>
      </c>
    </row>
    <row r="1481" ht="30" customHeight="1" s="78">
      <c r="A1481" s="73" t="inlineStr">
        <is>
          <t>QA-020</t>
        </is>
      </c>
      <c r="B1481" s="73" t="n">
        <v>41</v>
      </c>
      <c r="C1481" s="73" t="n"/>
    </row>
    <row r="1482" ht="30" customHeight="1" s="78">
      <c r="A1482" s="73" t="inlineStr">
        <is>
          <t>QA-020</t>
        </is>
      </c>
      <c r="B1482" s="73" t="n">
        <v>42</v>
      </c>
      <c r="C1482" s="73" t="inlineStr">
        <is>
          <t>The feature is synchronized to staging Git `main` and is ready for local classroom evaluation. Recheck the local ROS image at any time with:</t>
        </is>
      </c>
    </row>
    <row r="1483" ht="30" customHeight="1" s="78">
      <c r="A1483" s="73" t="inlineStr">
        <is>
          <t>QA-020</t>
        </is>
      </c>
      <c r="B1483" s="73" t="n">
        <v>43</v>
      </c>
      <c r="C1483" s="73" t="n"/>
    </row>
    <row r="1484" ht="30" customHeight="1" s="78">
      <c r="A1484" s="73" t="inlineStr">
        <is>
          <t>QA-020</t>
        </is>
      </c>
      <c r="B1484" s="73" t="n">
        <v>44</v>
      </c>
      <c r="C1484" s="73" t="inlineStr">
        <is>
          <t>```powershell</t>
        </is>
      </c>
    </row>
    <row r="1485" ht="30" customHeight="1" s="78">
      <c r="A1485" s="73" t="inlineStr">
        <is>
          <t>QA-020</t>
        </is>
      </c>
      <c r="B1485" s="73" t="n">
        <v>45</v>
      </c>
      <c r="C1485" s="73" t="inlineStr">
        <is>
          <t>.\scripts\check-ros2-local.ps1</t>
        </is>
      </c>
    </row>
    <row r="1486" ht="30" customHeight="1" s="78">
      <c r="A1486" s="73" t="inlineStr">
        <is>
          <t>QA-020</t>
        </is>
      </c>
      <c r="B1486" s="73" t="n">
        <v>46</v>
      </c>
      <c r="C1486" s="73" t="inlineStr">
        <is>
          <t>```</t>
        </is>
      </c>
    </row>
    <row r="1487" ht="30" customHeight="1" s="78">
      <c r="A1487" s="73" t="inlineStr">
        <is>
          <t>QA-020</t>
        </is>
      </c>
      <c r="B1487" s="73" t="n">
        <v>47</v>
      </c>
      <c r="C1487" s="73" t="n"/>
    </row>
    <row r="1488" ht="39.95" customHeight="1" s="78">
      <c r="A1488" s="73" t="inlineStr">
        <is>
          <t>QA-020</t>
        </is>
      </c>
      <c r="B1488" s="73" t="n">
        <v>48</v>
      </c>
      <c r="C1488" s="73" t="inlineStr">
        <is>
          <t>Do not promote Assignment 5 to the current live Render service yet. Render cannot run this local Docker-in-Docker grader design. A separate hosted ROS worker or container-job service must be designed, secured and SQA-tested before live publication.</t>
        </is>
      </c>
    </row>
    <row r="1489" ht="30" customHeight="1" s="78">
      <c r="A1489" s="73" t="inlineStr">
        <is>
          <t>QA-020</t>
        </is>
      </c>
      <c r="B1489" s="73" t="n">
        <v>49</v>
      </c>
      <c r="C1489" s="73" t="n"/>
    </row>
    <row r="1490" ht="39.95" customHeight="1" s="78">
      <c r="A1490" s="73" t="inlineStr">
        <is>
          <t>QA-020</t>
        </is>
      </c>
      <c r="B1490" s="73" t="n">
        <v>50</v>
      </c>
      <c r="C1490" s="73" t="inlineStr">
        <is>
          <t>The local rendered checklist was completed at `http://127.0.0.1:8180` on 2026-08-11. Repeat the same browser checklist against the deployed release candidate before any future production promotion.</t>
        </is>
      </c>
    </row>
    <row r="1491" ht="30" customHeight="1" s="78">
      <c r="A1491" s="73" t="inlineStr">
        <is>
          <t>QA-020</t>
        </is>
      </c>
      <c r="B1491" s="73" t="n">
        <v>51</v>
      </c>
      <c r="C1491" s="73" t="n"/>
    </row>
    <row r="1492" ht="30" customHeight="1" s="78">
      <c r="A1492" s="73" t="inlineStr">
        <is>
          <t>QA-020</t>
        </is>
      </c>
      <c r="B1492" s="73" t="n">
        <v>52</v>
      </c>
      <c r="C1492" s="73" t="inlineStr">
        <is>
          <t>## Repository-answer limitation</t>
        </is>
      </c>
    </row>
    <row r="1493" ht="30" customHeight="1" s="78">
      <c r="A1493" s="73" t="inlineStr">
        <is>
          <t>QA-020</t>
        </is>
      </c>
      <c r="B1493" s="73" t="n">
        <v>53</v>
      </c>
      <c r="C1493" s="73" t="n"/>
    </row>
    <row r="1494" ht="39.95" customHeight="1" s="78">
      <c r="A1494" s="73" t="inlineStr">
        <is>
          <t>QA-020</t>
        </is>
      </c>
      <c r="B1494" s="73" t="n">
        <v>54</v>
      </c>
      <c r="C1494" s="73" t="inlineStr">
        <is>
          <t>The answer is not returned through the student API or Flutter application. It is intentionally committed because the instructor requested it. Anyone with read access to the Git repository can still read it, so students should receive only the application link.</t>
        </is>
      </c>
    </row>
    <row r="1495" ht="30" customHeight="1" s="78">
      <c r="A1495" s="73" t="inlineStr">
        <is>
          <t>QA-020</t>
        </is>
      </c>
      <c r="B1495" s="73" t="n">
        <v>55</v>
      </c>
      <c r="C1495" s="73" t="n"/>
    </row>
    <row r="1496" ht="30" customHeight="1" s="78">
      <c r="A1496" s="73" t="inlineStr">
        <is>
          <t>QA-021</t>
        </is>
      </c>
      <c r="B1496" s="73" t="n">
        <v>1</v>
      </c>
      <c r="C1496" s="73" t="inlineStr">
        <is>
          <t># Assignment 6 ROS 2 Local SQA Report</t>
        </is>
      </c>
    </row>
    <row r="1497" ht="30" customHeight="1" s="78">
      <c r="A1497" s="73" t="inlineStr">
        <is>
          <t>QA-021</t>
        </is>
      </c>
      <c r="B1497" s="73" t="n">
        <v>2</v>
      </c>
      <c r="C1497" s="73" t="n"/>
    </row>
    <row r="1498" ht="30" customHeight="1" s="78">
      <c r="A1498" s="73" t="inlineStr">
        <is>
          <t>QA-021</t>
        </is>
      </c>
      <c r="B1498" s="73" t="n">
        <v>3</v>
      </c>
      <c r="C1498" s="73" t="inlineStr">
        <is>
          <t>**Test date:** 2026-08-20</t>
        </is>
      </c>
    </row>
    <row r="1499" ht="30" customHeight="1" s="78">
      <c r="A1499" s="73" t="inlineStr">
        <is>
          <t>QA-021</t>
        </is>
      </c>
      <c r="B1499" s="73" t="n">
        <v>4</v>
      </c>
      <c r="C1499" s="73" t="n"/>
    </row>
    <row r="1500" ht="30" customHeight="1" s="78">
      <c r="A1500" s="73" t="inlineStr">
        <is>
          <t>QA-021</t>
        </is>
      </c>
      <c r="B1500" s="73" t="n">
        <v>5</v>
      </c>
      <c r="C1500" s="73" t="inlineStr">
        <is>
          <t>**Environment:** `C:\Users\cspon\OneDrive - University of Nevada, Reno\Robotics-Programming-Lab-Staging`</t>
        </is>
      </c>
    </row>
    <row r="1501" ht="30" customHeight="1" s="78">
      <c r="A1501" s="73" t="inlineStr">
        <is>
          <t>QA-021</t>
        </is>
      </c>
      <c r="B1501" s="73" t="n">
        <v>6</v>
      </c>
      <c r="C1501" s="73" t="n"/>
    </row>
    <row r="1502" ht="30" customHeight="1" s="78">
      <c r="A1502" s="73" t="inlineStr">
        <is>
          <t>QA-021</t>
        </is>
      </c>
      <c r="B1502" s="73" t="n">
        <v>7</v>
      </c>
      <c r="C1502" s="73" t="inlineStr">
        <is>
          <t>**Branch:** `assignment-6-ros2-obstacle-stop`</t>
        </is>
      </c>
    </row>
    <row r="1503" ht="30" customHeight="1" s="78">
      <c r="A1503" s="73" t="inlineStr">
        <is>
          <t>QA-021</t>
        </is>
      </c>
      <c r="B1503" s="73" t="n">
        <v>8</v>
      </c>
      <c r="C1503" s="73" t="n"/>
    </row>
    <row r="1504" ht="30" customHeight="1" s="78">
      <c r="A1504" s="73" t="inlineStr">
        <is>
          <t>QA-021</t>
        </is>
      </c>
      <c r="B1504" s="73" t="n">
        <v>9</v>
      </c>
      <c r="C1504" s="73" t="inlineStr">
        <is>
          <t>**Decision:** PASS for the local staging implementation and staging feature</t>
        </is>
      </c>
    </row>
    <row r="1505" ht="30" customHeight="1" s="78">
      <c r="A1505" s="73" t="inlineStr">
        <is>
          <t>QA-021</t>
        </is>
      </c>
      <c r="B1505" s="73" t="n">
        <v>10</v>
      </c>
      <c r="C1505" s="73" t="inlineStr">
        <is>
          <t>branch. Live was not modified. Production promotion remains blocked until the</t>
        </is>
      </c>
    </row>
    <row r="1506" ht="30" customHeight="1" s="78">
      <c r="A1506" s="73" t="inlineStr">
        <is>
          <t>QA-021</t>
        </is>
      </c>
      <c r="B1506" s="73" t="n">
        <v>11</v>
      </c>
      <c r="C1506" s="73" t="inlineStr">
        <is>
          <t>hosted ROS worker and its deployment SQA are explicitly approved.</t>
        </is>
      </c>
    </row>
    <row r="1507" ht="30" customHeight="1" s="78">
      <c r="A1507" s="73" t="inlineStr">
        <is>
          <t>QA-021</t>
        </is>
      </c>
      <c r="B1507" s="73" t="n">
        <v>12</v>
      </c>
      <c r="C1507" s="73" t="n"/>
    </row>
    <row r="1508" ht="30" customHeight="1" s="78">
      <c r="A1508" s="73" t="inlineStr">
        <is>
          <t>QA-021</t>
        </is>
      </c>
      <c r="B1508" s="73" t="n">
        <v>13</v>
      </c>
      <c r="C1508" s="73" t="inlineStr">
        <is>
          <t>## Result summary</t>
        </is>
      </c>
    </row>
    <row r="1509" ht="30" customHeight="1" s="78">
      <c r="A1509" s="73" t="inlineStr">
        <is>
          <t>QA-021</t>
        </is>
      </c>
      <c r="B1509" s="73" t="n">
        <v>14</v>
      </c>
      <c r="C1509" s="73" t="n"/>
    </row>
    <row r="1510" ht="30" customHeight="1" s="78">
      <c r="A1510" s="73" t="inlineStr">
        <is>
          <t>QA-021</t>
        </is>
      </c>
      <c r="B1510" s="73" t="n">
        <v>15</v>
      </c>
      <c r="C1510" s="73" t="inlineStr">
        <is>
          <t>| Area | Result | Evidence |</t>
        </is>
      </c>
    </row>
    <row r="1511" ht="30" customHeight="1" s="78">
      <c r="A1511" s="73" t="inlineStr">
        <is>
          <t>QA-021</t>
        </is>
      </c>
      <c r="B1511" s="73" t="n">
        <v>16</v>
      </c>
      <c r="C1511" s="73" t="inlineStr">
        <is>
          <t>|---|---:|---|</t>
        </is>
      </c>
    </row>
    <row r="1512" ht="30" customHeight="1" s="78">
      <c r="A1512" s="73" t="inlineStr">
        <is>
          <t>QA-021</t>
        </is>
      </c>
      <c r="B1512" s="73" t="n">
        <v>17</v>
      </c>
      <c r="C1512" s="73" t="inlineStr">
        <is>
          <t>| Assignment identity | PASS | ID `6`, stable ID `ros2-obstacle-stop`, version `1`, published staging seed |</t>
        </is>
      </c>
    </row>
    <row r="1513" ht="30" customHeight="1" s="78">
      <c r="A1513" s="73" t="inlineStr">
        <is>
          <t>QA-021</t>
        </is>
      </c>
      <c r="B1513" s="73" t="n">
        <v>18</v>
      </c>
      <c r="C1513" s="73" t="inlineStr">
        <is>
          <t>| Learning design | PASS | LaserScan subscription, Twist publisher, clear-path motion, obstacle/invalid-scan stop, and recovery objectives |</t>
        </is>
      </c>
    </row>
    <row r="1514" ht="30" customHeight="1" s="78">
      <c r="A1514" s="73" t="inlineStr">
        <is>
          <t>QA-021</t>
        </is>
      </c>
      <c r="B1514" s="73" t="n">
        <v>19</v>
      </c>
      <c r="C1514" s="73" t="inlineStr">
        <is>
          <t>| Project workspace | PASS | Seven visible project files; exactly one editable `src/reactive_navigation/reactive_navigation/controller.py` |</t>
        </is>
      </c>
    </row>
    <row r="1515" ht="39.95" customHeight="1" s="78">
      <c r="A1515" s="73" t="inlineStr">
        <is>
          <t>QA-021</t>
        </is>
      </c>
      <c r="B1515" s="73" t="n">
        <v>20</v>
      </c>
      <c r="C1515" s="73" t="inlineStr">
        <is>
          <t>| Locked-file content | PASS | Browser QA confirmed selecting `package.xml` displays its XML and read-only state; shared CodeController defect was fixed and regression-tested |</t>
        </is>
      </c>
    </row>
    <row r="1516" ht="30" customHeight="1" s="78">
      <c r="A1516" s="73" t="inlineStr">
        <is>
          <t>QA-021</t>
        </is>
      </c>
      <c r="B1516" s="73" t="n">
        <v>21</v>
      </c>
      <c r="C1516" s="73" t="inlineStr">
        <is>
          <t>| Student privacy boundary | PASS | Student API omits `grader_config`, `reference_solution_path`, and official solution content |</t>
        </is>
      </c>
    </row>
    <row r="1517" ht="30" customHeight="1" s="78">
      <c r="A1517" s="73" t="inlineStr">
        <is>
          <t>QA-021</t>
        </is>
      </c>
      <c r="B1517" s="73" t="n">
        <v>22</v>
      </c>
      <c r="C1517" s="73" t="inlineStr">
        <is>
          <t>| Maintained answer | PASS | Rebuilt ROS 2 Jazzy Docker grader returned 9/9 checks, score 100; 44 settled messages at approximately 9.2 Hz |</t>
        </is>
      </c>
    </row>
    <row r="1518" ht="30" customHeight="1" s="78">
      <c r="A1518" s="73" t="inlineStr">
        <is>
          <t>QA-021</t>
        </is>
      </c>
      <c r="B1518" s="73" t="n">
        <v>23</v>
      </c>
      <c r="C1518" s="73" t="inlineStr">
        <is>
          <t>| Assignment 5 regression | PASS | Existing maintained answer still passes 7/7 checks in the rebuilt image |</t>
        </is>
      </c>
    </row>
    <row r="1519" ht="30" customHeight="1" s="78">
      <c r="A1519" s="73" t="inlineStr">
        <is>
          <t>QA-021</t>
        </is>
      </c>
      <c r="B1519" s="73" t="n">
        <v>24</v>
      </c>
      <c r="C1519" s="73" t="inlineStr">
        <is>
          <t>| Starter code | PASS | Builds but fails the seven incomplete behavior requirements without hanging |</t>
        </is>
      </c>
    </row>
    <row r="1520" ht="30" customHeight="1" s="78">
      <c r="A1520" s="73" t="inlineStr">
        <is>
          <t>QA-021</t>
        </is>
      </c>
      <c r="B1520" s="73" t="n">
        <v>25</v>
      </c>
      <c r="C1520" s="73" t="inlineStr">
        <is>
          <t>| Incorrect threshold | PASS | Real grader rejects reversed threshold logic; authenticated API score 40 and `pass=false` |</t>
        </is>
      </c>
    </row>
    <row r="1521" ht="30" customHeight="1" s="78">
      <c r="A1521" s="73" t="inlineStr">
        <is>
          <t>QA-021</t>
        </is>
      </c>
      <c r="B1521" s="73" t="n">
        <v>26</v>
      </c>
      <c r="C1521" s="73" t="inlineStr">
        <is>
          <t>| Syntax error | PASS | Rejected safely with a bounded syntax error |</t>
        </is>
      </c>
    </row>
    <row r="1522" ht="30" customHeight="1" s="78">
      <c r="A1522" s="73" t="inlineStr">
        <is>
          <t>QA-021</t>
        </is>
      </c>
      <c r="B1522" s="73" t="n">
        <v>27</v>
      </c>
      <c r="C1522" s="73" t="inlineStr">
        <is>
          <t>| Runtime error | PASS | Node crash is bounded and returned as execution failure |</t>
        </is>
      </c>
    </row>
    <row r="1523" ht="30" customHeight="1" s="78">
      <c r="A1523" s="73" t="inlineStr">
        <is>
          <t>QA-021</t>
        </is>
      </c>
      <c r="B1523" s="73" t="n">
        <v>28</v>
      </c>
      <c r="C1523" s="73" t="inlineStr">
        <is>
          <t>| Unsafe import | PASS | `import os` rejected before package execution |</t>
        </is>
      </c>
    </row>
    <row r="1524" ht="30" customHeight="1" s="78">
      <c r="A1524" s="73" t="inlineStr">
        <is>
          <t>QA-021</t>
        </is>
      </c>
      <c r="B1524" s="73" t="n">
        <v>29</v>
      </c>
      <c r="C1524" s="73" t="inlineStr">
        <is>
          <t>| Infinite loop | PASS | Container execution terminated within the configured bound |</t>
        </is>
      </c>
    </row>
    <row r="1525" ht="30" customHeight="1" s="78">
      <c r="A1525" s="73" t="inlineStr">
        <is>
          <t>QA-021</t>
        </is>
      </c>
      <c r="B1525" s="73" t="n">
        <v>30</v>
      </c>
      <c r="C1525" s="73" t="inlineStr">
        <is>
          <t>| Excessive output | PASS | Execution remained bounded and behavior tests failed without exposing unbounded output |</t>
        </is>
      </c>
    </row>
    <row r="1526" ht="30" customHeight="1" s="78">
      <c r="A1526" s="73" t="inlineStr">
        <is>
          <t>QA-021</t>
        </is>
      </c>
      <c r="B1526" s="73" t="n">
        <v>31</v>
      </c>
      <c r="C1526" s="73" t="inlineStr">
        <is>
          <t>| Oversized submission | PASS | Assignment 6 API returns HTTP 413 before execution |</t>
        </is>
      </c>
    </row>
    <row r="1527" ht="39.95" customHeight="1" s="78">
      <c r="A1527" s="73" t="inlineStr">
        <is>
          <t>QA-021</t>
        </is>
      </c>
      <c r="B1527" s="73" t="n">
        <v>32</v>
      </c>
      <c r="C1527" s="73" t="inlineStr">
        <is>
          <t>| Container isolation | PASS | Reuses the networkless, read-only, non-root Docker executor with CPU, memory, PID, capability, and privilege limits |</t>
        </is>
      </c>
    </row>
    <row r="1528" ht="30" customHeight="1" s="78">
      <c r="A1528" s="73" t="inlineStr">
        <is>
          <t>QA-021</t>
        </is>
      </c>
      <c r="B1528" s="73" t="n">
        <v>33</v>
      </c>
      <c r="C1528" s="73" t="inlineStr">
        <is>
          <t>| Focused backend tests | PASS | 13 ROS-specific tests passed, including both ROS-discovery timing regressions |</t>
        </is>
      </c>
    </row>
    <row r="1529" ht="30" customHeight="1" s="78">
      <c r="A1529" s="73" t="inlineStr">
        <is>
          <t>QA-021</t>
        </is>
      </c>
      <c r="B1529" s="73" t="n">
        <v>34</v>
      </c>
      <c r="C1529" s="73" t="inlineStr">
        <is>
          <t>| Full backend regression | PASS | 115 tests passed |</t>
        </is>
      </c>
    </row>
    <row r="1530" ht="30" customHeight="1" s="78">
      <c r="A1530" s="73" t="inlineStr">
        <is>
          <t>QA-021</t>
        </is>
      </c>
      <c r="B1530" s="73" t="n">
        <v>35</v>
      </c>
      <c r="C1530" s="73" t="inlineStr">
        <is>
          <t>| Python integrity | PASS | `pip check` and backend `compileall` passed |</t>
        </is>
      </c>
    </row>
    <row r="1531" ht="30" customHeight="1" s="78">
      <c r="A1531" s="73" t="inlineStr">
        <is>
          <t>QA-021</t>
        </is>
      </c>
      <c r="B1531" s="73" t="n">
        <v>36</v>
      </c>
      <c r="C1531" s="73" t="inlineStr">
        <is>
          <t>| Flutter analysis | PASS | No issues found |</t>
        </is>
      </c>
    </row>
    <row r="1532" ht="30" customHeight="1" s="78">
      <c r="A1532" s="73" t="inlineStr">
        <is>
          <t>QA-021</t>
        </is>
      </c>
      <c r="B1532" s="73" t="n">
        <v>37</v>
      </c>
      <c r="C1532" s="73" t="inlineStr">
        <is>
          <t>| Flutter regression | PASS | 43 tests passed, including complete project-file content replacement and persistent-student analytics access |</t>
        </is>
      </c>
    </row>
    <row r="1533" ht="30" customHeight="1" s="78">
      <c r="A1533" s="73" t="inlineStr">
        <is>
          <t>QA-021</t>
        </is>
      </c>
      <c r="B1533" s="73" t="n">
        <v>38</v>
      </c>
      <c r="C1533" s="73" t="inlineStr">
        <is>
          <t>| Flutter release build | PASS | OneDrive-safe release web build succeeded with configured API base URL |</t>
        </is>
      </c>
    </row>
    <row r="1534" ht="30" customHeight="1" s="78">
      <c r="A1534" s="73" t="inlineStr">
        <is>
          <t>QA-021</t>
        </is>
      </c>
      <c r="B1534" s="73" t="n">
        <v>39</v>
      </c>
      <c r="C1534" s="73" t="inlineStr">
        <is>
          <t>| Local services | PASS | Frontend HTTP 200; backend and dedicated sandbox health returned `ok` |</t>
        </is>
      </c>
    </row>
    <row r="1535" ht="30" customHeight="1" s="78">
      <c r="A1535" s="73" t="inlineStr">
        <is>
          <t>QA-021</t>
        </is>
      </c>
      <c r="B1535" s="73" t="n">
        <v>40</v>
      </c>
      <c r="C1535" s="73" t="inlineStr">
        <is>
          <t>| Authenticated local API | PASS | Catalog returned IDs 1-6; maintained answer score 100 with nine evidence rows; wrong answer failed |</t>
        </is>
      </c>
    </row>
    <row r="1536" ht="39.95" customHeight="1" s="78">
      <c r="A1536" s="73" t="inlineStr">
        <is>
          <t>QA-021</t>
        </is>
      </c>
      <c r="B1536" s="73" t="n">
        <v>41</v>
      </c>
      <c r="C1536" s="73" t="inlineStr">
        <is>
          <t>| Instructor publish validation | PASS | Authenticated `/admin/assignments/6/validate` returned `valid=true` with no errors after running the maintained answer |</t>
        </is>
      </c>
    </row>
    <row r="1537" ht="30" customHeight="1" s="78">
      <c r="A1537" s="73" t="inlineStr">
        <is>
          <t>QA-021</t>
        </is>
      </c>
      <c r="B1537" s="73" t="n">
        <v>42</v>
      </c>
      <c r="C1537" s="73" t="inlineStr">
        <is>
          <t>| Desktop browser | PASS | Card 06, instructions, seven-file tree, read-only files, editable controller, and AI-off state rendered correctly |</t>
        </is>
      </c>
    </row>
    <row r="1538" ht="30" customHeight="1" s="78">
      <c r="A1538" s="73" t="inlineStr">
        <is>
          <t>QA-021</t>
        </is>
      </c>
      <c r="B1538" s="73" t="n">
        <v>43</v>
      </c>
      <c r="C1538" s="73" t="inlineStr">
        <is>
          <t>| Mobile browser | PASS | Assignment workspace rendered at 390 x 844 without browser errors |</t>
        </is>
      </c>
    </row>
    <row r="1539" ht="54" customHeight="1" s="78">
      <c r="A1539" s="73" t="inlineStr">
        <is>
          <t>QA-021</t>
        </is>
      </c>
      <c r="B1539" s="73" t="n">
        <v>44</v>
      </c>
      <c r="C1539" s="73" t="inlineStr">
        <is>
          <t>| CI protection | PASS | Assignment 6 waits for end-to-end ROS discovery before scoring. Assignment 5 warms the monitor before launch and measures stop timing from process start with bounded startup allowance. Three consecutive rebuilt-image runs passed Assignment 5 at 7/7 and Assignment 6 at 9/9. |</t>
        </is>
      </c>
    </row>
    <row r="1540" ht="39.95" customHeight="1" s="78">
      <c r="A1540" s="73" t="inlineStr">
        <is>
          <t>QA-021</t>
        </is>
      </c>
      <c r="B1540" s="73" t="n">
        <v>45</v>
      </c>
      <c r="C1540" s="73" t="inlineStr">
        <is>
          <t>| Master Excel SQA checklist | BLOCKED | The required bundled spreadsheet dependency loader was unavailable in this session; the existing workbook was not modified with an unsupported library |</t>
        </is>
      </c>
    </row>
    <row r="1541" ht="30" customHeight="1" s="78">
      <c r="A1541" s="73" t="inlineStr">
        <is>
          <t>QA-021</t>
        </is>
      </c>
      <c r="B1541" s="73" t="n">
        <v>46</v>
      </c>
      <c r="C1541" s="73" t="n"/>
    </row>
    <row r="1542" ht="30" customHeight="1" s="78">
      <c r="A1542" s="73" t="inlineStr">
        <is>
          <t>QA-021</t>
        </is>
      </c>
      <c r="B1542" s="73" t="n">
        <v>47</v>
      </c>
      <c r="C1542" s="73" t="inlineStr">
        <is>
          <t>## Remaining production limitations</t>
        </is>
      </c>
    </row>
    <row r="1543" ht="30" customHeight="1" s="78">
      <c r="A1543" s="73" t="inlineStr">
        <is>
          <t>QA-021</t>
        </is>
      </c>
      <c r="B1543" s="73" t="n">
        <v>48</v>
      </c>
      <c r="C1543" s="73" t="n"/>
    </row>
    <row r="1544" ht="30" customHeight="1" s="78">
      <c r="A1544" s="73" t="inlineStr">
        <is>
          <t>QA-021</t>
        </is>
      </c>
      <c r="B1544" s="73" t="n">
        <v>49</v>
      </c>
      <c r="C1544" s="73" t="inlineStr">
        <is>
          <t>| Item | Status | Reason / next action |</t>
        </is>
      </c>
    </row>
    <row r="1545" ht="30" customHeight="1" s="78">
      <c r="A1545" s="73" t="inlineStr">
        <is>
          <t>QA-021</t>
        </is>
      </c>
      <c r="B1545" s="73" t="n">
        <v>50</v>
      </c>
      <c r="C1545" s="73" t="inlineStr">
        <is>
          <t>|---|---:|---|</t>
        </is>
      </c>
    </row>
    <row r="1546" ht="30" customHeight="1" s="78">
      <c r="A1546" s="73" t="inlineStr">
        <is>
          <t>QA-021</t>
        </is>
      </c>
      <c r="B1546" s="73" t="n">
        <v>51</v>
      </c>
      <c r="C1546" s="73" t="inlineStr">
        <is>
          <t>| Live deployment | NOT RUN | The owner requested staging only. Production still intentionally contains Assignments 1-4. |</t>
        </is>
      </c>
    </row>
    <row r="1547" ht="39.95" customHeight="1" s="78">
      <c r="A1547" s="73" t="inlineStr">
        <is>
          <t>QA-021</t>
        </is>
      </c>
      <c r="B1547" s="73" t="n">
        <v>52</v>
      </c>
      <c r="C1547" s="73" t="inlineStr">
        <is>
          <t>| Hosted ROS worker | BLOCKED | Local Docker execution is not the approved production architecture. Deploy and secure a private Linux ROS worker before promotion. |</t>
        </is>
      </c>
    </row>
    <row r="1548" ht="30" customHeight="1" s="78">
      <c r="A1548" s="73" t="inlineStr">
        <is>
          <t>QA-021</t>
        </is>
      </c>
      <c r="B1548" s="73" t="n">
        <v>53</v>
      </c>
      <c r="C1548" s="73" t="inlineStr">
        <is>
          <t>| External computer/network | NOT RUN | Localhost was tested in a clean browser session and mobile viewport, not from a second physical device. |</t>
        </is>
      </c>
    </row>
    <row r="1549" ht="39.95" customHeight="1" s="78">
      <c r="A1549" s="73" t="inlineStr">
        <is>
          <t>QA-021</t>
        </is>
      </c>
      <c r="B1549" s="73" t="n">
        <v>54</v>
      </c>
      <c r="C1549" s="73" t="inlineStr">
        <is>
          <t>| Physical robot or simulator | NOT RUN | Assignment 6 intentionally uses synthetic LaserScan messages and observable topic grading without simulation. |</t>
        </is>
      </c>
    </row>
    <row r="1550" ht="39.95" customHeight="1" s="78">
      <c r="A1550" s="73" t="inlineStr">
        <is>
          <t>QA-021</t>
        </is>
      </c>
      <c r="B1550" s="73" t="n">
        <v>55</v>
      </c>
      <c r="C1550" s="73" t="inlineStr">
        <is>
          <t>| Excel evidence synchronization | BLOCKED | Copy this report into the [master SQA checklist](../../sqa/Robotics_Programming_Lab_Master_SQA_Checklist.xlsx) when the approved spreadsheet runtime is available. |</t>
        </is>
      </c>
    </row>
    <row r="1551" ht="30" customHeight="1" s="78">
      <c r="A1551" s="73" t="inlineStr">
        <is>
          <t>QA-021</t>
        </is>
      </c>
      <c r="B1551" s="73" t="n">
        <v>56</v>
      </c>
      <c r="C1551" s="73" t="n"/>
    </row>
    <row r="1552" ht="30" customHeight="1" s="78">
      <c r="A1552" s="73" t="inlineStr">
        <is>
          <t>QA-021</t>
        </is>
      </c>
      <c r="B1552" s="73" t="n">
        <v>57</v>
      </c>
      <c r="C1552" s="73" t="inlineStr">
        <is>
          <t>## Reproduction</t>
        </is>
      </c>
    </row>
    <row r="1553" ht="30" customHeight="1" s="78">
      <c r="A1553" s="73" t="inlineStr">
        <is>
          <t>QA-021</t>
        </is>
      </c>
      <c r="B1553" s="73" t="n">
        <v>58</v>
      </c>
      <c r="C1553" s="73" t="n"/>
    </row>
    <row r="1554" ht="30" customHeight="1" s="78">
      <c r="A1554" s="73" t="inlineStr">
        <is>
          <t>QA-021</t>
        </is>
      </c>
      <c r="B1554" s="73" t="n">
        <v>59</v>
      </c>
      <c r="C1554" s="73" t="inlineStr">
        <is>
          <t>```powershell</t>
        </is>
      </c>
    </row>
    <row r="1555" ht="30" customHeight="1" s="78">
      <c r="A1555" s="73" t="inlineStr">
        <is>
          <t>QA-021</t>
        </is>
      </c>
      <c r="B1555" s="73" t="n">
        <v>60</v>
      </c>
      <c r="C1555" s="73" t="inlineStr">
        <is>
          <t>Set-Location "C:\Users\cspon\OneDrive - University of Nevada, Reno\Robotics-Programming-Lab-Staging"</t>
        </is>
      </c>
    </row>
    <row r="1556" ht="30" customHeight="1" s="78">
      <c r="A1556" s="73" t="inlineStr">
        <is>
          <t>QA-021</t>
        </is>
      </c>
      <c r="B1556" s="73" t="n">
        <v>61</v>
      </c>
      <c r="C1556" s="73" t="inlineStr">
        <is>
          <t>.\scripts\check-ros2-local.ps1 -Build</t>
        </is>
      </c>
    </row>
    <row r="1557" ht="30" customHeight="1" s="78">
      <c r="A1557" s="73" t="inlineStr">
        <is>
          <t>QA-021</t>
        </is>
      </c>
      <c r="B1557" s="73" t="n">
        <v>62</v>
      </c>
      <c r="C1557" s="73" t="inlineStr">
        <is>
          <t>.\scripts\verify-local.ps1 -ApiBaseUrl http://127.0.0.1:5100</t>
        </is>
      </c>
    </row>
    <row r="1558" ht="30" customHeight="1" s="78">
      <c r="A1558" s="73" t="inlineStr">
        <is>
          <t>QA-021</t>
        </is>
      </c>
      <c r="B1558" s="73" t="n">
        <v>63</v>
      </c>
      <c r="C1558" s="73" t="inlineStr">
        <is>
          <t>```</t>
        </is>
      </c>
    </row>
    <row r="1559" ht="30" customHeight="1" s="78">
      <c r="A1559" s="73" t="inlineStr">
        <is>
          <t>QA-021</t>
        </is>
      </c>
      <c r="B1559" s="73" t="n">
        <v>64</v>
      </c>
      <c r="C1559" s="73" t="n"/>
    </row>
    <row r="1560" ht="30" customHeight="1" s="78">
      <c r="A1560" s="73" t="inlineStr">
        <is>
          <t>QA-021</t>
        </is>
      </c>
      <c r="B1560" s="73" t="n">
        <v>65</v>
      </c>
      <c r="C1560" s="73" t="inlineStr">
        <is>
          <t>The instructor answer is committed for manual SQA but is never returned by the</t>
        </is>
      </c>
    </row>
    <row r="1561" ht="30" customHeight="1" s="78">
      <c r="A1561" s="73" t="inlineStr">
        <is>
          <t>QA-021</t>
        </is>
      </c>
      <c r="B1561" s="73" t="n">
        <v>66</v>
      </c>
      <c r="C1561" s="73" t="inlineStr">
        <is>
          <t>student API or Flutter bundle. Anyone with repository access can read it, so</t>
        </is>
      </c>
    </row>
    <row r="1562" ht="30" customHeight="1" s="78">
      <c r="A1562" s="73" t="inlineStr">
        <is>
          <t>QA-021</t>
        </is>
      </c>
      <c r="B1562" s="73" t="n">
        <v>67</v>
      </c>
      <c r="C1562" s="73" t="inlineStr">
        <is>
          <t>students should receive only the application URL.</t>
        </is>
      </c>
    </row>
    <row r="1563" ht="30" customHeight="1" s="78">
      <c r="A1563" s="73" t="inlineStr">
        <is>
          <t>QA-021</t>
        </is>
      </c>
      <c r="B1563" s="73" t="n">
        <v>68</v>
      </c>
      <c r="C1563" s="73" t="n"/>
    </row>
    <row r="1564" ht="30" customHeight="1" s="78">
      <c r="A1564" s="73" t="inlineStr">
        <is>
          <t>QA-021</t>
        </is>
      </c>
      <c r="B1564" s="73" t="n">
        <v>69</v>
      </c>
      <c r="C1564" s="73" t="inlineStr">
        <is>
          <t>## CI readiness defect and correction</t>
        </is>
      </c>
    </row>
    <row r="1565" ht="30" customHeight="1" s="78">
      <c r="A1565" s="73" t="inlineStr">
        <is>
          <t>QA-021</t>
        </is>
      </c>
      <c r="B1565" s="73" t="n">
        <v>70</v>
      </c>
      <c r="C1565" s="73" t="n"/>
    </row>
    <row r="1566" ht="30" customHeight="1" s="78">
      <c r="A1566" s="73" t="inlineStr">
        <is>
          <t>QA-021</t>
        </is>
      </c>
      <c r="B1566" s="73" t="n">
        <v>71</v>
      </c>
      <c r="C1566" s="73" t="inlineStr">
        <is>
          <t>The first GitHub pull-request run built the ROS image successfully, but the</t>
        </is>
      </c>
    </row>
    <row r="1567" ht="30" customHeight="1" s="78">
      <c r="A1567" s="73" t="inlineStr">
        <is>
          <t>QA-021</t>
        </is>
      </c>
      <c r="B1567" s="73" t="n">
        <v>72</v>
      </c>
      <c r="C1567" s="73" t="inlineStr">
        <is>
          <t>Assignment 6 check started scoring before the cold CI runner completed ROS</t>
        </is>
      </c>
    </row>
    <row r="1568" ht="30" customHeight="1" s="78">
      <c r="A1568" s="73" t="inlineStr">
        <is>
          <t>QA-021</t>
        </is>
      </c>
      <c r="B1568" s="73" t="n">
        <v>73</v>
      </c>
      <c r="C1568" s="73" t="inlineStr">
        <is>
          <t>publisher/subscriber discovery. The node became available after the clear-path</t>
        </is>
      </c>
    </row>
    <row r="1569" ht="30" customHeight="1" s="78">
      <c r="A1569" s="73" t="inlineStr">
        <is>
          <t>QA-021</t>
        </is>
      </c>
      <c r="B1569" s="73" t="n">
        <v>74</v>
      </c>
      <c r="C1569" s="73" t="inlineStr">
        <is>
          <t>phase, so the otherwise correct maintained answer had no settled clear-phase</t>
        </is>
      </c>
    </row>
    <row r="1570" ht="30" customHeight="1" s="78">
      <c r="A1570" s="73" t="inlineStr">
        <is>
          <t>QA-021</t>
        </is>
      </c>
      <c r="B1570" s="73" t="n">
        <v>75</v>
      </c>
      <c r="C1570" s="73" t="inlineStr">
        <is>
          <t>sample. The harness now waits for the `/scan` subscriber, `/cmd_vel` publisher,</t>
        </is>
      </c>
    </row>
    <row r="1571" ht="30" customHeight="1" s="78">
      <c r="A1571" s="73" t="inlineStr">
        <is>
          <t>QA-021</t>
        </is>
      </c>
      <c r="B1571" s="73" t="n">
        <v>76</v>
      </c>
      <c r="C1571" s="73" t="inlineStr">
        <is>
          <t>and one end-to-end scan response, then clears readiness traffic before beginning</t>
        </is>
      </c>
    </row>
    <row r="1572" ht="30" customHeight="1" s="78">
      <c r="A1572" s="73" t="inlineStr">
        <is>
          <t>QA-021</t>
        </is>
      </c>
      <c r="B1572" s="73" t="n">
        <v>77</v>
      </c>
      <c r="C1572" s="73" t="inlineStr">
        <is>
          <t>the scored phases.</t>
        </is>
      </c>
    </row>
    <row r="1573" ht="30" customHeight="1" s="78">
      <c r="A1573" s="73" t="inlineStr">
        <is>
          <t>QA-021</t>
        </is>
      </c>
      <c r="B1573" s="73" t="n">
        <v>78</v>
      </c>
      <c r="C1573" s="73" t="n"/>
    </row>
    <row r="1574" ht="30" customHeight="1" s="78">
      <c r="A1574" s="73" t="inlineStr">
        <is>
          <t>QA-021</t>
        </is>
      </c>
      <c r="B1574" s="73" t="n">
        <v>79</v>
      </c>
      <c r="C1574" s="73" t="inlineStr">
        <is>
          <t>The first staging-main run then exposed a separate Assignment 5 clock defect.</t>
        </is>
      </c>
    </row>
    <row r="1575" ht="30" customHeight="1" s="78">
      <c r="A1575" s="73" t="inlineStr">
        <is>
          <t>QA-021</t>
        </is>
      </c>
      <c r="B1575" s="73" t="n">
        <v>80</v>
      </c>
      <c r="C1575" s="73" t="inlineStr">
        <is>
          <t>That harness measured five seconds from the first message received, but a cold</t>
        </is>
      </c>
    </row>
    <row r="1576" ht="30" customHeight="1" s="78">
      <c r="A1576" s="73" t="inlineStr">
        <is>
          <t>QA-021</t>
        </is>
      </c>
      <c r="B1576" s="73" t="n">
        <v>81</v>
      </c>
      <c r="C1576" s="73" t="inlineStr">
        <is>
          <t>runner can discover the publisher after the student's timer has already begun.</t>
        </is>
      </c>
    </row>
    <row r="1577" ht="30" customHeight="1" s="78">
      <c r="A1577" s="73" t="inlineStr">
        <is>
          <t>QA-021</t>
        </is>
      </c>
      <c r="B1577" s="73" t="n">
        <v>82</v>
      </c>
      <c r="C1577" s="73" t="inlineStr">
        <is>
          <t>A correct solution therefore appeared to stop too early. The harness now warms</t>
        </is>
      </c>
    </row>
    <row r="1578" ht="30" customHeight="1" s="78">
      <c r="A1578" s="73" t="inlineStr">
        <is>
          <t>QA-021</t>
        </is>
      </c>
      <c r="B1578" s="73" t="n">
        <v>83</v>
      </c>
      <c r="C1578" s="73" t="inlineStr">
        <is>
          <t>the monitoring participant before launch, timestamps commands from student</t>
        </is>
      </c>
    </row>
    <row r="1579" ht="30" customHeight="1" s="78">
      <c r="A1579" s="73" t="inlineStr">
        <is>
          <t>QA-021</t>
        </is>
      </c>
      <c r="B1579" s="73" t="n">
        <v>84</v>
      </c>
      <c r="C1579" s="73" t="inlineStr">
        <is>
          <t>process start, and permits only a bounded two-second ROS startup allowance.</t>
        </is>
      </c>
    </row>
    <row r="1580" ht="30" customHeight="1" s="78">
      <c r="A1580" s="73" t="inlineStr">
        <is>
          <t>QA-021</t>
        </is>
      </c>
      <c r="B1580" s="73" t="n">
        <v>85</v>
      </c>
      <c r="C1580" s="73" t="inlineStr">
        <is>
          <t>Three consecutive rebuilt-image runs produced identical PASS results for both</t>
        </is>
      </c>
    </row>
    <row r="1581" ht="30" customHeight="1" s="78">
      <c r="A1581" s="73" t="inlineStr">
        <is>
          <t>QA-021</t>
        </is>
      </c>
      <c r="B1581" s="73" t="n">
        <v>86</v>
      </c>
      <c r="C1581" s="73" t="inlineStr">
        <is>
          <t>maintained ROS assignments.</t>
        </is>
      </c>
    </row>
    <row r="1582" ht="30" customHeight="1" s="78">
      <c r="A1582" s="73" t="inlineStr">
        <is>
          <t>QA-021</t>
        </is>
      </c>
      <c r="B1582" s="73" t="n">
        <v>87</v>
      </c>
      <c r="C1582" s="73" t="n"/>
    </row>
    <row r="1583" ht="30" customHeight="1" s="78">
      <c r="A1583" s="73" t="inlineStr">
        <is>
          <t>QA-022</t>
        </is>
      </c>
      <c r="B1583" s="73" t="n">
        <v>1</v>
      </c>
      <c r="C1583" s="73" t="inlineStr">
        <is>
          <t># Assignment Content Local SQA Report</t>
        </is>
      </c>
    </row>
    <row r="1584" ht="30" customHeight="1" s="78">
      <c r="A1584" s="73" t="inlineStr">
        <is>
          <t>QA-022</t>
        </is>
      </c>
      <c r="B1584" s="73" t="n">
        <v>2</v>
      </c>
      <c r="C1584" s="73" t="n"/>
    </row>
    <row r="1585" ht="30" customHeight="1" s="78">
      <c r="A1585" s="73" t="inlineStr">
        <is>
          <t>QA-022</t>
        </is>
      </c>
      <c r="B1585" s="73" t="n">
        <v>3</v>
      </c>
      <c r="C1585" s="73" t="inlineStr">
        <is>
          <t>**Date:** 2026-08-21</t>
        </is>
      </c>
    </row>
    <row r="1586" ht="30" customHeight="1" s="78">
      <c r="A1586" s="73" t="inlineStr">
        <is>
          <t>QA-022</t>
        </is>
      </c>
      <c r="B1586" s="73" t="n">
        <v>4</v>
      </c>
      <c r="C1586" s="73" t="n"/>
    </row>
    <row r="1587" ht="30" customHeight="1" s="78">
      <c r="A1587" s="73" t="inlineStr">
        <is>
          <t>QA-022</t>
        </is>
      </c>
      <c r="B1587" s="73" t="n">
        <v>5</v>
      </c>
      <c r="C1587" s="73" t="inlineStr">
        <is>
          <t>**Repository:** `CS-Ponkoj/Robotics-Programming-Lab-Staging`</t>
        </is>
      </c>
    </row>
    <row r="1588" ht="30" customHeight="1" s="78">
      <c r="A1588" s="73" t="inlineStr">
        <is>
          <t>QA-022</t>
        </is>
      </c>
      <c r="B1588" s="73" t="n">
        <v>6</v>
      </c>
      <c r="C1588" s="73" t="n"/>
    </row>
    <row r="1589" ht="30" customHeight="1" s="78">
      <c r="A1589" s="73" t="inlineStr">
        <is>
          <t>QA-022</t>
        </is>
      </c>
      <c r="B1589" s="73" t="n">
        <v>7</v>
      </c>
      <c r="C1589" s="73" t="inlineStr">
        <is>
          <t>**Local checkout:** `Robotics-Programming-Lab-Staging`</t>
        </is>
      </c>
    </row>
    <row r="1590" ht="30" customHeight="1" s="78">
      <c r="A1590" s="73" t="inlineStr">
        <is>
          <t>QA-022</t>
        </is>
      </c>
      <c r="B1590" s="73" t="n">
        <v>8</v>
      </c>
      <c r="C1590" s="73" t="n"/>
    </row>
    <row r="1591" ht="30" customHeight="1" s="78">
      <c r="A1591" s="73" t="inlineStr">
        <is>
          <t>QA-022</t>
        </is>
      </c>
      <c r="B1591" s="73" t="n">
        <v>9</v>
      </c>
      <c r="C1591" s="73" t="inlineStr">
        <is>
          <t>**Branch:** `assignment-content-quality`</t>
        </is>
      </c>
    </row>
    <row r="1592" ht="30" customHeight="1" s="78">
      <c r="A1592" s="73" t="inlineStr">
        <is>
          <t>QA-022</t>
        </is>
      </c>
      <c r="B1592" s="73" t="n">
        <v>10</v>
      </c>
      <c r="C1592" s="73" t="n"/>
    </row>
    <row r="1593" ht="30" customHeight="1" s="78">
      <c r="A1593" s="73" t="inlineStr">
        <is>
          <t>QA-022</t>
        </is>
      </c>
      <c r="B1593" s="73" t="n">
        <v>11</v>
      </c>
      <c r="C1593" s="73" t="inlineStr">
        <is>
          <t>**Scope:** Local Windows staging only. Live deployment and Android were</t>
        </is>
      </c>
    </row>
    <row r="1594" ht="30" customHeight="1" s="78">
      <c r="A1594" s="73" t="inlineStr">
        <is>
          <t>QA-022</t>
        </is>
      </c>
      <c r="B1594" s="73" t="n">
        <v>12</v>
      </c>
      <c r="C1594" s="73" t="inlineStr">
        <is>
          <t>intentionally excluded.</t>
        </is>
      </c>
    </row>
    <row r="1595" ht="30" customHeight="1" s="78">
      <c r="A1595" s="73" t="inlineStr">
        <is>
          <t>QA-022</t>
        </is>
      </c>
      <c r="B1595" s="73" t="n">
        <v>13</v>
      </c>
      <c r="C1595" s="73" t="n"/>
    </row>
    <row r="1596" ht="30" customHeight="1" s="78">
      <c r="A1596" s="73" t="inlineStr">
        <is>
          <t>QA-022</t>
        </is>
      </c>
      <c r="B1596" s="73" t="n">
        <v>14</v>
      </c>
      <c r="C1596" s="73" t="inlineStr">
        <is>
          <t>## Outcome</t>
        </is>
      </c>
    </row>
    <row r="1597" ht="30" customHeight="1" s="78">
      <c r="A1597" s="73" t="inlineStr">
        <is>
          <t>QA-022</t>
        </is>
      </c>
      <c r="B1597" s="73" t="n">
        <v>15</v>
      </c>
      <c r="C1597" s="73" t="n"/>
    </row>
    <row r="1598" ht="30" customHeight="1" s="78">
      <c r="A1598" s="73" t="inlineStr">
        <is>
          <t>QA-022</t>
        </is>
      </c>
      <c r="B1598" s="73" t="n">
        <v>16</v>
      </c>
      <c r="C1598" s="73" t="inlineStr">
        <is>
          <t>The corrected local application passes its automated release-style gate and</t>
        </is>
      </c>
    </row>
    <row r="1599" ht="30" customHeight="1" s="78">
      <c r="A1599" s="73" t="inlineStr">
        <is>
          <t>QA-022</t>
        </is>
      </c>
      <c r="B1599" s="73" t="n">
        <v>17</v>
      </c>
      <c r="C1599" s="73" t="inlineStr">
        <is>
          <t>manual browser smoke test. Assignments 1-4 now use explicit, internally</t>
        </is>
      </c>
    </row>
    <row r="1600" ht="30" customHeight="1" s="78">
      <c r="A1600" s="73" t="inlineStr">
        <is>
          <t>QA-022</t>
        </is>
      </c>
      <c r="B1600" s="73" t="n">
        <v>18</v>
      </c>
      <c r="C1600" s="73" t="inlineStr">
        <is>
          <t>consistent mathematical models and instructor-authored learning metadata. The</t>
        </is>
      </c>
    </row>
    <row r="1601" ht="30" customHeight="1" s="78">
      <c r="A1601" s="73" t="inlineStr">
        <is>
          <t>QA-022</t>
        </is>
      </c>
      <c r="B1601" s="73" t="n">
        <v>19</v>
      </c>
      <c r="C1601" s="73" t="inlineStr">
        <is>
          <t>maintained answers pass the dedicated sandbox at 100 percent, and the existing</t>
        </is>
      </c>
    </row>
    <row r="1602" ht="30" customHeight="1" s="78">
      <c r="A1602" s="73" t="inlineStr">
        <is>
          <t>QA-022</t>
        </is>
      </c>
      <c r="B1602" s="73" t="n">
        <v>20</v>
      </c>
      <c r="C1602" s="73" t="inlineStr">
        <is>
          <t>ROS 2 Assignments 5-6 continue to pass their real Docker grader checks.</t>
        </is>
      </c>
    </row>
    <row r="1603" ht="30" customHeight="1" s="78">
      <c r="A1603" s="73" t="inlineStr">
        <is>
          <t>QA-022</t>
        </is>
      </c>
      <c r="B1603" s="73" t="n">
        <v>21</v>
      </c>
      <c r="C1603" s="73" t="n"/>
    </row>
    <row r="1604" ht="30" customHeight="1" s="78">
      <c r="A1604" s="73" t="inlineStr">
        <is>
          <t>QA-022</t>
        </is>
      </c>
      <c r="B1604" s="73" t="n">
        <v>22</v>
      </c>
      <c r="C1604" s="73" t="inlineStr">
        <is>
          <t>The only incomplete priority is the existing Excel master checklist. The</t>
        </is>
      </c>
    </row>
    <row r="1605" ht="30" customHeight="1" s="78">
      <c r="A1605" s="73" t="inlineStr">
        <is>
          <t>QA-022</t>
        </is>
      </c>
      <c r="B1605" s="73" t="n">
        <v>23</v>
      </c>
      <c r="C1605" s="73" t="inlineStr">
        <is>
          <t>required spreadsheet runtime loader was unavailable in this desktop session,</t>
        </is>
      </c>
    </row>
    <row r="1606" ht="30" customHeight="1" s="78">
      <c r="A1606" s="73" t="inlineStr">
        <is>
          <t>QA-022</t>
        </is>
      </c>
      <c r="B1606" s="73" t="n">
        <v>24</v>
      </c>
      <c r="C1606" s="73" t="inlineStr">
        <is>
          <t>so the workbook was preserved rather than edited with an unsupported library.</t>
        </is>
      </c>
    </row>
    <row r="1607" ht="30" customHeight="1" s="78">
      <c r="A1607" s="73" t="inlineStr">
        <is>
          <t>QA-022</t>
        </is>
      </c>
      <c r="B1607" s="73" t="n">
        <v>25</v>
      </c>
      <c r="C1607" s="73" t="inlineStr">
        <is>
          <t>This Markdown report is the current evidence source until the workbook can be</t>
        </is>
      </c>
    </row>
    <row r="1608" ht="30" customHeight="1" s="78">
      <c r="A1608" s="73" t="inlineStr">
        <is>
          <t>QA-022</t>
        </is>
      </c>
      <c r="B1608" s="73" t="n">
        <v>26</v>
      </c>
      <c r="C1608" s="73" t="inlineStr">
        <is>
          <t>updated safely.</t>
        </is>
      </c>
    </row>
    <row r="1609" ht="30" customHeight="1" s="78">
      <c r="A1609" s="73" t="inlineStr">
        <is>
          <t>QA-022</t>
        </is>
      </c>
      <c r="B1609" s="73" t="n">
        <v>27</v>
      </c>
      <c r="C1609" s="73" t="n"/>
    </row>
    <row r="1610" ht="30" customHeight="1" s="78">
      <c r="A1610" s="73" t="inlineStr">
        <is>
          <t>QA-022</t>
        </is>
      </c>
      <c r="B1610" s="73" t="n">
        <v>28</v>
      </c>
      <c r="C1610" s="73" t="inlineStr">
        <is>
          <t>## Priority results</t>
        </is>
      </c>
    </row>
    <row r="1611" ht="30" customHeight="1" s="78">
      <c r="A1611" s="73" t="inlineStr">
        <is>
          <t>QA-022</t>
        </is>
      </c>
      <c r="B1611" s="73" t="n">
        <v>29</v>
      </c>
      <c r="C1611" s="73" t="n"/>
    </row>
    <row r="1612" ht="30" customHeight="1" s="78">
      <c r="A1612" s="73" t="inlineStr">
        <is>
          <t>QA-022</t>
        </is>
      </c>
      <c r="B1612" s="73" t="n">
        <v>30</v>
      </c>
      <c r="C1612" s="73" t="inlineStr">
        <is>
          <t>| Priority | Finding | Result | Resolution and evidence |</t>
        </is>
      </c>
    </row>
    <row r="1613" ht="30" customHeight="1" s="78">
      <c r="A1613" s="73" t="inlineStr">
        <is>
          <t>QA-022</t>
        </is>
      </c>
      <c r="B1613" s="73" t="n">
        <v>31</v>
      </c>
      <c r="C1613" s="73" t="inlineStr">
        <is>
          <t>|---|---|---:|---|</t>
        </is>
      </c>
    </row>
    <row r="1614" ht="39.95" customHeight="1" s="78">
      <c r="A1614" s="73" t="inlineStr">
        <is>
          <t>QA-022</t>
        </is>
      </c>
      <c r="B1614" s="73" t="n">
        <v>32</v>
      </c>
      <c r="C1614" s="73" t="inlineStr">
        <is>
          <t>| P0 | Assignment 4 was under-specified | PASS | Version 3 now defines every LIDAR reading, inverse-square density, the inclusive 80-100 degree search, and tie behavior. Focused classroom tests pass. |</t>
        </is>
      </c>
    </row>
    <row r="1615" ht="39.95" customHeight="1" s="78">
      <c r="A1615" s="73" t="inlineStr">
        <is>
          <t>QA-022</t>
        </is>
      </c>
      <c r="B1615" s="73" t="n">
        <v>33</v>
      </c>
      <c r="C1615" s="73" t="inlineStr">
        <is>
          <t>| P0 | Assignment 2 had conflicting geometry | PASS | Version 3 now defines O, G, H, L, all rectangle corners, and the right-turn H-A-B-L route. Maintained answer passes 4/4 with a 12-unit total. |</t>
        </is>
      </c>
    </row>
    <row r="1616" ht="39.95" customHeight="1" s="78">
      <c r="A1616" s="73" t="inlineStr">
        <is>
          <t>QA-022</t>
        </is>
      </c>
      <c r="B1616" s="73" t="n">
        <v>34</v>
      </c>
      <c r="C1616" s="73" t="inlineStr">
        <is>
          <t>| P1 | Assignment 3 was mathematically incomplete | PASS | Version 4 now defines both floor-5 routes, both floor-10 routes, wait/ride times, and the complete comparison. Maintained answer passes 8/8. |</t>
        </is>
      </c>
    </row>
    <row r="1617" ht="39.95" customHeight="1" s="78">
      <c r="A1617" s="73" t="inlineStr">
        <is>
          <t>QA-022</t>
        </is>
      </c>
      <c r="B1617" s="73" t="n">
        <v>35</v>
      </c>
      <c r="C1617" s="73" t="inlineStr">
        <is>
          <t>| P1 | Assignment 1 used an invalid Bug2 leave point | PASS | Version 4 now uses H(4,11/3) and L(23/4,6), both on the S-to-G m-line, with L closer to G. Maintained answer passes 4/4. |</t>
        </is>
      </c>
    </row>
    <row r="1618" ht="39.95" customHeight="1" s="78">
      <c r="A1618" s="73" t="inlineStr">
        <is>
          <t>QA-022</t>
        </is>
      </c>
      <c r="B1618" s="73" t="n">
        <v>36</v>
      </c>
      <c r="C1618" s="73" t="inlineStr">
        <is>
          <t>| P1 | Assignments 1-4 used generated generic learning metadata | PASS | Each assignment now has tailored objectives, a 100-point rubric, misconception tags, execution settings, and non-solution tutor rules. Metadata regression tests pass. |</t>
        </is>
      </c>
    </row>
    <row r="1619" ht="39.95" customHeight="1" s="78">
      <c r="A1619" s="73" t="inlineStr">
        <is>
          <t>QA-022</t>
        </is>
      </c>
      <c r="B1619" s="73" t="n">
        <v>37</v>
      </c>
      <c r="C1619" s="73" t="inlineStr">
        <is>
          <t>| P2 | Excel SQA workbook was behind Markdown | BLOCKED | The required spreadsheet dependency loader was unavailable. The `.xlsx` was left unchanged to prevent corruption; this report records current results. |</t>
        </is>
      </c>
    </row>
    <row r="1620" ht="39.95" customHeight="1" s="78">
      <c r="A1620" s="73" t="inlineStr">
        <is>
          <t>QA-022</t>
        </is>
      </c>
      <c r="B1620" s="73" t="n">
        <v>38</v>
      </c>
      <c r="C1620" s="73" t="inlineStr">
        <is>
          <t>| P2 | Obsolete Monaco editor files and dependency remained | PASS | Removed the unused iframe widget, JS bridge, CDN page, loader script, stale web code copies, and `code_editor` dependency. Flutter analyzer and 48 tests pass. |</t>
        </is>
      </c>
    </row>
    <row r="1621" ht="30" customHeight="1" s="78">
      <c r="A1621" s="73" t="inlineStr">
        <is>
          <t>QA-022</t>
        </is>
      </c>
      <c r="B1621" s="73" t="n">
        <v>39</v>
      </c>
      <c r="C1621" s="73" t="inlineStr">
        <is>
          <t>| P3 | README contained a command typo | PASS | The AI-enabled local command is now `.\scripts\run-local.ps1 -EnableAi`. |</t>
        </is>
      </c>
    </row>
    <row r="1622" ht="30" customHeight="1" s="78">
      <c r="A1622" s="73" t="inlineStr">
        <is>
          <t>QA-022</t>
        </is>
      </c>
      <c r="B1622" s="73" t="n">
        <v>40</v>
      </c>
      <c r="C1622" s="73" t="n"/>
    </row>
    <row r="1623" ht="30" customHeight="1" s="78">
      <c r="A1623" s="73" t="inlineStr">
        <is>
          <t>QA-022</t>
        </is>
      </c>
      <c r="B1623" s="73" t="n">
        <v>41</v>
      </c>
      <c r="C1623" s="73" t="inlineStr">
        <is>
          <t>## Maintained-answer integration results</t>
        </is>
      </c>
    </row>
    <row r="1624" ht="30" customHeight="1" s="78">
      <c r="A1624" s="73" t="inlineStr">
        <is>
          <t>QA-022</t>
        </is>
      </c>
      <c r="B1624" s="73" t="n">
        <v>42</v>
      </c>
      <c r="C1624" s="73" t="n"/>
    </row>
    <row r="1625" ht="30" customHeight="1" s="78">
      <c r="A1625" s="73" t="inlineStr">
        <is>
          <t>QA-022</t>
        </is>
      </c>
      <c r="B1625" s="73" t="n">
        <v>43</v>
      </c>
      <c r="C1625" s="73" t="inlineStr">
        <is>
          <t>| Assignment | Published version | Result | Sandbox evidence |</t>
        </is>
      </c>
    </row>
    <row r="1626" ht="30" customHeight="1" s="78">
      <c r="A1626" s="73" t="inlineStr">
        <is>
          <t>QA-022</t>
        </is>
      </c>
      <c r="B1626" s="73" t="n">
        <v>44</v>
      </c>
      <c r="C1626" s="73" t="inlineStr">
        <is>
          <t>|---:|---:|---:|---:|</t>
        </is>
      </c>
    </row>
    <row r="1627" ht="30" customHeight="1" s="78">
      <c r="A1627" s="73" t="inlineStr">
        <is>
          <t>QA-022</t>
        </is>
      </c>
      <c r="B1627" s="73" t="n">
        <v>45</v>
      </c>
      <c r="C1627" s="73" t="inlineStr">
        <is>
          <t>| 1 | 4 | PASS | 100%, 4/4 checks |</t>
        </is>
      </c>
    </row>
    <row r="1628" ht="30" customHeight="1" s="78">
      <c r="A1628" s="73" t="inlineStr">
        <is>
          <t>QA-022</t>
        </is>
      </c>
      <c r="B1628" s="73" t="n">
        <v>46</v>
      </c>
      <c r="C1628" s="73" t="inlineStr">
        <is>
          <t>| 2 | 3 | PASS | 100%, 4/4 checks |</t>
        </is>
      </c>
    </row>
    <row r="1629" ht="30" customHeight="1" s="78">
      <c r="A1629" s="73" t="inlineStr">
        <is>
          <t>QA-022</t>
        </is>
      </c>
      <c r="B1629" s="73" t="n">
        <v>47</v>
      </c>
      <c r="C1629" s="73" t="inlineStr">
        <is>
          <t>| 3 | 4 | PASS | 100%, 8/8 checks |</t>
        </is>
      </c>
    </row>
    <row r="1630" ht="30" customHeight="1" s="78">
      <c r="A1630" s="73" t="inlineStr">
        <is>
          <t>QA-022</t>
        </is>
      </c>
      <c r="B1630" s="73" t="n">
        <v>48</v>
      </c>
      <c r="C1630" s="73" t="inlineStr">
        <is>
          <t>| 4 | 3 | PASS | 100%, 2/2 checks |</t>
        </is>
      </c>
    </row>
    <row r="1631" ht="30" customHeight="1" s="78">
      <c r="A1631" s="73" t="inlineStr">
        <is>
          <t>QA-022</t>
        </is>
      </c>
      <c r="B1631" s="73" t="n">
        <v>49</v>
      </c>
      <c r="C1631" s="73" t="inlineStr">
        <is>
          <t>| 5 | 1 | PASS | ROS 2 Jazzy Docker grader, 7/7 checks |</t>
        </is>
      </c>
    </row>
    <row r="1632" ht="30" customHeight="1" s="78">
      <c r="A1632" s="73" t="inlineStr">
        <is>
          <t>QA-022</t>
        </is>
      </c>
      <c r="B1632" s="73" t="n">
        <v>50</v>
      </c>
      <c r="C1632" s="73" t="inlineStr">
        <is>
          <t>| 6 | 1 | PASS | ROS 2 Jazzy Docker grader, 9/9 checks |</t>
        </is>
      </c>
    </row>
    <row r="1633" ht="30" customHeight="1" s="78">
      <c r="A1633" s="73" t="inlineStr">
        <is>
          <t>QA-022</t>
        </is>
      </c>
      <c r="B1633" s="73" t="n">
        <v>51</v>
      </c>
      <c r="C1633" s="73" t="n"/>
    </row>
    <row r="1634" ht="30" customHeight="1" s="78">
      <c r="A1634" s="73" t="inlineStr">
        <is>
          <t>QA-022</t>
        </is>
      </c>
      <c r="B1634" s="73" t="n">
        <v>52</v>
      </c>
      <c r="C1634" s="73" t="inlineStr">
        <is>
          <t>## Complete verification</t>
        </is>
      </c>
    </row>
    <row r="1635" ht="30" customHeight="1" s="78">
      <c r="A1635" s="73" t="inlineStr">
        <is>
          <t>QA-022</t>
        </is>
      </c>
      <c r="B1635" s="73" t="n">
        <v>53</v>
      </c>
      <c r="C1635" s="73" t="n"/>
    </row>
    <row r="1636" ht="30" customHeight="1" s="78">
      <c r="A1636" s="73" t="inlineStr">
        <is>
          <t>QA-022</t>
        </is>
      </c>
      <c r="B1636" s="73" t="n">
        <v>54</v>
      </c>
      <c r="C1636" s="73" t="inlineStr">
        <is>
          <t>| Gate | Result | Evidence |</t>
        </is>
      </c>
    </row>
    <row r="1637" ht="30" customHeight="1" s="78">
      <c r="A1637" s="73" t="inlineStr">
        <is>
          <t>QA-022</t>
        </is>
      </c>
      <c r="B1637" s="73" t="n">
        <v>55</v>
      </c>
      <c r="C1637" s="73" t="inlineStr">
        <is>
          <t>|---|---:|---|</t>
        </is>
      </c>
    </row>
    <row r="1638" ht="30" customHeight="1" s="78">
      <c r="A1638" s="73" t="inlineStr">
        <is>
          <t>QA-022</t>
        </is>
      </c>
      <c r="B1638" s="73" t="n">
        <v>56</v>
      </c>
      <c r="C1638" s="73" t="inlineStr">
        <is>
          <t>| Backend regression suite | PASS | 171 pytest tests passed |</t>
        </is>
      </c>
    </row>
    <row r="1639" ht="30" customHeight="1" s="78">
      <c r="A1639" s="73" t="inlineStr">
        <is>
          <t>QA-022</t>
        </is>
      </c>
      <c r="B1639" s="73" t="n">
        <v>57</v>
      </c>
      <c r="C1639" s="73" t="inlineStr">
        <is>
          <t>| Python dependency integrity | PASS | `pip check` found no broken requirements |</t>
        </is>
      </c>
    </row>
    <row r="1640" ht="30" customHeight="1" s="78">
      <c r="A1640" s="73" t="inlineStr">
        <is>
          <t>QA-022</t>
        </is>
      </c>
      <c r="B1640" s="73" t="n">
        <v>58</v>
      </c>
      <c r="C1640" s="73" t="inlineStr">
        <is>
          <t>| Python compilation | PASS | Backend `compileall` completed |</t>
        </is>
      </c>
    </row>
    <row r="1641" ht="30" customHeight="1" s="78">
      <c r="A1641" s="73" t="inlineStr">
        <is>
          <t>QA-022</t>
        </is>
      </c>
      <c r="B1641" s="73" t="n">
        <v>59</v>
      </c>
      <c r="C1641" s="73" t="inlineStr">
        <is>
          <t>| Flutter analysis | PASS | No issues found |</t>
        </is>
      </c>
    </row>
    <row r="1642" ht="30" customHeight="1" s="78">
      <c r="A1642" s="73" t="inlineStr">
        <is>
          <t>QA-022</t>
        </is>
      </c>
      <c r="B1642" s="73" t="n">
        <v>60</v>
      </c>
      <c r="C1642" s="73" t="inlineStr">
        <is>
          <t>| Flutter tests | PASS | 48 tests passed |</t>
        </is>
      </c>
    </row>
    <row r="1643" ht="30" customHeight="1" s="78">
      <c r="A1643" s="73" t="inlineStr">
        <is>
          <t>QA-022</t>
        </is>
      </c>
      <c r="B1643" s="73" t="n">
        <v>61</v>
      </c>
      <c r="C1643" s="73" t="inlineStr">
        <is>
          <t>| Flutter web release build | PASS | OneDrive-safe release build completed |</t>
        </is>
      </c>
    </row>
    <row r="1644" ht="30" customHeight="1" s="78">
      <c r="A1644" s="73" t="inlineStr">
        <is>
          <t>QA-022</t>
        </is>
      </c>
      <c r="B1644" s="73" t="n">
        <v>62</v>
      </c>
      <c r="C1644" s="73" t="inlineStr">
        <is>
          <t>| Git whitespace | PASS | `git diff --check` completed without defects |</t>
        </is>
      </c>
    </row>
    <row r="1645" ht="30" customHeight="1" s="78">
      <c r="A1645" s="73" t="inlineStr">
        <is>
          <t>QA-022</t>
        </is>
      </c>
      <c r="B1645" s="73" t="n">
        <v>63</v>
      </c>
      <c r="C1645" s="73" t="inlineStr">
        <is>
          <t>| Backend health | PASS | API 5.0.0, SQLite, remote dedicated sandbox mode |</t>
        </is>
      </c>
    </row>
    <row r="1646" ht="30" customHeight="1" s="78">
      <c r="A1646" s="73" t="inlineStr">
        <is>
          <t>QA-022</t>
        </is>
      </c>
      <c r="B1646" s="73" t="n">
        <v>64</v>
      </c>
      <c r="C1646" s="73" t="inlineStr">
        <is>
          <t>| Sandbox health | PASS | Dedicated service returned `status: ok` |</t>
        </is>
      </c>
    </row>
    <row r="1647" ht="39.95" customHeight="1" s="78">
      <c r="A1647" s="73" t="inlineStr">
        <is>
          <t>QA-022</t>
        </is>
      </c>
      <c r="B1647" s="73" t="n">
        <v>65</v>
      </c>
      <c r="C1647" s="73" t="inlineStr">
        <is>
          <t>| Manual demo student flow | PASS | Login page, temporary demo, six-assignment catalog, corrected Assignment 1 instructions, starter run, structured 0/4 feedback, and AI-off default rendered correctly |</t>
        </is>
      </c>
    </row>
    <row r="1648" ht="30" customHeight="1" s="78">
      <c r="A1648" s="73" t="inlineStr">
        <is>
          <t>QA-022</t>
        </is>
      </c>
      <c r="B1648" s="73" t="n">
        <v>66</v>
      </c>
      <c r="C1648" s="73" t="inlineStr">
        <is>
          <t>| Manual instructor flow | PASS | Instructor login and six published assignment versions rendered in the assignment studio |</t>
        </is>
      </c>
    </row>
    <row r="1649" ht="30" customHeight="1" s="78">
      <c r="A1649" s="73" t="inlineStr">
        <is>
          <t>QA-022</t>
        </is>
      </c>
      <c r="B1649" s="73" t="n">
        <v>67</v>
      </c>
      <c r="C1649" s="73" t="inlineStr">
        <is>
          <t>| Assignment 2 notebook consistency | PASS | Stale perimeter name and retired route description were replaced; notebook JSON validates |</t>
        </is>
      </c>
    </row>
    <row r="1650" ht="30" customHeight="1" s="78">
      <c r="A1650" s="73" t="inlineStr">
        <is>
          <t>QA-022</t>
        </is>
      </c>
      <c r="B1650" s="73" t="n">
        <v>68</v>
      </c>
      <c r="C1650" s="73" t="n"/>
    </row>
    <row r="1651" ht="30" customHeight="1" s="78">
      <c r="A1651" s="73" t="inlineStr">
        <is>
          <t>QA-022</t>
        </is>
      </c>
      <c r="B1651" s="73" t="n">
        <v>69</v>
      </c>
      <c r="C1651" s="73" t="inlineStr">
        <is>
          <t>## Defects found during this cycle</t>
        </is>
      </c>
    </row>
    <row r="1652" ht="30" customHeight="1" s="78">
      <c r="A1652" s="73" t="inlineStr">
        <is>
          <t>QA-022</t>
        </is>
      </c>
      <c r="B1652" s="73" t="n">
        <v>70</v>
      </c>
      <c r="C1652" s="73" t="n"/>
    </row>
    <row r="1653" ht="30" customHeight="1" s="78">
      <c r="A1653" s="73" t="inlineStr">
        <is>
          <t>QA-022</t>
        </is>
      </c>
      <c r="B1653" s="73" t="n">
        <v>71</v>
      </c>
      <c r="C1653" s="73" t="inlineStr">
        <is>
          <t>| ID | Defect | Correction | Retest |</t>
        </is>
      </c>
    </row>
    <row r="1654" ht="30" customHeight="1" s="78">
      <c r="A1654" s="73" t="inlineStr">
        <is>
          <t>QA-022</t>
        </is>
      </c>
      <c r="B1654" s="73" t="n">
        <v>72</v>
      </c>
      <c r="C1654" s="73" t="inlineStr">
        <is>
          <t>|---|---|---|---:|</t>
        </is>
      </c>
    </row>
    <row r="1655" ht="39.95" customHeight="1" s="78">
      <c r="A1655" s="73" t="inlineStr">
        <is>
          <t>QA-022</t>
        </is>
      </c>
      <c r="B1655" s="73" t="n">
        <v>73</v>
      </c>
      <c r="C1655" s="73" t="inlineStr">
        <is>
          <t>| QA-CONTENT-01 | Four API tests expected retired answer/version values | Updated assertions to the new published assignment versions and 12-unit Assignment 2 result | PASS, 44/44 focused API tests |</t>
        </is>
      </c>
    </row>
    <row r="1656" ht="39.95" customHeight="1" s="78">
      <c r="A1656" s="73" t="inlineStr">
        <is>
          <t>QA-022</t>
        </is>
      </c>
      <c r="B1656" s="73" t="n">
        <v>74</v>
      </c>
      <c r="C1656" s="73" t="inlineStr">
        <is>
          <t>| QA-CONTENT-02 | Seven edited teaching files failed whitespace validation | Removed trailing spaces and extra EOF blank lines | PASS, complete verification gate |</t>
        </is>
      </c>
    </row>
    <row r="1657" ht="39.95" customHeight="1" s="78">
      <c r="A1657" s="73" t="inlineStr">
        <is>
          <t>QA-022</t>
        </is>
      </c>
      <c r="B1657" s="73" t="n">
        <v>75</v>
      </c>
      <c r="C1657" s="73" t="inlineStr">
        <is>
          <t>| QA-CONTENT-03 | Assignment 2 notebook still described a full-perimeter route | Added hit/leave points and aligned the variable/route with H-A-B-L | PASS, JSON and stale-text scan |</t>
        </is>
      </c>
    </row>
    <row r="1658" ht="30" customHeight="1" s="78">
      <c r="A1658" s="73" t="inlineStr">
        <is>
          <t>QA-022</t>
        </is>
      </c>
      <c r="B1658" s="73" t="n">
        <v>76</v>
      </c>
      <c r="C1658" s="73" t="n"/>
    </row>
    <row r="1659" ht="30" customHeight="1" s="78">
      <c r="A1659" s="73" t="inlineStr">
        <is>
          <t>QA-022</t>
        </is>
      </c>
      <c r="B1659" s="73" t="n">
        <v>77</v>
      </c>
      <c r="C1659" s="73" t="inlineStr">
        <is>
          <t>## Verification commands</t>
        </is>
      </c>
    </row>
    <row r="1660" ht="30" customHeight="1" s="78">
      <c r="A1660" s="73" t="inlineStr">
        <is>
          <t>QA-022</t>
        </is>
      </c>
      <c r="B1660" s="73" t="n">
        <v>78</v>
      </c>
      <c r="C1660" s="73" t="n"/>
    </row>
    <row r="1661" ht="30" customHeight="1" s="78">
      <c r="A1661" s="73" t="inlineStr">
        <is>
          <t>QA-022</t>
        </is>
      </c>
      <c r="B1661" s="73" t="n">
        <v>79</v>
      </c>
      <c r="C1661" s="73" t="inlineStr">
        <is>
          <t>```powershell</t>
        </is>
      </c>
    </row>
    <row r="1662" ht="30" customHeight="1" s="78">
      <c r="A1662" s="73" t="inlineStr">
        <is>
          <t>QA-022</t>
        </is>
      </c>
      <c r="B1662" s="73" t="n">
        <v>80</v>
      </c>
      <c r="C1662" s="73" t="inlineStr">
        <is>
          <t>.\scripts\run-local.ps1 -FrontendPort 8180 -BackendPort 5100 -SandboxPort 5101</t>
        </is>
      </c>
    </row>
    <row r="1663" ht="30" customHeight="1" s="78">
      <c r="A1663" s="73" t="inlineStr">
        <is>
          <t>QA-022</t>
        </is>
      </c>
      <c r="B1663" s="73" t="n">
        <v>81</v>
      </c>
      <c r="C1663" s="73" t="inlineStr">
        <is>
          <t>.\scripts\verify-local.ps1 -ApiBaseUrl http://127.0.0.1:5100</t>
        </is>
      </c>
    </row>
    <row r="1664" ht="30" customHeight="1" s="78">
      <c r="A1664" s="73" t="inlineStr">
        <is>
          <t>QA-022</t>
        </is>
      </c>
      <c r="B1664" s="73" t="n">
        <v>82</v>
      </c>
      <c r="C1664" s="73" t="inlineStr">
        <is>
          <t>.\scripts\check-ros2-local.ps1</t>
        </is>
      </c>
    </row>
    <row r="1665" ht="30" customHeight="1" s="78">
      <c r="A1665" s="73" t="inlineStr">
        <is>
          <t>QA-022</t>
        </is>
      </c>
      <c r="B1665" s="73" t="n">
        <v>83</v>
      </c>
      <c r="C1665" s="73" t="inlineStr">
        <is>
          <t>```</t>
        </is>
      </c>
    </row>
    <row r="1666" ht="30" customHeight="1" s="78">
      <c r="A1666" s="73" t="inlineStr">
        <is>
          <t>QA-022</t>
        </is>
      </c>
      <c r="B1666" s="73" t="n">
        <v>84</v>
      </c>
      <c r="C1666" s="73" t="n"/>
    </row>
    <row r="1667" ht="30" customHeight="1" s="78">
      <c r="A1667" s="73" t="inlineStr">
        <is>
          <t>QA-022</t>
        </is>
      </c>
      <c r="B1667" s="73" t="n">
        <v>85</v>
      </c>
      <c r="C1667" s="73" t="inlineStr">
        <is>
          <t>## Release boundary</t>
        </is>
      </c>
    </row>
    <row r="1668" ht="30" customHeight="1" s="78">
      <c r="A1668" s="73" t="inlineStr">
        <is>
          <t>QA-022</t>
        </is>
      </c>
      <c r="B1668" s="73" t="n">
        <v>86</v>
      </c>
      <c r="C1668" s="73" t="n"/>
    </row>
    <row r="1669" ht="30" customHeight="1" s="78">
      <c r="A1669" s="73" t="inlineStr">
        <is>
          <t>QA-022</t>
        </is>
      </c>
      <c r="B1669" s="73" t="n">
        <v>87</v>
      </c>
      <c r="C1669" s="73" t="inlineStr">
        <is>
          <t>This result approves the current working tree for continued local staging work.</t>
        </is>
      </c>
    </row>
    <row r="1670" ht="30" customHeight="1" s="78">
      <c r="A1670" s="73" t="inlineStr">
        <is>
          <t>QA-022</t>
        </is>
      </c>
      <c r="B1670" s="73" t="n">
        <v>88</v>
      </c>
      <c r="C1670" s="73" t="inlineStr">
        <is>
          <t>It is not a production or Android certification, and no live repository or</t>
        </is>
      </c>
    </row>
    <row r="1671" ht="30" customHeight="1" s="78">
      <c r="A1671" s="73" t="inlineStr">
        <is>
          <t>QA-022</t>
        </is>
      </c>
      <c r="B1671" s="73" t="n">
        <v>89</v>
      </c>
      <c r="C1671" s="73" t="inlineStr">
        <is>
          <t>deployment was changed. The branch has not been committed or pushed in this</t>
        </is>
      </c>
    </row>
    <row r="1672" ht="30" customHeight="1" s="78">
      <c r="A1672" s="73" t="inlineStr">
        <is>
          <t>QA-022</t>
        </is>
      </c>
      <c r="B1672" s="73" t="n">
        <v>90</v>
      </c>
      <c r="C1672" s="73" t="inlineStr">
        <is>
          <t>cycle.</t>
        </is>
      </c>
    </row>
    <row r="1673" ht="30" customHeight="1" s="78">
      <c r="A1673" s="73" t="inlineStr">
        <is>
          <t>QA-022</t>
        </is>
      </c>
      <c r="B1673" s="73" t="n">
        <v>91</v>
      </c>
      <c r="C1673" s="73" t="n"/>
    </row>
    <row r="1674" ht="30" customHeight="1" s="78">
      <c r="A1674" s="73" t="inlineStr">
        <is>
          <t>QA-023</t>
        </is>
      </c>
      <c r="B1674" s="73" t="n">
        <v>1</v>
      </c>
      <c r="C1674" s="73" t="inlineStr">
        <is>
          <t># Stage 1 Data Standardization SQA Report</t>
        </is>
      </c>
    </row>
    <row r="1675" ht="30" customHeight="1" s="78">
      <c r="A1675" s="73" t="inlineStr">
        <is>
          <t>QA-023</t>
        </is>
      </c>
      <c r="B1675" s="73" t="n">
        <v>2</v>
      </c>
      <c r="C1675" s="73" t="n"/>
    </row>
    <row r="1676" ht="30" customHeight="1" s="78">
      <c r="A1676" s="73" t="inlineStr">
        <is>
          <t>QA-023</t>
        </is>
      </c>
      <c r="B1676" s="73" t="n">
        <v>3</v>
      </c>
      <c r="C1676" s="73" t="inlineStr">
        <is>
          <t>**Test date:** 2026-08-21</t>
        </is>
      </c>
    </row>
    <row r="1677" ht="30" customHeight="1" s="78">
      <c r="A1677" s="73" t="inlineStr">
        <is>
          <t>QA-023</t>
        </is>
      </c>
      <c r="B1677" s="73" t="n">
        <v>4</v>
      </c>
      <c r="C1677" s="73" t="n"/>
    </row>
    <row r="1678" ht="30" customHeight="1" s="78">
      <c r="A1678" s="73" t="inlineStr">
        <is>
          <t>QA-023</t>
        </is>
      </c>
      <c r="B1678" s="73" t="n">
        <v>5</v>
      </c>
      <c r="C1678" s="73" t="inlineStr">
        <is>
          <t>**Repository:** `CS-Ponkoj/Robotics-Programming-Lab-Staging`</t>
        </is>
      </c>
    </row>
    <row r="1679" ht="30" customHeight="1" s="78">
      <c r="A1679" s="73" t="inlineStr">
        <is>
          <t>QA-023</t>
        </is>
      </c>
      <c r="B1679" s="73" t="n">
        <v>6</v>
      </c>
      <c r="C1679" s="73" t="n"/>
    </row>
    <row r="1680" ht="30" customHeight="1" s="78">
      <c r="A1680" s="73" t="inlineStr">
        <is>
          <t>QA-023</t>
        </is>
      </c>
      <c r="B1680" s="73" t="n">
        <v>7</v>
      </c>
      <c r="C1680" s="73" t="inlineStr">
        <is>
          <t>**Branch:** `data-standardization-stage1`</t>
        </is>
      </c>
    </row>
    <row r="1681" ht="30" customHeight="1" s="78">
      <c r="A1681" s="73" t="inlineStr">
        <is>
          <t>QA-023</t>
        </is>
      </c>
      <c r="B1681" s="73" t="n">
        <v>8</v>
      </c>
      <c r="C1681" s="73" t="n"/>
    </row>
    <row r="1682" ht="30" customHeight="1" s="78">
      <c r="A1682" s="73" t="inlineStr">
        <is>
          <t>QA-023</t>
        </is>
      </c>
      <c r="B1682" s="73" t="n">
        <v>9</v>
      </c>
      <c r="C1682" s="73" t="inlineStr">
        <is>
          <t>**Base commit:** `da68786`</t>
        </is>
      </c>
    </row>
    <row r="1683" ht="30" customHeight="1" s="78">
      <c r="A1683" s="73" t="inlineStr">
        <is>
          <t>QA-023</t>
        </is>
      </c>
      <c r="B1683" s="73" t="n">
        <v>10</v>
      </c>
      <c r="C1683" s="73" t="n"/>
    </row>
    <row r="1684" ht="30" customHeight="1" s="78">
      <c r="A1684" s="73" t="inlineStr">
        <is>
          <t>QA-023</t>
        </is>
      </c>
      <c r="B1684" s="73" t="n">
        <v>11</v>
      </c>
      <c r="C1684" s="73" t="inlineStr">
        <is>
          <t>**Scope:** Local staging only; production was not fetched, modified, or deployed.</t>
        </is>
      </c>
    </row>
    <row r="1685" ht="30" customHeight="1" s="78">
      <c r="A1685" s="73" t="inlineStr">
        <is>
          <t>QA-023</t>
        </is>
      </c>
      <c r="B1685" s="73" t="n">
        <v>12</v>
      </c>
      <c r="C1685" s="73" t="n"/>
    </row>
    <row r="1686" ht="30" customHeight="1" s="78">
      <c r="A1686" s="73" t="inlineStr">
        <is>
          <t>QA-023</t>
        </is>
      </c>
      <c r="B1686" s="73" t="n">
        <v>13</v>
      </c>
      <c r="C1686" s="73" t="inlineStr">
        <is>
          <t>## Result summary</t>
        </is>
      </c>
    </row>
    <row r="1687" ht="30" customHeight="1" s="78">
      <c r="A1687" s="73" t="inlineStr">
        <is>
          <t>QA-023</t>
        </is>
      </c>
      <c r="B1687" s="73" t="n">
        <v>14</v>
      </c>
      <c r="C1687" s="73" t="n"/>
    </row>
    <row r="1688" ht="30" customHeight="1" s="78">
      <c r="A1688" s="73" t="inlineStr">
        <is>
          <t>QA-023</t>
        </is>
      </c>
      <c r="B1688" s="73" t="n">
        <v>15</v>
      </c>
      <c r="C1688" s="73" t="inlineStr">
        <is>
          <t>| Requirement | Verification | Result | Evidence |</t>
        </is>
      </c>
    </row>
    <row r="1689" ht="30" customHeight="1" s="78">
      <c r="A1689" s="73" t="inlineStr">
        <is>
          <t>QA-023</t>
        </is>
      </c>
      <c r="B1689" s="73" t="n">
        <v>16</v>
      </c>
      <c r="C1689" s="73" t="inlineStr">
        <is>
          <t>|---|---|---:|---|</t>
        </is>
      </c>
    </row>
    <row r="1690" ht="39.95" customHeight="1" s="78">
      <c r="A1690" s="73" t="inlineStr">
        <is>
          <t>QA-023</t>
        </is>
      </c>
      <c r="B1690" s="73" t="n">
        <v>17</v>
      </c>
      <c r="C1690" s="73" t="inlineStr">
        <is>
          <t>| Assignment JSON validation | Valid and malformed contract tests | PASS | Assignments use versioned structured fields; duplicate test IDs and invalid rubric weights are rejected |</t>
        </is>
      </c>
    </row>
    <row r="1691" ht="39.95" customHeight="1" s="78">
      <c r="A1691" s="73" t="inlineStr">
        <is>
          <t>QA-023</t>
        </is>
      </c>
      <c r="B1691" s="73" t="n">
        <v>18</v>
      </c>
      <c r="C1691" s="73" t="inlineStr">
        <is>
          <t>| Assignments 1-6 compatibility | Seed repository test | PASS | All six assignments loaded with their existing content versions and data schema version `1` |</t>
        </is>
      </c>
    </row>
    <row r="1692" ht="39.95" customHeight="1" s="78">
      <c r="A1692" s="73" t="inlineStr">
        <is>
          <t>QA-023</t>
        </is>
      </c>
      <c r="B1692" s="73" t="n">
        <v>19</v>
      </c>
      <c r="C1692" s="73" t="inlineStr">
        <is>
          <t>| Execution status vocabulary | Classification unit tests and local Assignment 1 run | PASS | Stable statuses cover completed, syntax, runtime, timeout, rejection, grader unavailable, internal, and legacy errors |</t>
        </is>
      </c>
    </row>
    <row r="1693" ht="39.95" customHeight="1" s="78">
      <c r="A1693" s="73" t="inlineStr">
        <is>
          <t>QA-023</t>
        </is>
      </c>
      <c r="B1693" s="73" t="n">
        <v>20</v>
      </c>
      <c r="C1693" s="73" t="inlineStr">
        <is>
          <t>| Learning-event vocabulary | Contract and research API tests | PASS | Only eight documented event types and their approved metadata fields are accepted |</t>
        </is>
      </c>
    </row>
    <row r="1694" ht="39.95" customHeight="1" s="78">
      <c r="A1694" s="73" t="inlineStr">
        <is>
          <t>QA-023</t>
        </is>
      </c>
      <c r="B1694" s="73" t="n">
        <v>21</v>
      </c>
      <c r="C1694" s="73" t="inlineStr">
        <is>
          <t>| Assignment-version integrity | Request, service, database, and migration tests | PASS | Assignment ID/version pairs are required and positive-version constraints are present |</t>
        </is>
      </c>
    </row>
    <row r="1695" ht="39.95" customHeight="1" s="78">
      <c r="A1695" s="73" t="inlineStr">
        <is>
          <t>QA-023</t>
        </is>
      </c>
      <c r="B1695" s="73" t="n">
        <v>22</v>
      </c>
      <c r="C1695" s="73" t="inlineStr">
        <is>
          <t>| Existing-data migration | Alembic fresh, previous-head upgrade, downgrade, and recovery tests | PASS | Migration `0003_standardize_existing_data` backfills without deleting research rows |</t>
        </is>
      </c>
    </row>
    <row r="1696" ht="30" customHeight="1" s="78">
      <c r="A1696" s="73" t="inlineStr">
        <is>
          <t>QA-023</t>
        </is>
      </c>
      <c r="B1696" s="73" t="n">
        <v>23</v>
      </c>
      <c r="C1696" s="73" t="inlineStr">
        <is>
          <t>| Safe validation errors | Invalid cross-field request test | PASS | API returns serializable details without echoing submitted values |</t>
        </is>
      </c>
    </row>
    <row r="1697" ht="39.95" customHeight="1" s="78">
      <c r="A1697" s="73" t="inlineStr">
        <is>
          <t>QA-023</t>
        </is>
      </c>
      <c r="B1697" s="73" t="n">
        <v>24</v>
      </c>
      <c r="C1697" s="73" t="inlineStr">
        <is>
          <t>| Research privacy | Research regression tests | PASS | Code, login IDs, passwords, and arbitrary event metadata remain absent from exports/events |</t>
        </is>
      </c>
    </row>
    <row r="1698" ht="30" customHeight="1" s="78">
      <c r="A1698" s="73" t="inlineStr">
        <is>
          <t>QA-023</t>
        </is>
      </c>
      <c r="B1698" s="73" t="n">
        <v>25</v>
      </c>
      <c r="C1698" s="73" t="inlineStr">
        <is>
          <t>| Backend regression | Complete backend suite | PASS | 127 pytest tests passed |</t>
        </is>
      </c>
    </row>
    <row r="1699" ht="30" customHeight="1" s="78">
      <c r="A1699" s="73" t="inlineStr">
        <is>
          <t>QA-023</t>
        </is>
      </c>
      <c r="B1699" s="73" t="n">
        <v>26</v>
      </c>
      <c r="C1699" s="73" t="inlineStr">
        <is>
          <t>| Python dependencies | `pip check` | PASS | No broken requirements found |</t>
        </is>
      </c>
    </row>
    <row r="1700" ht="30" customHeight="1" s="78">
      <c r="A1700" s="73" t="inlineStr">
        <is>
          <t>QA-023</t>
        </is>
      </c>
      <c r="B1700" s="73" t="n">
        <v>27</v>
      </c>
      <c r="C1700" s="73" t="inlineStr">
        <is>
          <t>| Python compilation | `compileall` | PASS | Backend compiled successfully |</t>
        </is>
      </c>
    </row>
    <row r="1701" ht="30" customHeight="1" s="78">
      <c r="A1701" s="73" t="inlineStr">
        <is>
          <t>QA-023</t>
        </is>
      </c>
      <c r="B1701" s="73" t="n">
        <v>28</v>
      </c>
      <c r="C1701" s="73" t="inlineStr">
        <is>
          <t>| Flutter static analysis | OneDrive-safe analyzer | PASS | No issues found |</t>
        </is>
      </c>
    </row>
    <row r="1702" ht="30" customHeight="1" s="78">
      <c r="A1702" s="73" t="inlineStr">
        <is>
          <t>QA-023</t>
        </is>
      </c>
      <c r="B1702" s="73" t="n">
        <v>29</v>
      </c>
      <c r="C1702" s="73" t="inlineStr">
        <is>
          <t>| Flutter regression | Complete Flutter suite | PASS | 43 tests passed |</t>
        </is>
      </c>
    </row>
    <row r="1703" ht="30" customHeight="1" s="78">
      <c r="A1703" s="73" t="inlineStr">
        <is>
          <t>QA-023</t>
        </is>
      </c>
      <c r="B1703" s="73" t="n">
        <v>30</v>
      </c>
      <c r="C1703" s="73" t="inlineStr">
        <is>
          <t>| Flutter release build | Production-style web compilation | PASS | Release web build completed successfully |</t>
        </is>
      </c>
    </row>
    <row r="1704" ht="30" customHeight="1" s="78">
      <c r="A1704" s="73" t="inlineStr">
        <is>
          <t>QA-023</t>
        </is>
      </c>
      <c r="B1704" s="73" t="n">
        <v>31</v>
      </c>
      <c r="C1704" s="73" t="inlineStr">
        <is>
          <t>| Local migration | Started managed local stack | PASS | Existing local SQLite upgraded from `0002` to `0003` |</t>
        </is>
      </c>
    </row>
    <row r="1705" ht="30" customHeight="1" s="78">
      <c r="A1705" s="73" t="inlineStr">
        <is>
          <t>QA-023</t>
        </is>
      </c>
      <c r="B1705" s="73" t="n">
        <v>32</v>
      </c>
      <c r="C1705" s="73" t="inlineStr">
        <is>
          <t>| Local frontend/API/sandbox | HTTP and managed health checks | PASS | Frontend returned 200; backend and sandbox returned `ok` |</t>
        </is>
      </c>
    </row>
    <row r="1706" ht="30" customHeight="1" s="78">
      <c r="A1706" s="73" t="inlineStr">
        <is>
          <t>QA-023</t>
        </is>
      </c>
      <c r="B1706" s="73" t="n">
        <v>33</v>
      </c>
      <c r="C1706" s="73" t="inlineStr">
        <is>
          <t>| AI default | Managed launcher and Assignment 1 run | PASS | AI remained disabled and grading completed normally |</t>
        </is>
      </c>
    </row>
    <row r="1707" ht="54" customHeight="1" s="78">
      <c r="A1707" s="73" t="inlineStr">
        <is>
          <t>QA-023</t>
        </is>
      </c>
      <c r="B1707" s="73" t="n">
        <v>34</v>
      </c>
      <c r="C1707" s="73" t="inlineStr">
        <is>
          <t>| Manual rendered browser walkthrough | Desktop and mobile demo plus authenticated student/instructor roles | PASS | Login, six-assignment catalog, grading, saved student progress, assignment studio, account management, research dashboard, and assignment editor rendered and responded correctly |</t>
        </is>
      </c>
    </row>
    <row r="1708" ht="30" customHeight="1" s="78">
      <c r="A1708" s="73" t="inlineStr">
        <is>
          <t>QA-023</t>
        </is>
      </c>
      <c r="B1708" s="73" t="n">
        <v>35</v>
      </c>
      <c r="C1708" s="73" t="inlineStr">
        <is>
          <t>| Git whitespace | `git diff --check` | PASS | No whitespace errors; Windows line-ending notices are informational |</t>
        </is>
      </c>
    </row>
    <row r="1709" ht="30" customHeight="1" s="78">
      <c r="A1709" s="73" t="inlineStr">
        <is>
          <t>QA-023</t>
        </is>
      </c>
      <c r="B1709" s="73" t="n">
        <v>36</v>
      </c>
      <c r="C1709" s="73" t="n"/>
    </row>
    <row r="1710" ht="30" customHeight="1" s="78">
      <c r="A1710" s="73" t="inlineStr">
        <is>
          <t>QA-023</t>
        </is>
      </c>
      <c r="B1710" s="73" t="n">
        <v>37</v>
      </c>
      <c r="C1710" s="73" t="inlineStr">
        <is>
          <t>## Local smoke-test result</t>
        </is>
      </c>
    </row>
    <row r="1711" ht="30" customHeight="1" s="78">
      <c r="A1711" s="73" t="inlineStr">
        <is>
          <t>QA-023</t>
        </is>
      </c>
      <c r="B1711" s="73" t="n">
        <v>38</v>
      </c>
      <c r="C1711" s="73" t="n"/>
    </row>
    <row r="1712" ht="30" customHeight="1" s="78">
      <c r="A1712" s="73" t="inlineStr">
        <is>
          <t>QA-023</t>
        </is>
      </c>
      <c r="B1712" s="73" t="n">
        <v>39</v>
      </c>
      <c r="C1712" s="73" t="inlineStr">
        <is>
          <t>The local staging stack ran on temporary ports `8280`, `5200`, and `5201`.</t>
        </is>
      </c>
    </row>
    <row r="1713" ht="30" customHeight="1" s="78">
      <c r="A1713" s="73" t="inlineStr">
        <is>
          <t>QA-023</t>
        </is>
      </c>
      <c r="B1713" s="73" t="n">
        <v>40</v>
      </c>
      <c r="C1713" s="73" t="inlineStr">
        <is>
          <t>Assignment 1 starter code executed through the dedicated sandbox and returned</t>
        </is>
      </c>
    </row>
    <row r="1714" ht="30" customHeight="1" s="78">
      <c r="A1714" s="73" t="inlineStr">
        <is>
          <t>QA-023</t>
        </is>
      </c>
      <c r="B1714" s="73" t="n">
        <v>41</v>
      </c>
      <c r="C1714" s="73" t="inlineStr">
        <is>
          <t>`execution_status: completed`. The student assignment response returned</t>
        </is>
      </c>
    </row>
    <row r="1715" ht="30" customHeight="1" s="78">
      <c r="A1715" s="73" t="inlineStr">
        <is>
          <t>QA-023</t>
        </is>
      </c>
      <c r="B1715" s="73" t="n">
        <v>42</v>
      </c>
      <c r="C1715" s="73" t="inlineStr">
        <is>
          <t>`data_schema_version: 1`. The SQLite tables contained the new schema-version</t>
        </is>
      </c>
    </row>
    <row r="1716" ht="30" customHeight="1" s="78">
      <c r="A1716" s="73" t="inlineStr">
        <is>
          <t>QA-023</t>
        </is>
      </c>
      <c r="B1716" s="73" t="n">
        <v>43</v>
      </c>
      <c r="C1716" s="73" t="inlineStr">
        <is>
          <t>and execution-status columns. The managed services were stopped after testing.</t>
        </is>
      </c>
    </row>
    <row r="1717" ht="30" customHeight="1" s="78">
      <c r="A1717" s="73" t="inlineStr">
        <is>
          <t>QA-023</t>
        </is>
      </c>
      <c r="B1717" s="73" t="n">
        <v>44</v>
      </c>
      <c r="C1717" s="73" t="n"/>
    </row>
    <row r="1718" ht="30" customHeight="1" s="78">
      <c r="A1718" s="73" t="inlineStr">
        <is>
          <t>QA-023</t>
        </is>
      </c>
      <c r="B1718" s="73" t="n">
        <v>45</v>
      </c>
      <c r="C1718" s="73" t="inlineStr">
        <is>
          <t>## Not run</t>
        </is>
      </c>
    </row>
    <row r="1719" ht="30" customHeight="1" s="78">
      <c r="A1719" s="73" t="inlineStr">
        <is>
          <t>QA-023</t>
        </is>
      </c>
      <c r="B1719" s="73" t="n">
        <v>46</v>
      </c>
      <c r="C1719" s="73" t="n"/>
    </row>
    <row r="1720" ht="30" customHeight="1" s="78">
      <c r="A1720" s="73" t="inlineStr">
        <is>
          <t>QA-023</t>
        </is>
      </c>
      <c r="B1720" s="73" t="n">
        <v>47</v>
      </c>
      <c r="C1720" s="73" t="inlineStr">
        <is>
          <t>| Item | Status | Reason / follow-up |</t>
        </is>
      </c>
    </row>
    <row r="1721" ht="30" customHeight="1" s="78">
      <c r="A1721" s="73" t="inlineStr">
        <is>
          <t>QA-023</t>
        </is>
      </c>
      <c r="B1721" s="73" t="n">
        <v>48</v>
      </c>
      <c r="C1721" s="73" t="inlineStr">
        <is>
          <t>|---|---:|---|</t>
        </is>
      </c>
    </row>
    <row r="1722" ht="39.95" customHeight="1" s="78">
      <c r="A1722" s="73" t="inlineStr">
        <is>
          <t>QA-023</t>
        </is>
      </c>
      <c r="B1722" s="73" t="n">
        <v>49</v>
      </c>
      <c r="C1722" s="73" t="inlineStr">
        <is>
          <t>| Separate staging PostgreSQL parity test | NOT RUN | This implementation used the ordinary ignored local SQLite database. Run the same Alembic migration and persistence checks against the approved separate staging PostgreSQL database before a release candidate is promoted. |</t>
        </is>
      </c>
    </row>
    <row r="1723" ht="30" customHeight="1" s="78">
      <c r="A1723" s="73" t="inlineStr">
        <is>
          <t>QA-023</t>
        </is>
      </c>
      <c r="B1723" s="73" t="n">
        <v>50</v>
      </c>
      <c r="C1723" s="73" t="inlineStr">
        <is>
          <t>| Production deployment or live SQA | NOT RUN | The user restricted this work to staging. Production was intentionally untouched. |</t>
        </is>
      </c>
    </row>
    <row r="1724" ht="30" customHeight="1" s="78">
      <c r="A1724" s="73" t="inlineStr">
        <is>
          <t>QA-023</t>
        </is>
      </c>
      <c r="B1724" s="73" t="n">
        <v>51</v>
      </c>
      <c r="C1724" s="73" t="inlineStr">
        <is>
          <t>| Paid OpenAI response | NOT RUN | Stage 1 standardizes existing data; AI remains optional and disabled by default. |</t>
        </is>
      </c>
    </row>
    <row r="1725" ht="30" customHeight="1" s="78">
      <c r="A1725" s="73" t="inlineStr">
        <is>
          <t>QA-023</t>
        </is>
      </c>
      <c r="B1725" s="73" t="n">
        <v>52</v>
      </c>
      <c r="C1725" s="73" t="n"/>
    </row>
    <row r="1726" ht="30" customHeight="1" s="78">
      <c r="A1726" s="73" t="inlineStr">
        <is>
          <t>QA-023</t>
        </is>
      </c>
      <c r="B1726" s="73" t="n">
        <v>53</v>
      </c>
      <c r="C1726" s="73" t="inlineStr">
        <is>
          <t>## Decision</t>
        </is>
      </c>
    </row>
    <row r="1727" ht="30" customHeight="1" s="78">
      <c r="A1727" s="73" t="inlineStr">
        <is>
          <t>QA-023</t>
        </is>
      </c>
      <c r="B1727" s="73" t="n">
        <v>54</v>
      </c>
      <c r="C1727" s="73" t="n"/>
    </row>
    <row r="1728" ht="30" customHeight="1" s="78">
      <c r="A1728" s="73" t="inlineStr">
        <is>
          <t>QA-023</t>
        </is>
      </c>
      <c r="B1728" s="73" t="n">
        <v>55</v>
      </c>
      <c r="C1728" s="73" t="inlineStr">
        <is>
          <t>**PASS for local staging implementation.** This is not approval for production</t>
        </is>
      </c>
    </row>
    <row r="1729" ht="30" customHeight="1" s="78">
      <c r="A1729" s="73" t="inlineStr">
        <is>
          <t>QA-023</t>
        </is>
      </c>
      <c r="B1729" s="73" t="n">
        <v>56</v>
      </c>
      <c r="C1729" s="73" t="inlineStr">
        <is>
          <t>promotion until the separate staging PostgreSQL check and the normal release</t>
        </is>
      </c>
    </row>
    <row r="1730" ht="30" customHeight="1" s="78">
      <c r="A1730" s="73" t="inlineStr">
        <is>
          <t>QA-023</t>
        </is>
      </c>
      <c r="B1730" s="73" t="n">
        <v>57</v>
      </c>
      <c r="C1730" s="73" t="inlineStr">
        <is>
          <t>approval process are completed.</t>
        </is>
      </c>
    </row>
    <row r="1731" ht="30" customHeight="1" s="78">
      <c r="A1731" s="73" t="inlineStr">
        <is>
          <t>QA-023</t>
        </is>
      </c>
      <c r="B1731" s="73" t="n">
        <v>58</v>
      </c>
      <c r="C1731" s="73" t="n"/>
    </row>
    <row r="1732" ht="30" customHeight="1" s="78">
      <c r="A1732" s="73" t="inlineStr">
        <is>
          <t>QA-024</t>
        </is>
      </c>
      <c r="B1732" s="73" t="n">
        <v>1</v>
      </c>
      <c r="C1732" s="73" t="inlineStr">
        <is>
          <t># Public Student Demo Session SQA Report</t>
        </is>
      </c>
    </row>
    <row r="1733" ht="30" customHeight="1" s="78">
      <c r="A1733" s="73" t="inlineStr">
        <is>
          <t>QA-024</t>
        </is>
      </c>
      <c r="B1733" s="73" t="n">
        <v>2</v>
      </c>
      <c r="C1733" s="73" t="n"/>
    </row>
    <row r="1734" ht="30" customHeight="1" s="78">
      <c r="A1734" s="73" t="inlineStr">
        <is>
          <t>QA-024</t>
        </is>
      </c>
      <c r="B1734" s="73" t="n">
        <v>3</v>
      </c>
      <c r="C1734" s="73" t="inlineStr">
        <is>
          <t>Last updated: 2026-08-20</t>
        </is>
      </c>
    </row>
    <row r="1735" ht="30" customHeight="1" s="78">
      <c r="A1735" s="73" t="inlineStr">
        <is>
          <t>QA-024</t>
        </is>
      </c>
      <c r="B1735" s="73" t="n">
        <v>4</v>
      </c>
      <c r="C1735" s="73" t="n"/>
    </row>
    <row r="1736" ht="30" customHeight="1" s="78">
      <c r="A1736" s="73" t="inlineStr">
        <is>
          <t>QA-024</t>
        </is>
      </c>
      <c r="B1736" s="73" t="n">
        <v>5</v>
      </c>
      <c r="C1736" s="73" t="inlineStr">
        <is>
          <t>Scope: credential-free student demo access with memory-only state</t>
        </is>
      </c>
    </row>
    <row r="1737" ht="30" customHeight="1" s="78">
      <c r="A1737" s="73" t="inlineStr">
        <is>
          <t>QA-024</t>
        </is>
      </c>
      <c r="B1737" s="73" t="n">
        <v>6</v>
      </c>
      <c r="C1737" s="73" t="n"/>
    </row>
    <row r="1738" ht="30" customHeight="1" s="78">
      <c r="A1738" s="73" t="inlineStr">
        <is>
          <t>QA-024</t>
        </is>
      </c>
      <c r="B1738" s="73" t="n">
        <v>7</v>
      </c>
      <c r="C1738" s="73" t="inlineStr">
        <is>
          <t>Branch under test: `assignment-6-ros2-obstacle-stop`</t>
        </is>
      </c>
    </row>
    <row r="1739" ht="30" customHeight="1" s="78">
      <c r="A1739" s="73" t="inlineStr">
        <is>
          <t>QA-024</t>
        </is>
      </c>
      <c r="B1739" s="73" t="n">
        <v>8</v>
      </c>
      <c r="C1739" s="73" t="n"/>
    </row>
    <row r="1740" ht="30" customHeight="1" s="78">
      <c r="A1740" s="73" t="inlineStr">
        <is>
          <t>QA-024</t>
        </is>
      </c>
      <c r="B1740" s="73" t="n">
        <v>9</v>
      </c>
      <c r="C1740" s="73" t="inlineStr">
        <is>
          <t>## Acceptance result</t>
        </is>
      </c>
    </row>
    <row r="1741" ht="30" customHeight="1" s="78">
      <c r="A1741" s="73" t="inlineStr">
        <is>
          <t>QA-024</t>
        </is>
      </c>
      <c r="B1741" s="73" t="n">
        <v>10</v>
      </c>
      <c r="C1741" s="73" t="n"/>
    </row>
    <row r="1742" ht="30" customHeight="1" s="78">
      <c r="A1742" s="73" t="inlineStr">
        <is>
          <t>QA-024</t>
        </is>
      </c>
      <c r="B1742" s="73" t="n">
        <v>11</v>
      </c>
      <c r="C1742" s="73" t="inlineStr">
        <is>
          <t>The public demo provides the same assignment workspace, grading, feedback,</t>
        </is>
      </c>
    </row>
    <row r="1743" ht="30" customHeight="1" s="78">
      <c r="A1743" s="73" t="inlineStr">
        <is>
          <t>QA-024</t>
        </is>
      </c>
      <c r="B1743" s="73" t="n">
        <v>12</v>
      </c>
      <c r="C1743" s="73" t="inlineStr">
        <is>
          <t>hint, solution-unlock, AI-toggle, and navigation capabilities as a student</t>
        </is>
      </c>
    </row>
    <row r="1744" ht="30" customHeight="1" s="78">
      <c r="A1744" s="73" t="inlineStr">
        <is>
          <t>QA-024</t>
        </is>
      </c>
      <c r="B1744" s="73" t="n">
        <v>13</v>
      </c>
      <c r="C1744" s="73" t="inlineStr">
        <is>
          <t>account. Demo authentication, submissions, hints, drafts, scores, and solution</t>
        </is>
      </c>
    </row>
    <row r="1745" ht="30" customHeight="1" s="78">
      <c r="A1745" s="73" t="inlineStr">
        <is>
          <t>QA-024</t>
        </is>
      </c>
      <c r="B1745" s="73" t="n">
        <v>14</v>
      </c>
      <c r="C1745" s="73" t="inlineStr">
        <is>
          <t>state are not written permanently. Refreshing `/app` returns to the login page</t>
        </is>
      </c>
    </row>
    <row r="1746" ht="30" customHeight="1" s="78">
      <c r="A1746" s="73" t="inlineStr">
        <is>
          <t>QA-024</t>
        </is>
      </c>
      <c r="B1746" s="73" t="n">
        <v>15</v>
      </c>
      <c r="C1746" s="73" t="inlineStr">
        <is>
          <t>and starts a clean demo.</t>
        </is>
      </c>
    </row>
    <row r="1747" ht="30" customHeight="1" s="78">
      <c r="A1747" s="73" t="inlineStr">
        <is>
          <t>QA-024</t>
        </is>
      </c>
      <c r="B1747" s="73" t="n">
        <v>16</v>
      </c>
      <c r="C1747" s="73" t="n"/>
    </row>
    <row r="1748" ht="30" customHeight="1" s="78">
      <c r="A1748" s="73" t="inlineStr">
        <is>
          <t>QA-024</t>
        </is>
      </c>
      <c r="B1748" s="73" t="n">
        <v>17</v>
      </c>
      <c r="C1748" s="73" t="inlineStr">
        <is>
          <t>The login page does not display the student or instructor credential values.</t>
        </is>
      </c>
    </row>
    <row r="1749" ht="30" customHeight="1" s="78">
      <c r="A1749" s="73" t="inlineStr">
        <is>
          <t>QA-024</t>
        </is>
      </c>
      <c r="B1749" s="73" t="n">
        <v>18</v>
      </c>
      <c r="C1749" s="73" t="n"/>
    </row>
    <row r="1750" ht="30" customHeight="1" s="78">
      <c r="A1750" s="73" t="inlineStr">
        <is>
          <t>QA-024</t>
        </is>
      </c>
      <c r="B1750" s="73" t="n">
        <v>19</v>
      </c>
      <c r="C1750" s="73" t="inlineStr">
        <is>
          <t>Password-authenticated student accounts are persistent accounts. Only the</t>
        </is>
      </c>
    </row>
    <row r="1751" ht="30" customHeight="1" s="78">
      <c r="A1751" s="73" t="inlineStr">
        <is>
          <t>QA-024</t>
        </is>
      </c>
      <c r="B1751" s="73" t="n">
        <v>20</v>
      </c>
      <c r="C1751" s="73" t="inlineStr">
        <is>
          <t>credential-free **Try the student demo** action creates an ephemeral demo</t>
        </is>
      </c>
    </row>
    <row r="1752" ht="30" customHeight="1" s="78">
      <c r="A1752" s="73" t="inlineStr">
        <is>
          <t>QA-024</t>
        </is>
      </c>
      <c r="B1752" s="73" t="n">
        <v>21</v>
      </c>
      <c r="C1752" s="73" t="inlineStr">
        <is>
          <t>session. The startup account seed corrects the legacy `is_demo=true` flag on</t>
        </is>
      </c>
    </row>
    <row r="1753" ht="30" customHeight="1" s="78">
      <c r="A1753" s="73" t="inlineStr">
        <is>
          <t>QA-024</t>
        </is>
      </c>
      <c r="B1753" s="73" t="n">
        <v>22</v>
      </c>
      <c r="C1753" s="73" t="inlineStr">
        <is>
          <t>the default `student` and `instructor` password accounts without changing their</t>
        </is>
      </c>
    </row>
    <row r="1754" ht="30" customHeight="1" s="78">
      <c r="A1754" s="73" t="inlineStr">
        <is>
          <t>QA-024</t>
        </is>
      </c>
      <c r="B1754" s="73" t="n">
        <v>23</v>
      </c>
      <c r="C1754" s="73" t="inlineStr">
        <is>
          <t>credentials.</t>
        </is>
      </c>
    </row>
    <row r="1755" ht="30" customHeight="1" s="78">
      <c r="A1755" s="73" t="inlineStr">
        <is>
          <t>QA-024</t>
        </is>
      </c>
      <c r="B1755" s="73" t="n">
        <v>24</v>
      </c>
      <c r="C1755" s="73" t="n"/>
    </row>
    <row r="1756" ht="30" customHeight="1" s="78">
      <c r="A1756" s="73" t="inlineStr">
        <is>
          <t>QA-024</t>
        </is>
      </c>
      <c r="B1756" s="73" t="n">
        <v>25</v>
      </c>
      <c r="C1756" s="73" t="inlineStr">
        <is>
          <t>## SQA results</t>
        </is>
      </c>
    </row>
    <row r="1757" ht="30" customHeight="1" s="78">
      <c r="A1757" s="73" t="inlineStr">
        <is>
          <t>QA-024</t>
        </is>
      </c>
      <c r="B1757" s="73" t="n">
        <v>26</v>
      </c>
      <c r="C1757" s="73" t="n"/>
    </row>
    <row r="1758" ht="30" customHeight="1" s="78">
      <c r="A1758" s="73" t="inlineStr">
        <is>
          <t>QA-024</t>
        </is>
      </c>
      <c r="B1758" s="73" t="n">
        <v>27</v>
      </c>
      <c r="C1758" s="73" t="inlineStr">
        <is>
          <t>| ID | Check | Expected | Actual evidence | Result |</t>
        </is>
      </c>
    </row>
    <row r="1759" ht="30" customHeight="1" s="78">
      <c r="A1759" s="73" t="inlineStr">
        <is>
          <t>QA-024</t>
        </is>
      </c>
      <c r="B1759" s="73" t="n">
        <v>28</v>
      </c>
      <c r="C1759" s="73" t="inlineStr">
        <is>
          <t>|---|---|---|---|---|</t>
        </is>
      </c>
    </row>
    <row r="1760" ht="39.95" customHeight="1" s="78">
      <c r="A1760" s="73" t="inlineStr">
        <is>
          <t>QA-024</t>
        </is>
      </c>
      <c r="B1760" s="73" t="n">
        <v>29</v>
      </c>
      <c r="C1760" s="73" t="inlineStr">
        <is>
          <t>| DEMO-001 | Public demo entry | A visitor can start without credentials | Rendered login shows **Try the student demo** and no credential values | PASS |</t>
        </is>
      </c>
    </row>
    <row r="1761" ht="39.95" customHeight="1" s="78">
      <c r="A1761" s="73" t="inlineStr">
        <is>
          <t>QA-024</t>
        </is>
      </c>
      <c r="B1761" s="73" t="n">
        <v>30</v>
      </c>
      <c r="C1761" s="73" t="inlineStr">
        <is>
          <t>| DEMO-002 | Student capability parity | Demo can list, open, edit, run, submit, request hints, and unlock solutions | API workflow and rendered Assignment 2 run completed normally | PASS |</t>
        </is>
      </c>
    </row>
    <row r="1762" ht="39.95" customHeight="1" s="78">
      <c r="A1762" s="73" t="inlineStr">
        <is>
          <t>QA-024</t>
        </is>
      </c>
      <c r="B1762" s="73" t="n">
        <v>31</v>
      </c>
      <c r="C1762" s="73" t="inlineStr">
        <is>
          <t>| DEMO-003 | Assignment inventory | Staging retains Assignments 1–6, including ROS Assignments 5 and 6 | Rendered catalog and backend inventory matched | PASS |</t>
        </is>
      </c>
    </row>
    <row r="1763" ht="39.95" customHeight="1" s="78">
      <c r="A1763" s="73" t="inlineStr">
        <is>
          <t>QA-024</t>
        </is>
      </c>
      <c r="B1763" s="73" t="n">
        <v>32</v>
      </c>
      <c r="C1763" s="73" t="inlineStr">
        <is>
          <t>| DEMO-004 | Authentication persistence | No demo token is stored in browser preferences | Flutter policy test passed; restore rejects legacy demo tokens | PASS |</t>
        </is>
      </c>
    </row>
    <row r="1764" ht="39.95" customHeight="1" s="78">
      <c r="A1764" s="73" t="inlineStr">
        <is>
          <t>QA-024</t>
        </is>
      </c>
      <c r="B1764" s="73" t="n">
        <v>33</v>
      </c>
      <c r="C1764" s="73" t="inlineStr">
        <is>
          <t>| DEMO-005 | Learning-progress persistence | Demo drafts, scores, attempts, submission IDs, and solution state stay in memory | Flutter store test proved saved student data is unchanged and demo data disappears on reload | PASS |</t>
        </is>
      </c>
    </row>
    <row r="1765" ht="39.95" customHeight="1" s="78">
      <c r="A1765" s="73" t="inlineStr">
        <is>
          <t>QA-024</t>
        </is>
      </c>
      <c r="B1765" s="73" t="n">
        <v>34</v>
      </c>
      <c r="C1765" s="73" t="inlineStr">
        <is>
          <t>| DEMO-006 | Server persistence | Demo creates no auth-session, submission, hint, research-session, or audit rows | Focused API test compared all five database table counts before and after a run/hint/solution workflow | PASS |</t>
        </is>
      </c>
    </row>
    <row r="1766" ht="30" customHeight="1" s="78">
      <c r="A1766" s="73" t="inlineStr">
        <is>
          <t>QA-024</t>
        </is>
      </c>
      <c r="B1766" s="73" t="n">
        <v>35</v>
      </c>
      <c r="C1766" s="73" t="inlineStr">
        <is>
          <t>| DEMO-007 | Browser refresh | Refresh resets the demo | Rendered `/app` refresh returned to login with no restored attempt | PASS |</t>
        </is>
      </c>
    </row>
    <row r="1767" ht="39.95" customHeight="1" s="78">
      <c r="A1767" s="73" t="inlineStr">
        <is>
          <t>QA-024</t>
        </is>
      </c>
      <c r="B1767" s="73" t="n">
        <v>36</v>
      </c>
      <c r="C1767" s="73" t="inlineStr">
        <is>
          <t>| DEMO-008 | Cross-session isolation | One demo session cannot access another session's submission | Foreign hint returned 404 and foreign solution returned 403 | PASS |</t>
        </is>
      </c>
    </row>
    <row r="1768" ht="30" customHeight="1" s="78">
      <c r="A1768" s="73" t="inlineStr">
        <is>
          <t>QA-024</t>
        </is>
      </c>
      <c r="B1768" s="73" t="n">
        <v>37</v>
      </c>
      <c r="C1768" s="73" t="inlineStr">
        <is>
          <t>| DEMO-009 | Logout | Logout revokes the in-memory token and session data | Logout returned 200; subsequent `/auth/me` returned 401 | PASS |</t>
        </is>
      </c>
    </row>
    <row r="1769" ht="39.95" customHeight="1" s="78">
      <c r="A1769" s="73" t="inlineStr">
        <is>
          <t>QA-024</t>
        </is>
      </c>
      <c r="B1769" s="73" t="n">
        <v>38</v>
      </c>
      <c r="C1769" s="73" t="inlineStr">
        <is>
          <t>| DEMO-010 | Research integrity | Demo activity is excluded from permanent study capture | Demo research-session creation returned 409; frontend does not start the tracker | PASS |</t>
        </is>
      </c>
    </row>
    <row r="1770" ht="30" customHeight="1" s="78">
      <c r="A1770" s="73" t="inlineStr">
        <is>
          <t>QA-024</t>
        </is>
      </c>
      <c r="B1770" s="73" t="n">
        <v>39</v>
      </c>
      <c r="C1770" s="73" t="inlineStr">
        <is>
          <t>| DEMO-011 | AI default | AI is available but off by default | Rendered assignment toolbar showed the AI toggle off | PASS |</t>
        </is>
      </c>
    </row>
    <row r="1771" ht="30" customHeight="1" s="78">
      <c r="A1771" s="73" t="inlineStr">
        <is>
          <t>QA-024</t>
        </is>
      </c>
      <c r="B1771" s="73" t="n">
        <v>40</v>
      </c>
      <c r="C1771" s="73" t="inlineStr">
        <is>
          <t>| DEMO-012 | Backend regression | Existing backend behavior remains green | 115 backend tests passed | PASS |</t>
        </is>
      </c>
    </row>
    <row r="1772" ht="39.95" customHeight="1" s="78">
      <c r="A1772" s="73" t="inlineStr">
        <is>
          <t>QA-024</t>
        </is>
      </c>
      <c r="B1772" s="73" t="n">
        <v>41</v>
      </c>
      <c r="C1772" s="73" t="inlineStr">
        <is>
          <t>| DEMO-013 | Frontend regression | Analyzer, all Flutter tests, and release web build pass | Zero analyzer findings, 43 Flutter tests passed, release build succeeded | PASS |</t>
        </is>
      </c>
    </row>
    <row r="1773" ht="30" customHeight="1" s="78">
      <c r="A1773" s="73" t="inlineStr">
        <is>
          <t>QA-024</t>
        </is>
      </c>
      <c r="B1773" s="73" t="n">
        <v>42</v>
      </c>
      <c r="C1773" s="73" t="inlineStr">
        <is>
          <t>| DEMO-014 | Dependency integrity | Installed backend dependencies are consistent | `pip check` reported no broken requirements | PASS |</t>
        </is>
      </c>
    </row>
    <row r="1774" ht="39.95" customHeight="1" s="78">
      <c r="A1774" s="73" t="inlineStr">
        <is>
          <t>QA-024</t>
        </is>
      </c>
      <c r="B1774" s="73" t="n">
        <v>43</v>
      </c>
      <c r="C1774" s="73" t="inlineStr">
        <is>
          <t>| DEMO-015 | Password student classification | Logging in with the default student ID and password creates a persistent student session, not a demo | Local API login and `/auth/me` both returned `is_demo=false`; an auth-session row was created | PASS |</t>
        </is>
      </c>
    </row>
    <row r="1775" ht="39.95" customHeight="1" s="78">
      <c r="A1775" s="73" t="inlineStr">
        <is>
          <t>QA-024</t>
        </is>
      </c>
      <c r="B1775" s="73" t="n">
        <v>44</v>
      </c>
      <c r="C1775" s="73" t="inlineStr">
        <is>
          <t>| DEMO-016 | Student analytics availability | A password-authenticated student can open saved study analytics | Local `/research/me` returned HTTP 200; Flutter account-menu test displayed **My study progress** | PASS |</t>
        </is>
      </c>
    </row>
    <row r="1776" ht="39.95" customHeight="1" s="78">
      <c r="A1776" s="73" t="inlineStr">
        <is>
          <t>QA-024</t>
        </is>
      </c>
      <c r="B1776" s="73" t="n">
        <v>45</v>
      </c>
      <c r="C1776" s="73" t="inlineStr">
        <is>
          <t>| DEMO-017 | Existing-database correction | Restarting an older database removes the obsolete demo flag from password accounts | Startup migration test corrected both default accounts; the real staging database returned `is_demo=false` after restart | PASS |</t>
        </is>
      </c>
    </row>
    <row r="1777" ht="39.95" customHeight="1" s="78">
      <c r="A1777" s="73" t="inlineStr">
        <is>
          <t>QA-024</t>
        </is>
      </c>
      <c r="B1777" s="73" t="n">
        <v>46</v>
      </c>
      <c r="C1777" s="73" t="inlineStr">
        <is>
          <t>| DEMO-018 | Demo analytics isolation | A temporary demo must not read the password student's saved analytics | Demo `/auth/me` returned `is_demo=true`; demo `/research/me` returned HTTP 409 | PASS |</t>
        </is>
      </c>
    </row>
    <row r="1778" ht="30" customHeight="1" s="78">
      <c r="A1778" s="73" t="inlineStr">
        <is>
          <t>QA-024</t>
        </is>
      </c>
      <c r="B1778" s="73" t="n">
        <v>47</v>
      </c>
      <c r="C1778" s="73" t="n"/>
    </row>
    <row r="1779" ht="30" customHeight="1" s="78">
      <c r="A1779" s="73" t="inlineStr">
        <is>
          <t>QA-024</t>
        </is>
      </c>
      <c r="B1779" s="73" t="n">
        <v>48</v>
      </c>
      <c r="C1779" s="73" t="inlineStr">
        <is>
          <t>## Runtime notes</t>
        </is>
      </c>
    </row>
    <row r="1780" ht="30" customHeight="1" s="78">
      <c r="A1780" s="73" t="inlineStr">
        <is>
          <t>QA-024</t>
        </is>
      </c>
      <c r="B1780" s="73" t="n">
        <v>49</v>
      </c>
      <c r="C1780" s="73" t="n"/>
    </row>
    <row r="1781" ht="30" customHeight="1" s="78">
      <c r="A1781" s="73" t="inlineStr">
        <is>
          <t>QA-024</t>
        </is>
      </c>
      <c r="B1781" s="73" t="n">
        <v>50</v>
      </c>
      <c r="C1781" s="73" t="inlineStr">
        <is>
          <t>- The local API and dedicated sandbox health endpoints returned `status: ok`.</t>
        </is>
      </c>
    </row>
    <row r="1782" ht="30" customHeight="1" s="78">
      <c r="A1782" s="73" t="inlineStr">
        <is>
          <t>QA-024</t>
        </is>
      </c>
      <c r="B1782" s="73" t="n">
        <v>51</v>
      </c>
      <c r="C1782" s="73" t="inlineStr">
        <is>
          <t>- AI was intentionally disabled for this SQA run; deterministic tutoring remains</t>
        </is>
      </c>
    </row>
    <row r="1783" ht="30" customHeight="1" s="78">
      <c r="A1783" s="73" t="inlineStr">
        <is>
          <t>QA-024</t>
        </is>
      </c>
      <c r="B1783" s="73" t="n">
        <v>52</v>
      </c>
      <c r="C1783" s="73" t="inlineStr">
        <is>
          <t xml:space="preserve">  available and the application did not depend on a paid OpenAI request.</t>
        </is>
      </c>
    </row>
    <row r="1784" ht="30" customHeight="1" s="78">
      <c r="A1784" s="73" t="inlineStr">
        <is>
          <t>QA-024</t>
        </is>
      </c>
      <c r="B1784" s="73" t="n">
        <v>53</v>
      </c>
      <c r="C1784" s="73" t="inlineStr">
        <is>
          <t>- The initial direct Flutter test command encountered the known OneDrive build</t>
        </is>
      </c>
    </row>
    <row r="1785" ht="30" customHeight="1" s="78">
      <c r="A1785" s="73" t="inlineStr">
        <is>
          <t>QA-024</t>
        </is>
      </c>
      <c r="B1785" s="73" t="n">
        <v>54</v>
      </c>
      <c r="C1785" s="73" t="inlineStr">
        <is>
          <t xml:space="preserve">  lock. Clearing the read-only attribute from generated test assets allowed the</t>
        </is>
      </c>
    </row>
    <row r="1786" ht="30" customHeight="1" s="78">
      <c r="A1786" s="73" t="inlineStr">
        <is>
          <t>QA-024</t>
        </is>
      </c>
      <c r="B1786" s="73" t="n">
        <v>55</v>
      </c>
      <c r="C1786" s="73" t="inlineStr">
        <is>
          <t xml:space="preserve">  targeted test, all 43 Flutter tests, and the release build to pass.</t>
        </is>
      </c>
    </row>
    <row r="1787" ht="30" customHeight="1" s="78">
      <c r="A1787" s="73" t="inlineStr">
        <is>
          <t>QA-024</t>
        </is>
      </c>
      <c r="B1787" s="73" t="n">
        <v>56</v>
      </c>
      <c r="C1787" s="73" t="inlineStr">
        <is>
          <t>- The managed staging stack was restarted from the updated source. Backend,</t>
        </is>
      </c>
    </row>
    <row r="1788" ht="30" customHeight="1" s="78">
      <c r="A1788" s="73" t="inlineStr">
        <is>
          <t>QA-024</t>
        </is>
      </c>
      <c r="B1788" s="73" t="n">
        <v>57</v>
      </c>
      <c r="C1788" s="73" t="inlineStr">
        <is>
          <t xml:space="preserve">  sandbox, password-student analytics, and temporary-demo isolation checks all</t>
        </is>
      </c>
    </row>
    <row r="1789" ht="30" customHeight="1" s="78">
      <c r="A1789" s="73" t="inlineStr">
        <is>
          <t>QA-024</t>
        </is>
      </c>
      <c r="B1789" s="73" t="n">
        <v>58</v>
      </c>
      <c r="C1789" s="73" t="inlineStr">
        <is>
          <t xml:space="preserve">  passed against the running services.</t>
        </is>
      </c>
    </row>
    <row r="1790" ht="30" customHeight="1" s="78">
      <c r="A1790" s="73" t="inlineStr">
        <is>
          <t>QA-024</t>
        </is>
      </c>
      <c r="B1790" s="73" t="n">
        <v>59</v>
      </c>
      <c r="C1790" s="73" t="n"/>
    </row>
    <row r="1791" ht="30" customHeight="1" s="78">
      <c r="A1791" s="73" t="inlineStr">
        <is>
          <t>QA-024</t>
        </is>
      </c>
      <c r="B1791" s="73" t="n">
        <v>60</v>
      </c>
      <c r="C1791" s="73" t="inlineStr">
        <is>
          <t>## Remaining release work</t>
        </is>
      </c>
    </row>
    <row r="1792" ht="30" customHeight="1" s="78">
      <c r="A1792" s="73" t="inlineStr">
        <is>
          <t>QA-024</t>
        </is>
      </c>
      <c r="B1792" s="73" t="n">
        <v>61</v>
      </c>
      <c r="C1792" s="73" t="n"/>
    </row>
    <row r="1793" ht="30" customHeight="1" s="78">
      <c r="A1793" s="73" t="inlineStr">
        <is>
          <t>QA-024</t>
        </is>
      </c>
      <c r="B1793" s="73" t="n">
        <v>62</v>
      </c>
      <c r="C1793" s="73" t="inlineStr">
        <is>
          <t>| Item | Status | Reason / next action |</t>
        </is>
      </c>
    </row>
    <row r="1794" ht="30" customHeight="1" s="78">
      <c r="A1794" s="73" t="inlineStr">
        <is>
          <t>QA-024</t>
        </is>
      </c>
      <c r="B1794" s="73" t="n">
        <v>63</v>
      </c>
      <c r="C1794" s="73" t="inlineStr">
        <is>
          <t>|---|---|---|</t>
        </is>
      </c>
    </row>
    <row r="1795" ht="39.95" customHeight="1" s="78">
      <c r="A1795" s="73" t="inlineStr">
        <is>
          <t>QA-024</t>
        </is>
      </c>
      <c r="B1795" s="73" t="n">
        <v>64</v>
      </c>
      <c r="C1795" s="73" t="inlineStr">
        <is>
          <t>| Excel master SQA workbook update | BLOCKED | The required bundled spreadsheet authoring runtime is not exposed in this Codex session. This Markdown report contains the current evidence; the `.xlsx` remains unchanged rather than being rewritten through an unsupported library. |</t>
        </is>
      </c>
    </row>
    <row r="1796" ht="30" customHeight="1" s="78">
      <c r="A1796" s="73" t="inlineStr">
        <is>
          <t>QA-024</t>
        </is>
      </c>
      <c r="B1796" s="73" t="n">
        <v>65</v>
      </c>
      <c r="C1796" s="73" t="inlineStr">
        <is>
          <t>| Git commit and remote push | PENDING | Perform only after final diff, secret, generated-file, and assignment-separation review. |</t>
        </is>
      </c>
    </row>
    <row r="1797" ht="30" customHeight="1" s="78">
      <c r="A1797" s="73" t="inlineStr">
        <is>
          <t>QA-024</t>
        </is>
      </c>
      <c r="B1797" s="73" t="n">
        <v>66</v>
      </c>
      <c r="C1797" s="73" t="inlineStr">
        <is>
          <t>| Deployed production smoke test | NOT RUN | Run after the live repository commit is intentionally pushed and Render/Vercel finish deployment. |</t>
        </is>
      </c>
    </row>
    <row r="1798" ht="30" customHeight="1" s="78">
      <c r="A1798" s="73" t="inlineStr">
        <is>
          <t>QA-024</t>
        </is>
      </c>
      <c r="B1798" s="73" t="n">
        <v>67</v>
      </c>
      <c r="C1798" s="73" t="n"/>
    </row>
    <row r="1799" ht="30" customHeight="1" s="78">
      <c r="A1799" s="73" t="inlineStr">
        <is>
          <t>QA-024</t>
        </is>
      </c>
      <c r="B1799" s="73" t="n">
        <v>68</v>
      </c>
      <c r="C1799" s="73" t="inlineStr">
        <is>
          <t>No functional blocker was found in the corrected credential-student and public</t>
        </is>
      </c>
    </row>
    <row r="1800" ht="30" customHeight="1" s="78">
      <c r="A1800" s="73" t="inlineStr">
        <is>
          <t>QA-024</t>
        </is>
      </c>
      <c r="B1800" s="73" t="n">
        <v>69</v>
      </c>
      <c r="C1800" s="73" t="inlineStr">
        <is>
          <t>demo-session boundary.</t>
        </is>
      </c>
    </row>
    <row r="1801" ht="30" customHeight="1" s="78">
      <c r="A1801" s="73" t="inlineStr">
        <is>
          <t>QA-024</t>
        </is>
      </c>
      <c r="B1801" s="73" t="n">
        <v>70</v>
      </c>
      <c r="C1801" s="73" t="n"/>
    </row>
    <row r="1802" ht="30" customHeight="1" s="78">
      <c r="A1802" s="73" t="inlineStr">
        <is>
          <t>QA-025</t>
        </is>
      </c>
      <c r="B1802" s="73" t="n">
        <v>1</v>
      </c>
      <c r="C1802" s="73" t="inlineStr">
        <is>
          <t># Python 3.14 and OneDrive Local SQA Report</t>
        </is>
      </c>
    </row>
    <row r="1803" ht="30" customHeight="1" s="78">
      <c r="A1803" s="73" t="inlineStr">
        <is>
          <t>QA-025</t>
        </is>
      </c>
      <c r="B1803" s="73" t="n">
        <v>2</v>
      </c>
      <c r="C1803" s="73" t="n"/>
    </row>
    <row r="1804" ht="30" customHeight="1" s="78">
      <c r="A1804" s="73" t="inlineStr">
        <is>
          <t>QA-025</t>
        </is>
      </c>
      <c r="B1804" s="73" t="n">
        <v>3</v>
      </c>
      <c r="C1804" s="73" t="inlineStr">
        <is>
          <t>## Scope</t>
        </is>
      </c>
    </row>
    <row r="1805" ht="30" customHeight="1" s="78">
      <c r="A1805" s="73" t="inlineStr">
        <is>
          <t>QA-025</t>
        </is>
      </c>
      <c r="B1805" s="73" t="n">
        <v>4</v>
      </c>
      <c r="C1805" s="73" t="n"/>
    </row>
    <row r="1806" ht="30" customHeight="1" s="78">
      <c r="A1806" s="73" t="inlineStr">
        <is>
          <t>QA-025</t>
        </is>
      </c>
      <c r="B1806" s="73" t="n">
        <v>5</v>
      </c>
      <c r="C1806" s="73" t="inlineStr">
        <is>
          <t>- Repository: `CS-Ponkoj/Robotics-Programming-Lab-Staging`</t>
        </is>
      </c>
    </row>
    <row r="1807" ht="30" customHeight="1" s="78">
      <c r="A1807" s="73" t="inlineStr">
        <is>
          <t>QA-025</t>
        </is>
      </c>
      <c r="B1807" s="73" t="n">
        <v>6</v>
      </c>
      <c r="C1807" s="73" t="inlineStr">
        <is>
          <t>- Checkout: `Robotics-Programming-Lab-Staging` in University of Nevada,</t>
        </is>
      </c>
    </row>
    <row r="1808" ht="30" customHeight="1" s="78">
      <c r="A1808" s="73" t="inlineStr">
        <is>
          <t>QA-025</t>
        </is>
      </c>
      <c r="B1808" s="73" t="n">
        <v>7</v>
      </c>
      <c r="C1808" s="73" t="inlineStr">
        <is>
          <t xml:space="preserve">  Reno OneDrive</t>
        </is>
      </c>
    </row>
    <row r="1809" ht="30" customHeight="1" s="78">
      <c r="A1809" s="73" t="inlineStr">
        <is>
          <t>QA-025</t>
        </is>
      </c>
      <c r="B1809" s="73" t="n">
        <v>8</v>
      </c>
      <c r="C1809" s="73" t="inlineStr">
        <is>
          <t>- Branch: `upgrade-python314-onedrive`</t>
        </is>
      </c>
    </row>
    <row r="1810" ht="30" customHeight="1" s="78">
      <c r="A1810" s="73" t="inlineStr">
        <is>
          <t>QA-025</t>
        </is>
      </c>
      <c r="B1810" s="73" t="n">
        <v>9</v>
      </c>
      <c r="C1810" s="73" t="inlineStr">
        <is>
          <t>- Baseline commit: `22ab79a2c160af7c6ac26d6e83a0904b3f306c75`</t>
        </is>
      </c>
    </row>
    <row r="1811" ht="30" customHeight="1" s="78">
      <c r="A1811" s="73" t="inlineStr">
        <is>
          <t>QA-025</t>
        </is>
      </c>
      <c r="B1811" s="73" t="n">
        <v>10</v>
      </c>
      <c r="C1811" s="73" t="inlineStr">
        <is>
          <t>- Test date: 2026-08-23</t>
        </is>
      </c>
    </row>
    <row r="1812" ht="30" customHeight="1" s="78">
      <c r="A1812" s="73" t="inlineStr">
        <is>
          <t>QA-025</t>
        </is>
      </c>
      <c r="B1812" s="73" t="n">
        <v>11</v>
      </c>
      <c r="C1812" s="73" t="inlineStr">
        <is>
          <t>- Host: Windows 64-bit (`PONKOJ-PC`)</t>
        </is>
      </c>
    </row>
    <row r="1813" ht="30" customHeight="1" s="78">
      <c r="A1813" s="73" t="inlineStr">
        <is>
          <t>QA-025</t>
        </is>
      </c>
      <c r="B1813" s="73" t="n">
        <v>12</v>
      </c>
      <c r="C1813" s="73" t="inlineStr">
        <is>
          <t>- Runtime: CPython 3.14.7</t>
        </is>
      </c>
    </row>
    <row r="1814" ht="30" customHeight="1" s="78">
      <c r="A1814" s="73" t="inlineStr">
        <is>
          <t>QA-025</t>
        </is>
      </c>
      <c r="B1814" s="73" t="n">
        <v>13</v>
      </c>
      <c r="C1814" s="73" t="inlineStr">
        <is>
          <t>- AI: disabled</t>
        </is>
      </c>
    </row>
    <row r="1815" ht="30" customHeight="1" s="78">
      <c r="A1815" s="73" t="inlineStr">
        <is>
          <t>QA-025</t>
        </is>
      </c>
      <c r="B1815" s="73" t="n">
        <v>14</v>
      </c>
      <c r="C1815" s="73" t="inlineStr">
        <is>
          <t>- Database: local SQLite</t>
        </is>
      </c>
    </row>
    <row r="1816" ht="30" customHeight="1" s="78">
      <c r="A1816" s="73" t="inlineStr">
        <is>
          <t>QA-025</t>
        </is>
      </c>
      <c r="B1816" s="73" t="n">
        <v>15</v>
      </c>
      <c r="C1816" s="73" t="n"/>
    </row>
    <row r="1817" ht="30" customHeight="1" s="78">
      <c r="A1817" s="73" t="inlineStr">
        <is>
          <t>QA-025</t>
        </is>
      </c>
      <c r="B1817" s="73" t="n">
        <v>16</v>
      </c>
      <c r="C1817" s="73" t="inlineStr">
        <is>
          <t>This report covers the staging-only Python 3.14 upgrade, the single shared</t>
        </is>
      </c>
    </row>
    <row r="1818" ht="30" customHeight="1" s="78">
      <c r="A1818" s="73" t="inlineStr">
        <is>
          <t>QA-025</t>
        </is>
      </c>
      <c r="B1818" s="73" t="n">
        <v>17</v>
      </c>
      <c r="C1818" s="73" t="inlineStr">
        <is>
          <t>OneDrive `venv/`, simplified setup/run documentation, Python assignment</t>
        </is>
      </c>
    </row>
    <row r="1819" ht="30" customHeight="1" s="78">
      <c r="A1819" s="73" t="inlineStr">
        <is>
          <t>QA-025</t>
        </is>
      </c>
      <c r="B1819" s="73" t="n">
        <v>18</v>
      </c>
      <c r="C1819" s="73" t="inlineStr">
        <is>
          <t>metadata, Docker images, and local application regression testing. It does not</t>
        </is>
      </c>
    </row>
    <row r="1820" ht="30" customHeight="1" s="78">
      <c r="A1820" s="73" t="inlineStr">
        <is>
          <t>QA-025</t>
        </is>
      </c>
      <c r="B1820" s="73" t="n">
        <v>19</v>
      </c>
      <c r="C1820" s="73" t="inlineStr">
        <is>
          <t>promote or change the live repository.</t>
        </is>
      </c>
    </row>
    <row r="1821" ht="30" customHeight="1" s="78">
      <c r="A1821" s="73" t="inlineStr">
        <is>
          <t>QA-025</t>
        </is>
      </c>
      <c r="B1821" s="73" t="n">
        <v>20</v>
      </c>
      <c r="C1821" s="73" t="n"/>
    </row>
    <row r="1822" ht="30" customHeight="1" s="78">
      <c r="A1822" s="73" t="inlineStr">
        <is>
          <t>QA-025</t>
        </is>
      </c>
      <c r="B1822" s="73" t="n">
        <v>21</v>
      </c>
      <c r="C1822" s="73" t="inlineStr">
        <is>
          <t>## Results</t>
        </is>
      </c>
    </row>
    <row r="1823" ht="30" customHeight="1" s="78">
      <c r="A1823" s="73" t="inlineStr">
        <is>
          <t>QA-025</t>
        </is>
      </c>
      <c r="B1823" s="73" t="n">
        <v>22</v>
      </c>
      <c r="C1823" s="73" t="n"/>
    </row>
    <row r="1824" ht="30" customHeight="1" s="78">
      <c r="A1824" s="73" t="inlineStr">
        <is>
          <t>QA-025</t>
        </is>
      </c>
      <c r="B1824" s="73" t="n">
        <v>23</v>
      </c>
      <c r="C1824" s="73" t="inlineStr">
        <is>
          <t>| ID | Requirement or risk | Check and evidence | Result |</t>
        </is>
      </c>
    </row>
    <row r="1825" ht="30" customHeight="1" s="78">
      <c r="A1825" s="73" t="inlineStr">
        <is>
          <t>QA-025</t>
        </is>
      </c>
      <c r="B1825" s="73" t="n">
        <v>24</v>
      </c>
      <c r="C1825" s="73" t="inlineStr">
        <is>
          <t>| --- | --- | --- | --- |</t>
        </is>
      </c>
    </row>
    <row r="1826" ht="30" customHeight="1" s="78">
      <c r="A1826" s="73" t="inlineStr">
        <is>
          <t>QA-025</t>
        </is>
      </c>
      <c r="B1826" s="73" t="n">
        <v>25</v>
      </c>
      <c r="C1826" s="73" t="inlineStr">
        <is>
          <t>| PY314-001 | Official Python 3.14 is installed | `py -3.14 --version` returned `Python 3.14.7`. | PASS |</t>
        </is>
      </c>
    </row>
    <row r="1827" ht="30" customHeight="1" s="78">
      <c r="A1827" s="73" t="inlineStr">
        <is>
          <t>QA-025</t>
        </is>
      </c>
      <c r="B1827" s="73" t="n">
        <v>26</v>
      </c>
      <c r="C1827" s="73" t="inlineStr">
        <is>
          <t>| PY314-002 | Shared environment uses Python 3.14 | `venv/Scripts/python.exe` returned Python 3.14.7, AMD64. | PASS |</t>
        </is>
      </c>
    </row>
    <row r="1828" ht="39.95" customHeight="1" s="78">
      <c r="A1828" s="73" t="inlineStr">
        <is>
          <t>QA-025</t>
        </is>
      </c>
      <c r="B1828" s="73" t="n">
        <v>27</v>
      </c>
      <c r="C1828" s="73" t="inlineStr">
        <is>
          <t>| PY314-003 | New-device setup is repeatable | `scripts/setup-local.ps1 -Repair` recreated `venv/`; a second normal setup detected the valid signature without rebuilding. | PASS |</t>
        </is>
      </c>
    </row>
    <row r="1829" ht="39.95" customHeight="1" s="78">
      <c r="A1829" s="73" t="inlineStr">
        <is>
          <t>QA-025</t>
        </is>
      </c>
      <c r="B1829" s="73" t="n">
        <v>28</v>
      </c>
      <c r="C1829" s="73" t="inlineStr">
        <is>
          <t>| PY314-004 | Device switch is detected | Environment signature includes requirements hash, computer name, base interpreter path/version, and architecture; the setup helper rebinds and reinstalls when these change. | PASS |</t>
        </is>
      </c>
    </row>
    <row r="1830" ht="39.95" customHeight="1" s="78">
      <c r="A1830" s="73" t="inlineStr">
        <is>
          <t>QA-025</t>
        </is>
      </c>
      <c r="B1830" s="73" t="n">
        <v>29</v>
      </c>
      <c r="C1830" s="73" t="inlineStr">
        <is>
          <t>| PY314-005 | Python dependencies support 3.14 | Clean pinned install completed; native imports for Pydantic Core, CFFI, NumPy, SciPy, and psycopg succeeded. | PASS |</t>
        </is>
      </c>
    </row>
    <row r="1831" ht="30" customHeight="1" s="78">
      <c r="A1831" s="73" t="inlineStr">
        <is>
          <t>QA-025</t>
        </is>
      </c>
      <c r="B1831" s="73" t="n">
        <v>30</v>
      </c>
      <c r="C1831" s="73" t="inlineStr">
        <is>
          <t>| PY314-006 | Dependency graph is consistent | `python -m pip check` returned `No broken requirements found.` | PASS |</t>
        </is>
      </c>
    </row>
    <row r="1832" ht="39.95" customHeight="1" s="78">
      <c r="A1832" s="73" t="inlineStr">
        <is>
          <t>QA-025</t>
        </is>
      </c>
      <c r="B1832" s="73" t="n">
        <v>31</v>
      </c>
      <c r="C1832" s="73" t="inlineStr">
        <is>
          <t>| PY314-007 | Backend regression suite | `python -m pytest tests -q`: 171 passed with no warnings after adding the supported `httpx2` test-client dependency. | PASS |</t>
        </is>
      </c>
    </row>
    <row r="1833" ht="30" customHeight="1" s="78">
      <c r="A1833" s="73" t="inlineStr">
        <is>
          <t>QA-025</t>
        </is>
      </c>
      <c r="B1833" s="73" t="n">
        <v>32</v>
      </c>
      <c r="C1833" s="73" t="inlineStr">
        <is>
          <t>| PY314-008 | Python source compiles | `python -m compileall -q .` completed without error. | PASS |</t>
        </is>
      </c>
    </row>
    <row r="1834" ht="39.95" customHeight="1" s="78">
      <c r="A1834" s="73" t="inlineStr">
        <is>
          <t>QA-025</t>
        </is>
      </c>
      <c r="B1834" s="73" t="n">
        <v>33</v>
      </c>
      <c r="C1834" s="73" t="inlineStr">
        <is>
          <t>| PY314-009 | Assignment runtime metadata is current | Assignments 1–4 declare `python3.14`; their versions are 5, 4, 5, and 4. ROS assignments retain `ros2-jazzy-python`. | PASS |</t>
        </is>
      </c>
    </row>
    <row r="1835" ht="39.95" customHeight="1" s="78">
      <c r="A1835" s="73" t="inlineStr">
        <is>
          <t>QA-025</t>
        </is>
      </c>
      <c r="B1835" s="73" t="n">
        <v>34</v>
      </c>
      <c r="C1835" s="73" t="inlineStr">
        <is>
          <t>| PY314-010 | Maintained Python answers grade correctly | Local authenticated submissions for Assignments 1–4 returned 100%, completed execution, and all test checks true. | PASS |</t>
        </is>
      </c>
    </row>
    <row r="1836" ht="39.95" customHeight="1" s="78">
      <c r="A1836" s="73" t="inlineStr">
        <is>
          <t>QA-025</t>
        </is>
      </c>
      <c r="B1836" s="73" t="n">
        <v>35</v>
      </c>
      <c r="C1836" s="73" t="inlineStr">
        <is>
          <t>| PY314-011 | Incorrect and hostile submissions are bounded | Incorrect, syntax-error, runtime-error, infinite-loop, unsafe-import, excessive-output, and oversized cases returned safe controlled outcomes; oversized input returned HTTP 413. | PASS |</t>
        </is>
      </c>
    </row>
    <row r="1837" ht="39.95" customHeight="1" s="78">
      <c r="A1837" s="73" t="inlineStr">
        <is>
          <t>QA-025</t>
        </is>
      </c>
      <c r="B1837" s="73" t="n">
        <v>36</v>
      </c>
      <c r="C1837" s="73" t="inlineStr">
        <is>
          <t>| PY314-012 | Local services start through one command | `run-local.ps1` migrated SQLite and started frontend 8180, API 5100, and sandbox 5101. All health checks passed. | PASS |</t>
        </is>
      </c>
    </row>
    <row r="1838" ht="30" customHeight="1" s="78">
      <c r="A1838" s="73" t="inlineStr">
        <is>
          <t>QA-025</t>
        </is>
      </c>
      <c r="B1838" s="73" t="n">
        <v>37</v>
      </c>
      <c r="C1838" s="73" t="inlineStr">
        <is>
          <t>| PY314-013 | Flutter static analysis | OneDrive-safe `flutter analyze`: no issues found. | PASS |</t>
        </is>
      </c>
    </row>
    <row r="1839" ht="30" customHeight="1" s="78">
      <c r="A1839" s="73" t="inlineStr">
        <is>
          <t>QA-025</t>
        </is>
      </c>
      <c r="B1839" s="73" t="n">
        <v>38</v>
      </c>
      <c r="C1839" s="73" t="inlineStr">
        <is>
          <t>| PY314-014 | Flutter regression tests | 48 tests passed. | PASS |</t>
        </is>
      </c>
    </row>
    <row r="1840" ht="30" customHeight="1" s="78">
      <c r="A1840" s="73" t="inlineStr">
        <is>
          <t>QA-025</t>
        </is>
      </c>
      <c r="B1840" s="73" t="n">
        <v>39</v>
      </c>
      <c r="C1840" s="73" t="inlineStr">
        <is>
          <t>| PY314-015 | Flutter release web build | Release build completed from the LocalAppData verification copy. | PASS |</t>
        </is>
      </c>
    </row>
    <row r="1841" ht="39.95" customHeight="1" s="78">
      <c r="A1841" s="73" t="inlineStr">
        <is>
          <t>QA-025</t>
        </is>
      </c>
      <c r="B1841" s="73" t="n">
        <v>40</v>
      </c>
      <c r="C1841" s="73" t="inlineStr">
        <is>
          <t>| PY314-016 | Browser desktop flow | Login page rendered; temporary student demo opened; catalog displayed all six assignments. No browser errors were recorded. | PASS |</t>
        </is>
      </c>
    </row>
    <row r="1842" ht="39.95" customHeight="1" s="78">
      <c r="A1842" s="73" t="inlineStr">
        <is>
          <t>QA-025</t>
        </is>
      </c>
      <c r="B1842" s="73" t="n">
        <v>41</v>
      </c>
      <c r="C1842" s="73" t="inlineStr">
        <is>
          <t>| PY314-017 | Browser mobile-width flow | 390 x 844 viewport displayed responsive single-column cards with readable controls and no visible overflow. | PASS |</t>
        </is>
      </c>
    </row>
    <row r="1843" ht="30" customHeight="1" s="78">
      <c r="A1843" s="73" t="inlineStr">
        <is>
          <t>QA-025</t>
        </is>
      </c>
      <c r="B1843" s="73" t="n">
        <v>42</v>
      </c>
      <c r="C1843" s="73" t="inlineStr">
        <is>
          <t>| PY314-018 | ROS 2 maintained answers | Assignment 5 passed 7/7 grader checks; Assignment 6 passed 9/9 grader checks. | PASS |</t>
        </is>
      </c>
    </row>
    <row r="1844" ht="30" customHeight="1" s="78">
      <c r="A1844" s="73" t="inlineStr">
        <is>
          <t>QA-025</t>
        </is>
      </c>
      <c r="B1844" s="73" t="n">
        <v>43</v>
      </c>
      <c r="C1844" s="73" t="inlineStr">
        <is>
          <t>| PY314-019 | Python sandbox image | `python:3.14-slim` sandbox image built with NumPy 2.5.2 and SciPy 1.18.1. | PASS |</t>
        </is>
      </c>
    </row>
    <row r="1845" ht="39.95" customHeight="1" s="78">
      <c r="A1845" s="73" t="inlineStr">
        <is>
          <t>QA-025</t>
        </is>
      </c>
      <c r="B1845" s="73" t="n">
        <v>44</v>
      </c>
      <c r="C1845" s="73" t="inlineStr">
        <is>
          <t>| PY314-020 | Dedicated sandbox service | Python 3.14.7 image built; health passed, missing token returned 401, authorized execution returned answer 4. | PASS |</t>
        </is>
      </c>
    </row>
    <row r="1846" ht="39.95" customHeight="1" s="78">
      <c r="A1846" s="73" t="inlineStr">
        <is>
          <t>QA-025</t>
        </is>
      </c>
      <c r="B1846" s="73" t="n">
        <v>45</v>
      </c>
      <c r="C1846" s="73" t="inlineStr">
        <is>
          <t>| PY314-021 | Backend container compatibility | Backend image built; direct imports reported Python 3.14.7, FastAPI 0.141.1, NumPy 2.5.2, SciPy 1.18.1, and psycopg 3.2.13. | PASS |</t>
        </is>
      </c>
    </row>
    <row r="1847" ht="39.95" customHeight="1" s="78">
      <c r="A1847" s="73" t="inlineStr">
        <is>
          <t>QA-025</t>
        </is>
      </c>
      <c r="B1847" s="73" t="n">
        <v>46</v>
      </c>
      <c r="C1847" s="73" t="inlineStr">
        <is>
          <t>| PY314-022 | Repository safety | `venv/`, secrets, databases, logs, and generated Flutter output remain ignored; `git diff --check` passed. | PASS |</t>
        </is>
      </c>
    </row>
    <row r="1848" ht="39.95" customHeight="1" s="78">
      <c r="A1848" s="73" t="inlineStr">
        <is>
          <t>QA-025</t>
        </is>
      </c>
      <c r="B1848" s="73" t="n">
        <v>47</v>
      </c>
      <c r="C1848" s="73" t="inlineStr">
        <is>
          <t>| PY314-023 | README is usable on a new device | README begins with setup/start/stop, then documents Python 3.14, Flutter, optional Docker, OneDrive switching, repair, and environment limitations. | PASS |</t>
        </is>
      </c>
    </row>
    <row r="1849" ht="39.95" customHeight="1" s="78">
      <c r="A1849" s="73" t="inlineStr">
        <is>
          <t>QA-025</t>
        </is>
      </c>
      <c r="B1849" s="73" t="n">
        <v>48</v>
      </c>
      <c r="C1849" s="73" t="inlineStr">
        <is>
          <t>| PY314-024 | Master Excel SQA workbook | The required standalone spreadsheet authoring runtime was unavailable in this session, so the workbook could not be edited using the mandated verified workflow. | BLOCKED |</t>
        </is>
      </c>
    </row>
    <row r="1850" ht="39.95" customHeight="1" s="78">
      <c r="A1850" s="73" t="inlineStr">
        <is>
          <t>QA-025</t>
        </is>
      </c>
      <c r="B1850" s="73" t="n">
        <v>49</v>
      </c>
      <c r="C1850" s="73" t="inlineStr">
        <is>
          <t>| PY314-025 | Repair cannot corrupt a running environment | With the local stack running, `setup-local.ps1 -Repair` stopped before changing files and instructed the user to run `stop-local.ps1`; backend and sandbox remained healthy. | PASS |</t>
        </is>
      </c>
    </row>
    <row r="1851" ht="30" customHeight="1" s="78">
      <c r="A1851" s="73" t="inlineStr">
        <is>
          <t>QA-025</t>
        </is>
      </c>
      <c r="B1851" s="73" t="n">
        <v>50</v>
      </c>
      <c r="C1851" s="73" t="n"/>
    </row>
    <row r="1852" ht="30" customHeight="1" s="78">
      <c r="A1852" s="73" t="inlineStr">
        <is>
          <t>QA-025</t>
        </is>
      </c>
      <c r="B1852" s="73" t="n">
        <v>51</v>
      </c>
      <c r="C1852" s="73" t="inlineStr">
        <is>
          <t>## Defects found and corrected incrementally</t>
        </is>
      </c>
    </row>
    <row r="1853" ht="30" customHeight="1" s="78">
      <c r="A1853" s="73" t="inlineStr">
        <is>
          <t>QA-025</t>
        </is>
      </c>
      <c r="B1853" s="73" t="n">
        <v>52</v>
      </c>
      <c r="C1853" s="73" t="n"/>
    </row>
    <row r="1854" ht="30" customHeight="1" s="78">
      <c r="A1854" s="73" t="inlineStr">
        <is>
          <t>QA-025</t>
        </is>
      </c>
      <c r="B1854" s="73" t="n">
        <v>53</v>
      </c>
      <c r="C1854" s="73" t="inlineStr">
        <is>
          <t>| Defect | Cause | Correction | Focused verification |</t>
        </is>
      </c>
    </row>
    <row r="1855" ht="30" customHeight="1" s="78">
      <c r="A1855" s="73" t="inlineStr">
        <is>
          <t>QA-025</t>
        </is>
      </c>
      <c r="B1855" s="73" t="n">
        <v>54</v>
      </c>
      <c r="C1855" s="73" t="inlineStr">
        <is>
          <t>| --- | --- | --- | --- |</t>
        </is>
      </c>
    </row>
    <row r="1856" ht="30" customHeight="1" s="78">
      <c r="A1856" s="73" t="inlineStr">
        <is>
          <t>QA-025</t>
        </is>
      </c>
      <c r="B1856" s="73" t="n">
        <v>55</v>
      </c>
      <c r="C1856" s="73" t="inlineStr">
        <is>
          <t>| `psycopg-binary==3.2.9` would not install | No Python 3.14 wheel | Upgraded to 3.2.13 | Clean install and direct import passed |</t>
        </is>
      </c>
    </row>
    <row r="1857" ht="39.95" customHeight="1" s="78">
      <c r="A1857" s="73" t="inlineStr">
        <is>
          <t>QA-025</t>
        </is>
      </c>
      <c r="B1857" s="73" t="n">
        <v>56</v>
      </c>
      <c r="C1857" s="73" t="inlineStr">
        <is>
          <t>| Python 3.14 dependency compatibility | NumPy/SciPy and FastAPI pins were from the Python 3.11 baseline | Upgraded to NumPy 2.5.2, SciPy 1.18.1, and FastAPI 0.141.1 | Full backend suite passed |</t>
        </is>
      </c>
    </row>
    <row r="1858" ht="39.95" customHeight="1" s="78">
      <c r="A1858" s="73" t="inlineStr">
        <is>
          <t>QA-025</t>
        </is>
      </c>
      <c r="B1858" s="73" t="n">
        <v>57</v>
      </c>
      <c r="C1858" s="73" t="inlineStr">
        <is>
          <t>| FastAPI test-client deprecation warning | Starlette 1.6 expects the maintained HTTPX2 client | Added pinned `httpx2==2.10.0` | Focused test passed without warnings |</t>
        </is>
      </c>
    </row>
    <row r="1859" ht="39.95" customHeight="1" s="78">
      <c r="A1859" s="73" t="inlineStr">
        <is>
          <t>QA-025</t>
        </is>
      </c>
      <c r="B1859" s="73" t="n">
        <v>58</v>
      </c>
      <c r="C1859" s="73" t="inlineStr">
        <is>
          <t>| Assignment seed tests failed after versioning | Expected versions still described the pre-upgrade assignments | Updated repository, API, auth, sandbox, and tutor-evaluation expectations | Focused suites and 171-test regression passed |</t>
        </is>
      </c>
    </row>
    <row r="1860" ht="39.95" customHeight="1" s="78">
      <c r="A1860" s="73" t="inlineStr">
        <is>
          <t>QA-025</t>
        </is>
      </c>
      <c r="B1860" s="73" t="n">
        <v>59</v>
      </c>
      <c r="C1860" s="73" t="inlineStr">
        <is>
          <t>| Old shared `venv/` could not be upgraded | OneDrive placeholder/read-only attributes retained Python 3.11 content | Removed only the ignored generated environment and rebuilt it with Python 3.14 | Setup and complete verification passed |</t>
        </is>
      </c>
    </row>
    <row r="1861" ht="39.95" customHeight="1" s="78">
      <c r="A1861" s="73" t="inlineStr">
        <is>
          <t>QA-025</t>
        </is>
      </c>
      <c r="B1861" s="73" t="n">
        <v>60</v>
      </c>
      <c r="C1861" s="73" t="inlineStr">
        <is>
          <t>| Helper returned installation output as a path | PowerShell pipeline output polluted the function return value | Sent status and pip output to the host; returned only the executable path | Setup script passed twice |</t>
        </is>
      </c>
    </row>
    <row r="1862" ht="39.95" customHeight="1" s="78">
      <c r="A1862" s="73" t="inlineStr">
        <is>
          <t>QA-025</t>
        </is>
      </c>
      <c r="B1862" s="73" t="n">
        <v>61</v>
      </c>
      <c r="C1862" s="73" t="inlineStr">
        <is>
          <t>| Repair could start while Python modules were locked | The setup script did not inspect the managed-process state | Added a preflight that blocks setup/repair while the application is running | Guard rejected repair and both services remained healthy |</t>
        </is>
      </c>
    </row>
    <row r="1863" ht="30" customHeight="1" s="78">
      <c r="A1863" s="73" t="inlineStr">
        <is>
          <t>QA-025</t>
        </is>
      </c>
      <c r="B1863" s="73" t="n">
        <v>62</v>
      </c>
      <c r="C1863" s="73" t="n"/>
    </row>
    <row r="1864" ht="30" customHeight="1" s="78">
      <c r="A1864" s="73" t="inlineStr">
        <is>
          <t>QA-025</t>
        </is>
      </c>
      <c r="B1864" s="73" t="n">
        <v>63</v>
      </c>
      <c r="C1864" s="73" t="inlineStr">
        <is>
          <t>## Limitations</t>
        </is>
      </c>
    </row>
    <row r="1865" ht="30" customHeight="1" s="78">
      <c r="A1865" s="73" t="inlineStr">
        <is>
          <t>QA-025</t>
        </is>
      </c>
      <c r="B1865" s="73" t="n">
        <v>64</v>
      </c>
      <c r="C1865" s="73" t="n"/>
    </row>
    <row r="1866" ht="30" customHeight="1" s="78">
      <c r="A1866" s="73" t="inlineStr">
        <is>
          <t>QA-025</t>
        </is>
      </c>
      <c r="B1866" s="73" t="n">
        <v>65</v>
      </c>
      <c r="C1866" s="73" t="inlineStr">
        <is>
          <t>- A shared virtual environment is supported only for compatible Windows</t>
        </is>
      </c>
    </row>
    <row r="1867" ht="30" customHeight="1" s="78">
      <c r="A1867" s="73" t="inlineStr">
        <is>
          <t>QA-025</t>
        </is>
      </c>
      <c r="B1867" s="73" t="n">
        <v>66</v>
      </c>
      <c r="C1867" s="73" t="inlineStr">
        <is>
          <t xml:space="preserve">  computers using Python 3.14 and comparable 64-bit architecture. It is not a</t>
        </is>
      </c>
    </row>
    <row r="1868" ht="30" customHeight="1" s="78">
      <c r="A1868" s="73" t="inlineStr">
        <is>
          <t>QA-025</t>
        </is>
      </c>
      <c r="B1868" s="73" t="n">
        <v>67</v>
      </c>
      <c r="C1868" s="73" t="inlineStr">
        <is>
          <t xml:space="preserve">  portable cross-platform artifact.</t>
        </is>
      </c>
    </row>
    <row r="1869" ht="30" customHeight="1" s="78">
      <c r="A1869" s="73" t="inlineStr">
        <is>
          <t>QA-025</t>
        </is>
      </c>
      <c r="B1869" s="73" t="n">
        <v>68</v>
      </c>
      <c r="C1869" s="73" t="inlineStr">
        <is>
          <t>- OneDrive must finish syncing before switching computers. The checkout must</t>
        </is>
      </c>
    </row>
    <row r="1870" ht="30" customHeight="1" s="78">
      <c r="A1870" s="73" t="inlineStr">
        <is>
          <t>QA-025</t>
        </is>
      </c>
      <c r="B1870" s="73" t="n">
        <v>69</v>
      </c>
      <c r="C1870" s="73" t="inlineStr">
        <is>
          <t xml:space="preserve">  not run on two devices simultaneously.</t>
        </is>
      </c>
    </row>
    <row r="1871" ht="30" customHeight="1" s="78">
      <c r="A1871" s="73" t="inlineStr">
        <is>
          <t>QA-025</t>
        </is>
      </c>
      <c r="B1871" s="73" t="n">
        <v>70</v>
      </c>
      <c r="C1871" s="73" t="inlineStr">
        <is>
          <t>- Docker Desktop emits host cgroup/blkio capability warnings. Both ROS graders</t>
        </is>
      </c>
    </row>
    <row r="1872" ht="30" customHeight="1" s="78">
      <c r="A1872" s="73" t="inlineStr">
        <is>
          <t>QA-025</t>
        </is>
      </c>
      <c r="B1872" s="73" t="n">
        <v>71</v>
      </c>
      <c r="C1872" s="73" t="inlineStr">
        <is>
          <t xml:space="preserve">  and all tested containers completed successfully; the warnings are not test</t>
        </is>
      </c>
    </row>
    <row r="1873" ht="30" customHeight="1" s="78">
      <c r="A1873" s="73" t="inlineStr">
        <is>
          <t>QA-025</t>
        </is>
      </c>
      <c r="B1873" s="73" t="n">
        <v>72</v>
      </c>
      <c r="C1873" s="73" t="inlineStr">
        <is>
          <t xml:space="preserve">  failures.</t>
        </is>
      </c>
    </row>
    <row r="1874" ht="30" customHeight="1" s="78">
      <c r="A1874" s="73" t="inlineStr">
        <is>
          <t>QA-025</t>
        </is>
      </c>
      <c r="B1874" s="73" t="n">
        <v>73</v>
      </c>
      <c r="C1874" s="73" t="inlineStr">
        <is>
          <t>- The Flutter dependency resolver reports newer packages outside the validated</t>
        </is>
      </c>
    </row>
    <row r="1875" ht="30" customHeight="1" s="78">
      <c r="A1875" s="73" t="inlineStr">
        <is>
          <t>QA-025</t>
        </is>
      </c>
      <c r="B1875" s="73" t="n">
        <v>74</v>
      </c>
      <c r="C1875" s="73" t="inlineStr">
        <is>
          <t xml:space="preserve">  lockfile constraints. This upgrade intentionally did not combine a Flutter</t>
        </is>
      </c>
    </row>
    <row r="1876" ht="30" customHeight="1" s="78">
      <c r="A1876" s="73" t="inlineStr">
        <is>
          <t>QA-025</t>
        </is>
      </c>
      <c r="B1876" s="73" t="n">
        <v>75</v>
      </c>
      <c r="C1876" s="73" t="inlineStr">
        <is>
          <t xml:space="preserve">  dependency migration with the Python change.</t>
        </is>
      </c>
    </row>
    <row r="1877" ht="30" customHeight="1" s="78">
      <c r="A1877" s="73" t="inlineStr">
        <is>
          <t>QA-025</t>
        </is>
      </c>
      <c r="B1877" s="73" t="n">
        <v>76</v>
      </c>
      <c r="C1877" s="73" t="inlineStr">
        <is>
          <t>- The master Excel workbook remains blocked as recorded in PY314-024. This</t>
        </is>
      </c>
    </row>
    <row r="1878" ht="30" customHeight="1" s="78">
      <c r="A1878" s="73" t="inlineStr">
        <is>
          <t>QA-025</t>
        </is>
      </c>
      <c r="B1878" s="73" t="n">
        <v>77</v>
      </c>
      <c r="C1878" s="73" t="inlineStr">
        <is>
          <t xml:space="preserve">  Markdown report is the authoritative evidence for this upgrade until the</t>
        </is>
      </c>
    </row>
    <row r="1879" ht="30" customHeight="1" s="78">
      <c r="A1879" s="73" t="inlineStr">
        <is>
          <t>QA-025</t>
        </is>
      </c>
      <c r="B1879" s="73" t="n">
        <v>78</v>
      </c>
      <c r="C1879" s="73" t="inlineStr">
        <is>
          <t xml:space="preserve">  workbook runtime is available.</t>
        </is>
      </c>
    </row>
    <row r="1880" ht="30" customHeight="1" s="78">
      <c r="A1880" s="73" t="inlineStr">
        <is>
          <t>QA-025</t>
        </is>
      </c>
      <c r="B1880" s="73" t="n">
        <v>79</v>
      </c>
      <c r="C1880" s="73" t="n"/>
    </row>
    <row r="1881" ht="30" customHeight="1" s="78">
      <c r="A1881" s="73" t="inlineStr">
        <is>
          <t>QA-025</t>
        </is>
      </c>
      <c r="B1881" s="73" t="n">
        <v>80</v>
      </c>
      <c r="C1881" s="73" t="inlineStr">
        <is>
          <t>## Release state</t>
        </is>
      </c>
    </row>
    <row r="1882" ht="30" customHeight="1" s="78">
      <c r="A1882" s="73" t="inlineStr">
        <is>
          <t>QA-025</t>
        </is>
      </c>
      <c r="B1882" s="73" t="n">
        <v>81</v>
      </c>
      <c r="C1882" s="73" t="n"/>
    </row>
    <row r="1883" ht="30" customHeight="1" s="78">
      <c r="A1883" s="73" t="inlineStr">
        <is>
          <t>QA-025</t>
        </is>
      </c>
      <c r="B1883" s="73" t="n">
        <v>82</v>
      </c>
      <c r="C1883" s="73" t="inlineStr">
        <is>
          <t>Local staging only. The changes are not committed, pushed, or promoted to the</t>
        </is>
      </c>
    </row>
    <row r="1884" ht="30" customHeight="1" s="78">
      <c r="A1884" s="73" t="inlineStr">
        <is>
          <t>QA-025</t>
        </is>
      </c>
      <c r="B1884" s="73" t="n">
        <v>83</v>
      </c>
      <c r="C1884" s="73" t="inlineStr">
        <is>
          <t>live repository.</t>
        </is>
      </c>
    </row>
    <row r="1885" ht="30" customHeight="1" s="78">
      <c r="A1885" s="73" t="inlineStr">
        <is>
          <t>QA-025</t>
        </is>
      </c>
      <c r="B1885" s="73" t="n">
        <v>84</v>
      </c>
      <c r="C1885" s="73" t="n"/>
    </row>
    <row r="1886" ht="30" customHeight="1" s="78">
      <c r="A1886" s="73" t="inlineStr">
        <is>
          <t>QA-026</t>
        </is>
      </c>
      <c r="B1886" s="73" t="n">
        <v>1</v>
      </c>
      <c r="C1886" s="73" t="inlineStr">
        <is>
          <t># Secure Grader Reliability SQA Report</t>
        </is>
      </c>
    </row>
    <row r="1887" ht="30" customHeight="1" s="78">
      <c r="A1887" s="73" t="inlineStr">
        <is>
          <t>QA-026</t>
        </is>
      </c>
      <c r="B1887" s="73" t="n">
        <v>2</v>
      </c>
      <c r="C1887" s="73" t="n"/>
    </row>
    <row r="1888" ht="30" customHeight="1" s="78">
      <c r="A1888" s="73" t="inlineStr">
        <is>
          <t>QA-026</t>
        </is>
      </c>
      <c r="B1888" s="73" t="n">
        <v>3</v>
      </c>
      <c r="C1888" s="73" t="inlineStr">
        <is>
          <t>**Test date:** 2026-08-17</t>
        </is>
      </c>
    </row>
    <row r="1889" ht="30" customHeight="1" s="78">
      <c r="A1889" s="73" t="inlineStr">
        <is>
          <t>QA-026</t>
        </is>
      </c>
      <c r="B1889" s="73" t="n">
        <v>4</v>
      </c>
      <c r="C1889" s="73" t="n"/>
    </row>
    <row r="1890" ht="39.95" customHeight="1" s="78">
      <c r="A1890" s="73" t="inlineStr">
        <is>
          <t>QA-026</t>
        </is>
      </c>
      <c r="B1890" s="73" t="n">
        <v>5</v>
      </c>
      <c r="C1890" s="73" t="inlineStr">
        <is>
          <t>**Change:** Retry transient hosted-sandbox startup failures, distinguish configuration and temporary-service errors, and allow the slowest maintained production assignment to finish on Render.</t>
        </is>
      </c>
    </row>
    <row r="1891" ht="30" customHeight="1" s="78">
      <c r="A1891" s="73" t="inlineStr">
        <is>
          <t>QA-026</t>
        </is>
      </c>
      <c r="B1891" s="73" t="n">
        <v>6</v>
      </c>
      <c r="C1891" s="73" t="n"/>
    </row>
    <row r="1892" ht="30" customHeight="1" s="78">
      <c r="A1892" s="73" t="inlineStr">
        <is>
          <t>QA-026</t>
        </is>
      </c>
      <c r="B1892" s="73" t="n">
        <v>7</v>
      </c>
      <c r="C1892" s="73" t="inlineStr">
        <is>
          <t>**Staging behavior commit:** `925f43f00665bd60ca34bb4b1c634492b71703d8`</t>
        </is>
      </c>
    </row>
    <row r="1893" ht="30" customHeight="1" s="78">
      <c r="A1893" s="73" t="inlineStr">
        <is>
          <t>QA-026</t>
        </is>
      </c>
      <c r="B1893" s="73" t="n">
        <v>8</v>
      </c>
      <c r="C1893" s="73" t="n"/>
    </row>
    <row r="1894" ht="30" customHeight="1" s="78">
      <c r="A1894" s="73" t="inlineStr">
        <is>
          <t>QA-026</t>
        </is>
      </c>
      <c r="B1894" s="73" t="n">
        <v>9</v>
      </c>
      <c r="C1894" s="73" t="inlineStr">
        <is>
          <t>**Production behavior commit:** `9fa6c2482c7ac66f30bc658a876c68b017eb1b5d`</t>
        </is>
      </c>
    </row>
    <row r="1895" ht="30" customHeight="1" s="78">
      <c r="A1895" s="73" t="inlineStr">
        <is>
          <t>QA-026</t>
        </is>
      </c>
      <c r="B1895" s="73" t="n">
        <v>10</v>
      </c>
      <c r="C1895" s="73" t="n"/>
    </row>
    <row r="1896" ht="30" customHeight="1" s="78">
      <c r="A1896" s="73" t="inlineStr">
        <is>
          <t>QA-026</t>
        </is>
      </c>
      <c r="B1896" s="73" t="n">
        <v>11</v>
      </c>
      <c r="C1896" s="73" t="inlineStr">
        <is>
          <t>**Decision:** PASS for the reported Assignment 1 execution-error repair in staging and production.</t>
        </is>
      </c>
    </row>
    <row r="1897" ht="30" customHeight="1" s="78">
      <c r="A1897" s="73" t="inlineStr">
        <is>
          <t>QA-026</t>
        </is>
      </c>
      <c r="B1897" s="73" t="n">
        <v>12</v>
      </c>
      <c r="C1897" s="73" t="n"/>
    </row>
    <row r="1898" ht="30" customHeight="1" s="78">
      <c r="A1898" s="73" t="inlineStr">
        <is>
          <t>QA-026</t>
        </is>
      </c>
      <c r="B1898" s="73" t="n">
        <v>13</v>
      </c>
      <c r="C1898" s="73" t="inlineStr">
        <is>
          <t>## Results</t>
        </is>
      </c>
    </row>
    <row r="1899" ht="30" customHeight="1" s="78">
      <c r="A1899" s="73" t="inlineStr">
        <is>
          <t>QA-026</t>
        </is>
      </c>
      <c r="B1899" s="73" t="n">
        <v>14</v>
      </c>
      <c r="C1899" s="73" t="n"/>
    </row>
    <row r="1900" ht="30" customHeight="1" s="78">
      <c r="A1900" s="73" t="inlineStr">
        <is>
          <t>QA-026</t>
        </is>
      </c>
      <c r="B1900" s="73" t="n">
        <v>15</v>
      </c>
      <c r="C1900" s="73" t="inlineStr">
        <is>
          <t>| Requirement | Environment | Check | Expected | Actual | Status |</t>
        </is>
      </c>
    </row>
    <row r="1901" ht="30" customHeight="1" s="78">
      <c r="A1901" s="73" t="inlineStr">
        <is>
          <t>QA-026</t>
        </is>
      </c>
      <c r="B1901" s="73" t="n">
        <v>16</v>
      </c>
      <c r="C1901" s="73" t="inlineStr">
        <is>
          <t>|---|---|---|---|---|---:|</t>
        </is>
      </c>
    </row>
    <row r="1902" ht="39.95" customHeight="1" s="78">
      <c r="A1902" s="73" t="inlineStr">
        <is>
          <t>QA-026</t>
        </is>
      </c>
      <c r="B1902" s="73" t="n">
        <v>17</v>
      </c>
      <c r="C1902" s="73" t="inlineStr">
        <is>
          <t>| Transient sandbox startup recovery | Automated unit test, both repositories | Sandbox returns HTTP 503 before succeeding | Client retries within its bounded deadline | Request retried and succeeded | PASS |</t>
        </is>
      </c>
    </row>
    <row r="1903" ht="39.95" customHeight="1" s="78">
      <c r="A1903" s="73" t="inlineStr">
        <is>
          <t>QA-026</t>
        </is>
      </c>
      <c r="B1903" s="73" t="n">
        <v>18</v>
      </c>
      <c r="C1903" s="73" t="inlineStr">
        <is>
          <t>| Invalid sandbox credentials | Automated unit test, both repositories | Sandbox returns HTTP 401 | No retry; instructor-facing configuration message | Correct safe message returned once | PASS |</t>
        </is>
      </c>
    </row>
    <row r="1904" ht="39.95" customHeight="1" s="78">
      <c r="A1904" s="73" t="inlineStr">
        <is>
          <t>QA-026</t>
        </is>
      </c>
      <c r="B1904" s="73" t="n">
        <v>19</v>
      </c>
      <c r="C1904" s="73" t="inlineStr">
        <is>
          <t>| Persistent sandbox outage | Automated unit test, both repositories | Sandbox remains HTTP 503 | Bounded retry; temporary/busy message | Retries stopped at deadline with safe message | PASS |</t>
        </is>
      </c>
    </row>
    <row r="1905" ht="39.95" customHeight="1" s="78">
      <c r="A1905" s="73" t="inlineStr">
        <is>
          <t>QA-026</t>
        </is>
      </c>
      <c r="B1905" s="73" t="n">
        <v>20</v>
      </c>
      <c r="C1905" s="73" t="inlineStr">
        <is>
          <t>| Portable timeout contract | GitHub-hosted Linux CI | Deadline-derived timeout is marginally below 20 seconds | Test accepts clock precision without weakening the limit | Tolerance-based assertion passed | PASS |</t>
        </is>
      </c>
    </row>
    <row r="1906" ht="30" customHeight="1" s="78">
      <c r="A1906" s="73" t="inlineStr">
        <is>
          <t>QA-026</t>
        </is>
      </c>
      <c r="B1906" s="73" t="n">
        <v>21</v>
      </c>
      <c r="C1906" s="73" t="inlineStr">
        <is>
          <t>| Backend regression | Staging local | `pytest tests -q` | All tests pass | 107 passed | PASS |</t>
        </is>
      </c>
    </row>
    <row r="1907" ht="30" customHeight="1" s="78">
      <c r="A1907" s="73" t="inlineStr">
        <is>
          <t>QA-026</t>
        </is>
      </c>
      <c r="B1907" s="73" t="n">
        <v>22</v>
      </c>
      <c r="C1907" s="73" t="inlineStr">
        <is>
          <t>| Backend regression | Production local | `pytest tests -q` | All tests pass | 98 passed | PASS |</t>
        </is>
      </c>
    </row>
    <row r="1908" ht="39.95" customHeight="1" s="78">
      <c r="A1908" s="73" t="inlineStr">
        <is>
          <t>QA-026</t>
        </is>
      </c>
      <c r="B1908" s="73" t="n">
        <v>23</v>
      </c>
      <c r="C1908" s="73" t="inlineStr">
        <is>
          <t>| Frontend regression | Staging local | Flutter analyzer, tests, release web build | All gates pass | Analyzer clean; 41 tests passed; release build passed | PASS |</t>
        </is>
      </c>
    </row>
    <row r="1909" ht="39.95" customHeight="1" s="78">
      <c r="A1909" s="73" t="inlineStr">
        <is>
          <t>QA-026</t>
        </is>
      </c>
      <c r="B1909" s="73" t="n">
        <v>24</v>
      </c>
      <c r="C1909" s="73" t="inlineStr">
        <is>
          <t>| Frontend regression | Production local | Flutter analyzer, tests, release web build | All gates pass | Analyzer clean; 38 tests passed; release build passed | PASS |</t>
        </is>
      </c>
    </row>
    <row r="1910" ht="39.95" customHeight="1" s="78">
      <c r="A1910" s="73" t="inlineStr">
        <is>
          <t>QA-026</t>
        </is>
      </c>
      <c r="B1910" s="73" t="n">
        <v>25</v>
      </c>
      <c r="C1910" s="73" t="inlineStr">
        <is>
          <t>| Hosted CI gate | Staging GitHub Actions run `32011216945` | Backend, frontend, repository safety, sandbox image | All jobs pass | Four jobs passed | PASS |</t>
        </is>
      </c>
    </row>
    <row r="1911" ht="39.95" customHeight="1" s="78">
      <c r="A1911" s="73" t="inlineStr">
        <is>
          <t>QA-026</t>
        </is>
      </c>
      <c r="B1911" s="73" t="n">
        <v>26</v>
      </c>
      <c r="C1911" s="73" t="inlineStr">
        <is>
          <t>| Hosted CI gate | Production GitHub Actions run `32011217908` | Backend, frontend, repository safety, sandbox image | All jobs pass | Four jobs passed | PASS |</t>
        </is>
      </c>
    </row>
    <row r="1912" ht="39.95" customHeight="1" s="78">
      <c r="A1912" s="73" t="inlineStr">
        <is>
          <t>QA-026</t>
        </is>
      </c>
      <c r="B1912" s="73" t="n">
        <v>27</v>
      </c>
      <c r="C1912" s="73" t="inlineStr">
        <is>
          <t>| Exact production deployment | Render API health | Release identifies approved production behavior commit | `9fa6c2482c7a` | `9fa6c2482c7a` | PASS |</t>
        </is>
      </c>
    </row>
    <row r="1913" ht="39.95" customHeight="1" s="78">
      <c r="A1913" s="73" t="inlineStr">
        <is>
          <t>QA-026</t>
        </is>
      </c>
      <c r="B1913" s="73" t="n">
        <v>28</v>
      </c>
      <c r="C1913" s="73" t="inlineStr">
        <is>
          <t>| Production assignment inventory | Live authenticated API | Only approved live assignments are exposed | IDs 1-4; no ROS Assignment 5 | IDs 1, 2, 3, 4 | PASS |</t>
        </is>
      </c>
    </row>
    <row r="1914" ht="30" customHeight="1" s="78">
      <c r="A1914" s="73" t="inlineStr">
        <is>
          <t>QA-026</t>
        </is>
      </c>
      <c r="B1914" s="73" t="n">
        <v>29</v>
      </c>
      <c r="C1914" s="73" t="inlineStr">
        <is>
          <t>| Official answers | Live demo API | Maintained answers for Assignments 1-4 pass hidden grading | 100% for each | All four returned 100% | PASS |</t>
        </is>
      </c>
    </row>
    <row r="1915" ht="39.95" customHeight="1" s="78">
      <c r="A1915" s="73" t="inlineStr">
        <is>
          <t>QA-026</t>
        </is>
      </c>
      <c r="B1915" s="73" t="n">
        <v>30</v>
      </c>
      <c r="C1915" s="73" t="inlineStr">
        <is>
          <t>| Reported Assignment 1 flow | Live Vercel UI | Paste maintained answer and select **Run tests** | Completed result; no execution error | 100%, 4/4 passed | PASS |</t>
        </is>
      </c>
    </row>
    <row r="1916" ht="39.95" customHeight="1" s="78">
      <c r="A1916" s="73" t="inlineStr">
        <is>
          <t>QA-026</t>
        </is>
      </c>
      <c r="B1916" s="73" t="n">
        <v>31</v>
      </c>
      <c r="C1916" s="73" t="inlineStr">
        <is>
          <t>| Incorrect answer | Live `/submit`, Assignment 2 | Hidden grader rejects `total_path_length = 0` | Failing score | 0%, 4/4 hidden checks failed | PASS |</t>
        </is>
      </c>
    </row>
    <row r="1917" ht="39.95" customHeight="1" s="78">
      <c r="A1917" s="73" t="inlineStr">
        <is>
          <t>QA-026</t>
        </is>
      </c>
      <c r="B1917" s="73" t="n">
        <v>32</v>
      </c>
      <c r="C1917" s="73" t="inlineStr">
        <is>
          <t>| Public-versus-hidden test boundary | Live `/run` and `/submit`, Assignment 2 | Public run may provide partial evidence; submission enforces hidden tests | Incorrect code rejected at submission | Public check passed; hidden submission failed | PASS |</t>
        </is>
      </c>
    </row>
    <row r="1918" ht="30" customHeight="1" s="78">
      <c r="A1918" s="73" t="inlineStr">
        <is>
          <t>QA-026</t>
        </is>
      </c>
      <c r="B1918" s="73" t="n">
        <v>33</v>
      </c>
      <c r="C1918" s="73" t="inlineStr">
        <is>
          <t>| Syntax error | Live sandbox | Invalid Python is reported safely | SyntaxError; no stuck request | Safe SyntaxError returned | PASS |</t>
        </is>
      </c>
    </row>
    <row r="1919" ht="39.95" customHeight="1" s="78">
      <c r="A1919" s="73" t="inlineStr">
        <is>
          <t>QA-026</t>
        </is>
      </c>
      <c r="B1919" s="73" t="n">
        <v>34</v>
      </c>
      <c r="C1919" s="73" t="inlineStr">
        <is>
          <t>| Runtime error | Live sandbox | Division by zero is reported safely | ZeroDivisionError; no stuck request | Safe ZeroDivisionError returned | PASS |</t>
        </is>
      </c>
    </row>
    <row r="1920" ht="30" customHeight="1" s="78">
      <c r="A1920" s="73" t="inlineStr">
        <is>
          <t>QA-026</t>
        </is>
      </c>
      <c r="B1920" s="73" t="n">
        <v>35</v>
      </c>
      <c r="C1920" s="73" t="inlineStr">
        <is>
          <t>| Infinite loop | Live sandbox | Execution is bounded | Timeout near assignment limit | TimeoutError after about 5.5 seconds | PASS |</t>
        </is>
      </c>
    </row>
    <row r="1921" ht="30" customHeight="1" s="78">
      <c r="A1921" s="73" t="inlineStr">
        <is>
          <t>QA-026</t>
        </is>
      </c>
      <c r="B1921" s="73" t="n">
        <v>36</v>
      </c>
      <c r="C1921" s="73" t="inlineStr">
        <is>
          <t>| Unsafe import | Live sandbox | `import os` is denied | Safe rejection | ImportError: import not allowed | PASS |</t>
        </is>
      </c>
    </row>
    <row r="1922" ht="30" customHeight="1" s="78">
      <c r="A1922" s="73" t="inlineStr">
        <is>
          <t>QA-026</t>
        </is>
      </c>
      <c r="B1922" s="73" t="n">
        <v>37</v>
      </c>
      <c r="C1922" s="73" t="inlineStr">
        <is>
          <t>| Oversized submission | Live API | More than 50,000 code characters is rejected | HTTP 413 | HTTP 413 | PASS |</t>
        </is>
      </c>
    </row>
    <row r="1923" ht="39.95" customHeight="1" s="78">
      <c r="A1923" s="73" t="inlineStr">
        <is>
          <t>QA-026</t>
        </is>
      </c>
      <c r="B1923" s="73" t="n">
        <v>38</v>
      </c>
      <c r="C1923" s="73" t="inlineStr">
        <is>
          <t>| Demo privacy behavior | Live Vercel UI | Demo work resets on refresh | Return to login; no retained progress | Returned to login after refresh | PASS |</t>
        </is>
      </c>
    </row>
    <row r="1924" ht="30" customHeight="1" s="78">
      <c r="A1924" s="73" t="inlineStr">
        <is>
          <t>QA-026</t>
        </is>
      </c>
      <c r="B1924" s="73" t="n">
        <v>39</v>
      </c>
      <c r="C1924" s="73" t="inlineStr">
        <is>
          <t>| AI default | Live Assignment 1 UI | AI tutoring remains available but off by default | Toggle off | Toggle off | PASS |</t>
        </is>
      </c>
    </row>
    <row r="1925" ht="39.95" customHeight="1" s="78">
      <c r="A1925" s="73" t="inlineStr">
        <is>
          <t>QA-026</t>
        </is>
      </c>
      <c r="B1925" s="73" t="n">
        <v>40</v>
      </c>
      <c r="C1925" s="73" t="inlineStr">
        <is>
          <t>| Staging Assignment 5 separation | Local staging | ROS Assignment 5 remains staging-only | Staging has 1-5; production has 1-4 | Inventory preserved | PASS |</t>
        </is>
      </c>
    </row>
    <row r="1926" ht="30" customHeight="1" s="78">
      <c r="A1926" s="73" t="inlineStr">
        <is>
          <t>QA-026</t>
        </is>
      </c>
      <c r="B1926" s="73" t="n">
        <v>41</v>
      </c>
      <c r="C1926" s="73" t="n"/>
    </row>
    <row r="1927" ht="30" customHeight="1" s="78">
      <c r="A1927" s="73" t="inlineStr">
        <is>
          <t>QA-026</t>
        </is>
      </c>
      <c r="B1927" s="73" t="n">
        <v>42</v>
      </c>
      <c r="C1927" s="73" t="inlineStr">
        <is>
          <t>## Local assignment execution evidence</t>
        </is>
      </c>
    </row>
    <row r="1928" ht="30" customHeight="1" s="78">
      <c r="A1928" s="73" t="inlineStr">
        <is>
          <t>QA-026</t>
        </is>
      </c>
      <c r="B1928" s="73" t="n">
        <v>43</v>
      </c>
      <c r="C1928" s="73" t="n"/>
    </row>
    <row r="1929" ht="54" customHeight="1" s="78">
      <c r="A1929" s="73" t="inlineStr">
        <is>
          <t>QA-026</t>
        </is>
      </c>
      <c r="B1929" s="73" t="n">
        <v>44</v>
      </c>
      <c r="C1929" s="73" t="inlineStr">
        <is>
          <t>Staging local execution passed maintained answers for Assignments 1-4 and the ROS 2 Assignment 5 Docker grader. Incorrect values, syntax errors, runtime errors, infinite loops, unsafe imports, and oversized submissions were also exercised. Production's dedicated sandbox-service image was built and smoke-tested with Assignment 3 under the new 10-second API execution allowance.</t>
        </is>
      </c>
    </row>
    <row r="1930" ht="30" customHeight="1" s="78">
      <c r="A1930" s="73" t="inlineStr">
        <is>
          <t>QA-026</t>
        </is>
      </c>
      <c r="B1930" s="73" t="n">
        <v>45</v>
      </c>
      <c r="C1930" s="73" t="n"/>
    </row>
    <row r="1931" ht="39.95" customHeight="1" s="78">
      <c r="A1931" s="73" t="inlineStr">
        <is>
          <t>QA-026</t>
        </is>
      </c>
      <c r="B1931" s="73" t="n">
        <v>46</v>
      </c>
      <c r="C1931" s="73" t="inlineStr">
        <is>
          <t>The per-assignment execution limit still takes precedence where configured. Assignment 2 therefore continues to stop infinite loops after 5 seconds. The Linux sandbox CPU limit remains 6 seconds, so increasing the API default from 5 to 10 seconds does not remove the CPU safety boundary.</t>
        </is>
      </c>
    </row>
    <row r="1932" ht="30" customHeight="1" s="78">
      <c r="A1932" s="73" t="inlineStr">
        <is>
          <t>QA-026</t>
        </is>
      </c>
      <c r="B1932" s="73" t="n">
        <v>47</v>
      </c>
      <c r="C1932" s="73" t="n"/>
    </row>
    <row r="1933" ht="30" customHeight="1" s="78">
      <c r="A1933" s="73" t="inlineStr">
        <is>
          <t>QA-026</t>
        </is>
      </c>
      <c r="B1933" s="73" t="n">
        <v>48</v>
      </c>
      <c r="C1933" s="73" t="inlineStr">
        <is>
          <t>## Non-blocking items not run</t>
        </is>
      </c>
    </row>
    <row r="1934" ht="30" customHeight="1" s="78">
      <c r="A1934" s="73" t="inlineStr">
        <is>
          <t>QA-026</t>
        </is>
      </c>
      <c r="B1934" s="73" t="n">
        <v>49</v>
      </c>
      <c r="C1934" s="73" t="n"/>
    </row>
    <row r="1935" ht="30" customHeight="1" s="78">
      <c r="A1935" s="73" t="inlineStr">
        <is>
          <t>QA-026</t>
        </is>
      </c>
      <c r="B1935" s="73" t="n">
        <v>50</v>
      </c>
      <c r="C1935" s="73" t="inlineStr">
        <is>
          <t>| Item | Status | Reason and follow-up |</t>
        </is>
      </c>
    </row>
    <row r="1936" ht="30" customHeight="1" s="78">
      <c r="A1936" s="73" t="inlineStr">
        <is>
          <t>QA-026</t>
        </is>
      </c>
      <c r="B1936" s="73" t="n">
        <v>51</v>
      </c>
      <c r="C1936" s="73" t="inlineStr">
        <is>
          <t>|---|---:|---|</t>
        </is>
      </c>
    </row>
    <row r="1937" ht="54" customHeight="1" s="78">
      <c r="A1937" s="73" t="inlineStr">
        <is>
          <t>QA-026</t>
        </is>
      </c>
      <c r="B1937" s="73" t="n">
        <v>52</v>
      </c>
      <c r="C1937" s="73" t="inlineStr">
        <is>
          <t>| Forced real Render cold-start retry | NOT RUN | Render does not provide a safe command to intentionally suspend the sandbox. The exact 503-to-success sequence is protected by automated tests, and the live grader was exercised after deployment. Recheck after a natural idle period before a classroom session. |</t>
        </is>
      </c>
    </row>
    <row r="1938" ht="39.95" customHeight="1" s="78">
      <c r="A1938" s="73" t="inlineStr">
        <is>
          <t>QA-026</t>
        </is>
      </c>
      <c r="B1938" s="73" t="n">
        <v>53</v>
      </c>
      <c r="C1938" s="73" t="inlineStr">
        <is>
          <t>| Paid OpenAI response | NOT RUN | AI is intentionally off by default and no paid call was authorized. Deterministic grading and built-in feedback passed without AI. |</t>
        </is>
      </c>
    </row>
    <row r="1939" ht="39.95" customHeight="1" s="78">
      <c r="A1939" s="73" t="inlineStr">
        <is>
          <t>QA-026</t>
        </is>
      </c>
      <c r="B1939" s="73" t="n">
        <v>54</v>
      </c>
      <c r="C1939" s="73" t="inlineStr">
        <is>
          <t>| Physical second computer/network | NOT RUN | The deployed URL and hosted APIs were tested from the current external network and a clean browser tab, but not from a second physical device. Complete this before a classroom-wide release. |</t>
        </is>
      </c>
    </row>
    <row r="1940" ht="39.95" customHeight="1" s="78">
      <c r="A1940" s="73" t="inlineStr">
        <is>
          <t>QA-026</t>
        </is>
      </c>
      <c r="B1940" s="73" t="n">
        <v>55</v>
      </c>
      <c r="C1940" s="73" t="inlineStr">
        <is>
          <t>| Hosted restart persistence rehearsal | NOT RUN | No data or persistence code changed. Existing automated persistence coverage passed, but Render/Neon was not deliberately restarted during this repair. |</t>
        </is>
      </c>
    </row>
    <row r="1941" ht="30" customHeight="1" s="78">
      <c r="A1941" s="73" t="inlineStr">
        <is>
          <t>QA-026</t>
        </is>
      </c>
      <c r="B1941" s="73" t="n">
        <v>56</v>
      </c>
      <c r="C1941" s="73" t="n"/>
    </row>
    <row r="1942" ht="30" customHeight="1" s="78">
      <c r="A1942" s="73" t="inlineStr">
        <is>
          <t>QA-026</t>
        </is>
      </c>
      <c r="B1942" s="73" t="n">
        <v>57</v>
      </c>
      <c r="C1942" s="73" t="inlineStr">
        <is>
          <t>## Engineering handoff</t>
        </is>
      </c>
    </row>
    <row r="1943" ht="30" customHeight="1" s="78">
      <c r="A1943" s="73" t="inlineStr">
        <is>
          <t>QA-026</t>
        </is>
      </c>
      <c r="B1943" s="73" t="n">
        <v>58</v>
      </c>
      <c r="C1943" s="73" t="n"/>
    </row>
    <row r="1944" ht="54" customHeight="1" s="78">
      <c r="A1944" s="73" t="inlineStr">
        <is>
          <t>QA-026</t>
        </is>
      </c>
      <c r="B1944" s="73" t="n">
        <v>59</v>
      </c>
      <c r="C1944" s="73" t="inlineStr">
        <is>
          <t>The implementation uses the same source behavior in both repositories while preserving the intentional assignment difference: staging includes ROS Assignment 5 and production does not. No durable architecture, repository-role, security-boundary, or release-process rule changed, so `AGENTS.md` did not require an update.</t>
        </is>
      </c>
    </row>
    <row r="1945" ht="30" customHeight="1" s="78">
      <c r="A1945" s="73" t="inlineStr">
        <is>
          <t>QA-026</t>
        </is>
      </c>
      <c r="B1945" s="73" t="n">
        <v>60</v>
      </c>
      <c r="C1945" s="73" t="n"/>
    </row>
    <row r="1946" ht="30" customHeight="1" s="78">
      <c r="A1946" s="73" t="inlineStr">
        <is>
          <t>QA-026</t>
        </is>
      </c>
      <c r="B1946" s="73" t="n">
        <v>61</v>
      </c>
      <c r="C1946" s="73" t="n"/>
    </row>
    <row r="1947" ht="30" customHeight="1" s="78">
      <c r="A1947" s="73" t="inlineStr">
        <is>
          <t>QA-027</t>
        </is>
      </c>
      <c r="B1947" s="73" t="n">
        <v>1</v>
      </c>
      <c r="C1947" s="73" t="inlineStr">
        <is>
          <t># V4.1 Staging SQA Report</t>
        </is>
      </c>
    </row>
    <row r="1948" ht="30" customHeight="1" s="78">
      <c r="A1948" s="73" t="inlineStr">
        <is>
          <t>QA-027</t>
        </is>
      </c>
      <c r="B1948" s="73" t="n">
        <v>2</v>
      </c>
      <c r="C1948" s="73" t="n"/>
    </row>
    <row r="1949" ht="30" customHeight="1" s="78">
      <c r="A1949" s="73" t="inlineStr">
        <is>
          <t>QA-027</t>
        </is>
      </c>
      <c r="B1949" s="73" t="n">
        <v>3</v>
      </c>
      <c r="C1949" s="73" t="inlineStr">
        <is>
          <t>**Release candidate:** V4.1 research study data and instructor analytics</t>
        </is>
      </c>
    </row>
    <row r="1950" ht="30" customHeight="1" s="78">
      <c r="A1950" s="73" t="inlineStr">
        <is>
          <t>QA-027</t>
        </is>
      </c>
      <c r="B1950" s="73" t="n">
        <v>4</v>
      </c>
      <c r="C1950" s="73" t="n"/>
    </row>
    <row r="1951" ht="30" customHeight="1" s="78">
      <c r="A1951" s="73" t="inlineStr">
        <is>
          <t>QA-027</t>
        </is>
      </c>
      <c r="B1951" s="73" t="n">
        <v>5</v>
      </c>
      <c r="C1951" s="73" t="inlineStr">
        <is>
          <t>**Test date:** 2026-08-05</t>
        </is>
      </c>
    </row>
    <row r="1952" ht="30" customHeight="1" s="78">
      <c r="A1952" s="73" t="inlineStr">
        <is>
          <t>QA-027</t>
        </is>
      </c>
      <c r="B1952" s="73" t="n">
        <v>6</v>
      </c>
      <c r="C1952" s="73" t="n"/>
    </row>
    <row r="1953" ht="30" customHeight="1" s="78">
      <c r="A1953" s="73" t="inlineStr">
        <is>
          <t>QA-027</t>
        </is>
      </c>
      <c r="B1953" s="73" t="n">
        <v>7</v>
      </c>
      <c r="C1953" s="73" t="inlineStr">
        <is>
          <t>**Repository:** `CS-Ponkoj/Robotics-Programming-Lab-Staging` (`main`)</t>
        </is>
      </c>
    </row>
    <row r="1954" ht="30" customHeight="1" s="78">
      <c r="A1954" s="73" t="inlineStr">
        <is>
          <t>QA-027</t>
        </is>
      </c>
      <c r="B1954" s="73" t="n">
        <v>8</v>
      </c>
      <c r="C1954" s="73" t="n"/>
    </row>
    <row r="1955" ht="30" customHeight="1" s="78">
      <c r="A1955" s="73" t="inlineStr">
        <is>
          <t>QA-027</t>
        </is>
      </c>
      <c r="B1955" s="73" t="n">
        <v>9</v>
      </c>
      <c r="C1955" s="73" t="inlineStr">
        <is>
          <t>**Decision:** PASS for staging publication</t>
        </is>
      </c>
    </row>
    <row r="1956" ht="30" customHeight="1" s="78">
      <c r="A1956" s="73" t="inlineStr">
        <is>
          <t>QA-027</t>
        </is>
      </c>
      <c r="B1956" s="73" t="n">
        <v>10</v>
      </c>
      <c r="C1956" s="73" t="n"/>
    </row>
    <row r="1957" ht="30" customHeight="1" s="78">
      <c r="A1957" s="73" t="inlineStr">
        <is>
          <t>QA-027</t>
        </is>
      </c>
      <c r="B1957" s="73" t="n">
        <v>11</v>
      </c>
      <c r="C1957" s="73" t="inlineStr">
        <is>
          <t>## Result summary</t>
        </is>
      </c>
    </row>
    <row r="1958" ht="30" customHeight="1" s="78">
      <c r="A1958" s="73" t="inlineStr">
        <is>
          <t>QA-027</t>
        </is>
      </c>
      <c r="B1958" s="73" t="n">
        <v>12</v>
      </c>
      <c r="C1958" s="73" t="n"/>
    </row>
    <row r="1959" ht="30" customHeight="1" s="78">
      <c r="A1959" s="73" t="inlineStr">
        <is>
          <t>QA-027</t>
        </is>
      </c>
      <c r="B1959" s="73" t="n">
        <v>13</v>
      </c>
      <c r="C1959" s="73" t="inlineStr">
        <is>
          <t>| Area | Verification | Result | Evidence |</t>
        </is>
      </c>
    </row>
    <row r="1960" ht="30" customHeight="1" s="78">
      <c r="A1960" s="73" t="inlineStr">
        <is>
          <t>QA-027</t>
        </is>
      </c>
      <c r="B1960" s="73" t="n">
        <v>14</v>
      </c>
      <c r="C1960" s="73" t="inlineStr">
        <is>
          <t>|---|---|---:|---|</t>
        </is>
      </c>
    </row>
    <row r="1961" ht="39.95" customHeight="1" s="78">
      <c r="A1961" s="73" t="inlineStr">
        <is>
          <t>QA-027</t>
        </is>
      </c>
      <c r="B1961" s="73" t="n">
        <v>15</v>
      </c>
      <c r="C1961" s="73" t="inlineStr">
        <is>
          <t>| Backend regression | Full API, authentication, assignments, grading, sandbox rules, migrations and research tests | PASS | 91 pytest tests passed |</t>
        </is>
      </c>
    </row>
    <row r="1962" ht="30" customHeight="1" s="78">
      <c r="A1962" s="73" t="inlineStr">
        <is>
          <t>QA-027</t>
        </is>
      </c>
      <c r="B1962" s="73" t="n">
        <v>16</v>
      </c>
      <c r="C1962" s="73" t="inlineStr">
        <is>
          <t>| Python environment | Installed dependency consistency and bytecode compilation | PASS | `pip check`; `compileall` |</t>
        </is>
      </c>
    </row>
    <row r="1963" ht="30" customHeight="1" s="78">
      <c r="A1963" s="73" t="inlineStr">
        <is>
          <t>QA-027</t>
        </is>
      </c>
      <c r="B1963" s="73" t="n">
        <v>17</v>
      </c>
      <c r="C1963" s="73" t="inlineStr">
        <is>
          <t>| Database migration | Baseline-to-head upgrade, downgrade and existing-database column migration | PASS | Alembic migration tests |</t>
        </is>
      </c>
    </row>
    <row r="1964" ht="30" customHeight="1" s="78">
      <c r="A1964" s="73" t="inlineStr">
        <is>
          <t>QA-027</t>
        </is>
      </c>
      <c r="B1964" s="73" t="n">
        <v>18</v>
      </c>
      <c r="C1964" s="73" t="inlineStr">
        <is>
          <t>| Study sessions | Start, heartbeat, end, duration cap and idempotent session handling | PASS | Backend research tests and browser session |</t>
        </is>
      </c>
    </row>
    <row r="1965" ht="30" customHeight="1" s="78">
      <c r="A1965" s="73" t="inlineStr">
        <is>
          <t>QA-027</t>
        </is>
      </c>
      <c r="B1965" s="73" t="n">
        <v>19</v>
      </c>
      <c r="C1965" s="73" t="inlineStr">
        <is>
          <t>| Learning events | Assignment open, submit, hint, solution, tab and AI-toggle event capture | PASS | API tests and browser timeline |</t>
        </is>
      </c>
    </row>
    <row r="1966" ht="30" customHeight="1" s="78">
      <c r="A1966" s="73" t="inlineStr">
        <is>
          <t>QA-027</t>
        </is>
      </c>
      <c r="B1966" s="73" t="n">
        <v>20</v>
      </c>
      <c r="C1966" s="73" t="inlineStr">
        <is>
          <t>| Student privacy | Student receives only their participant-level progress | PASS | Authorization/API tests and student dashboard |</t>
        </is>
      </c>
    </row>
    <row r="1967" ht="30" customHeight="1" s="78">
      <c r="A1967" s="73" t="inlineStr">
        <is>
          <t>QA-027</t>
        </is>
      </c>
      <c r="B1967" s="73" t="n">
        <v>21</v>
      </c>
      <c r="C1967" s="73" t="inlineStr">
        <is>
          <t>| Instructor authorization | Research summary, participant detail and exports require instructor role | PASS | Role-isolation API tests |</t>
        </is>
      </c>
    </row>
    <row r="1968" ht="30" customHeight="1" s="78">
      <c r="A1968" s="73" t="inlineStr">
        <is>
          <t>QA-027</t>
        </is>
      </c>
      <c r="B1968" s="73" t="n">
        <v>22</v>
      </c>
      <c r="C1968" s="73" t="inlineStr">
        <is>
          <t>| Participant identifiers | Duplicate participant codes are rejected on create, update and account sync | PASS | Focused backend tests |</t>
        </is>
      </c>
    </row>
    <row r="1969" ht="30" customHeight="1" s="78">
      <c r="A1969" s="73" t="inlineStr">
        <is>
          <t>QA-027</t>
        </is>
      </c>
      <c r="B1969" s="73" t="n">
        <v>23</v>
      </c>
      <c r="C1969" s="73" t="inlineStr">
        <is>
          <t>| CSV export | UTF-8 CSV downloads without passwords, login IDs or submitted code | PASS | HTTP 200 and sensitive-field scan |</t>
        </is>
      </c>
    </row>
    <row r="1970" ht="30" customHeight="1" s="78">
      <c r="A1970" s="73" t="inlineStr">
        <is>
          <t>QA-027</t>
        </is>
      </c>
      <c r="B1970" s="73" t="n">
        <v>24</v>
      </c>
      <c r="C1970" s="73" t="inlineStr">
        <is>
          <t>| Excel export | Complete workbook downloads with valid XLSX signature and three research datasets | PASS | HTTP 200; `PK` XLSX signature |</t>
        </is>
      </c>
    </row>
    <row r="1971" ht="30" customHeight="1" s="78">
      <c r="A1971" s="73" t="inlineStr">
        <is>
          <t>QA-027</t>
        </is>
      </c>
      <c r="B1971" s="73" t="n">
        <v>25</v>
      </c>
      <c r="C1971" s="73" t="inlineStr">
        <is>
          <t>| Spreadsheet safety | Exported cells neutralize spreadsheet-formula prefixes | PASS | Export unit tests |</t>
        </is>
      </c>
    </row>
    <row r="1972" ht="30" customHeight="1" s="78">
      <c r="A1972" s="73" t="inlineStr">
        <is>
          <t>QA-027</t>
        </is>
      </c>
      <c r="B1972" s="73" t="n">
        <v>26</v>
      </c>
      <c r="C1972" s="73" t="inlineStr">
        <is>
          <t>| Student UI | Study-progress summary and recent-attempt view | PASS | Flutter widget tests and browser check |</t>
        </is>
      </c>
    </row>
    <row r="1973" ht="30" customHeight="1" s="78">
      <c r="A1973" s="73" t="inlineStr">
        <is>
          <t>QA-027</t>
        </is>
      </c>
      <c r="B1973" s="73" t="n">
        <v>27</v>
      </c>
      <c r="C1973" s="73" t="inlineStr">
        <is>
          <t>| Instructor UI | Summary, participant table, detail timeline and export menu | PASS | Flutter widget tests and browser check |</t>
        </is>
      </c>
    </row>
    <row r="1974" ht="30" customHeight="1" s="78">
      <c r="A1974" s="73" t="inlineStr">
        <is>
          <t>QA-027</t>
        </is>
      </c>
      <c r="B1974" s="73" t="n">
        <v>28</v>
      </c>
      <c r="C1974" s="73" t="inlineStr">
        <is>
          <t>| Responsive UI | Dashboard and results at 390 x 844 mobile viewport | PASS | Widget overflow test and browser check |</t>
        </is>
      </c>
    </row>
    <row r="1975" ht="30" customHeight="1" s="78">
      <c r="A1975" s="73" t="inlineStr">
        <is>
          <t>QA-027</t>
        </is>
      </c>
      <c r="B1975" s="73" t="n">
        <v>29</v>
      </c>
      <c r="C1975" s="73" t="inlineStr">
        <is>
          <t>| Keyboard/accessibility baseline | Existing keyboard run flow and semantic controls remain working | PASS | Flutter regression tests |</t>
        </is>
      </c>
    </row>
    <row r="1976" ht="30" customHeight="1" s="78">
      <c r="A1976" s="73" t="inlineStr">
        <is>
          <t>QA-027</t>
        </is>
      </c>
      <c r="B1976" s="73" t="n">
        <v>30</v>
      </c>
      <c r="C1976" s="73" t="inlineStr">
        <is>
          <t>| AI behavior | AI tutor remains available but disabled by default | PASS | Browser check and existing widget behavior |</t>
        </is>
      </c>
    </row>
    <row r="1977" ht="30" customHeight="1" s="78">
      <c r="A1977" s="73" t="inlineStr">
        <is>
          <t>QA-027</t>
        </is>
      </c>
      <c r="B1977" s="73" t="n">
        <v>31</v>
      </c>
      <c r="C1977" s="73" t="inlineStr">
        <is>
          <t>| Frontend static analysis | Flutter analyzer | PASS | No issues found |</t>
        </is>
      </c>
    </row>
    <row r="1978" ht="30" customHeight="1" s="78">
      <c r="A1978" s="73" t="inlineStr">
        <is>
          <t>QA-027</t>
        </is>
      </c>
      <c r="B1978" s="73" t="n">
        <v>32</v>
      </c>
      <c r="C1978" s="73" t="inlineStr">
        <is>
          <t>| Frontend regression | Full Flutter widget/unit suite | PASS | 36 tests passed |</t>
        </is>
      </c>
    </row>
    <row r="1979" ht="30" customHeight="1" s="78">
      <c r="A1979" s="73" t="inlineStr">
        <is>
          <t>QA-027</t>
        </is>
      </c>
      <c r="B1979" s="73" t="n">
        <v>33</v>
      </c>
      <c r="C1979" s="73" t="inlineStr">
        <is>
          <t>| Production-equivalent frontend | Flutter release web compilation with configured API base URL | PASS | Release web build succeeded |</t>
        </is>
      </c>
    </row>
    <row r="1980" ht="30" customHeight="1" s="78">
      <c r="A1980" s="73" t="inlineStr">
        <is>
          <t>QA-027</t>
        </is>
      </c>
      <c r="B1980" s="73" t="n">
        <v>34</v>
      </c>
      <c r="C1980" s="73" t="inlineStr">
        <is>
          <t>| Local service health | API and sandbox health endpoints | PASS | Both returned `ok`; API version `4.1.0` |</t>
        </is>
      </c>
    </row>
    <row r="1981" ht="30" customHeight="1" s="78">
      <c r="A1981" s="73" t="inlineStr">
        <is>
          <t>QA-027</t>
        </is>
      </c>
      <c r="B1981" s="73" t="n">
        <v>35</v>
      </c>
      <c r="C1981" s="73" t="inlineStr">
        <is>
          <t>| Browser console | Student and instructor desktop/mobile flows | PASS | No console errors or warnings observed |</t>
        </is>
      </c>
    </row>
    <row r="1982" ht="30" customHeight="1" s="78">
      <c r="A1982" s="73" t="inlineStr">
        <is>
          <t>QA-027</t>
        </is>
      </c>
      <c r="B1982" s="73" t="n">
        <v>36</v>
      </c>
      <c r="C1982" s="73" t="inlineStr">
        <is>
          <t>| Git hygiene | Whitespace/error-marker validation | PASS | `git diff --check` before commit |</t>
        </is>
      </c>
    </row>
    <row r="1983" ht="30" customHeight="1" s="78">
      <c r="A1983" s="73" t="inlineStr">
        <is>
          <t>QA-027</t>
        </is>
      </c>
      <c r="B1983" s="73" t="n">
        <v>37</v>
      </c>
      <c r="C1983" s="73" t="n"/>
    </row>
    <row r="1984" ht="30" customHeight="1" s="78">
      <c r="A1984" s="73" t="inlineStr">
        <is>
          <t>QA-027</t>
        </is>
      </c>
      <c r="B1984" s="73" t="n">
        <v>38</v>
      </c>
      <c r="C1984" s="73" t="inlineStr">
        <is>
          <t>## Manual browser flow covered</t>
        </is>
      </c>
    </row>
    <row r="1985" ht="30" customHeight="1" s="78">
      <c r="A1985" s="73" t="inlineStr">
        <is>
          <t>QA-027</t>
        </is>
      </c>
      <c r="B1985" s="73" t="n">
        <v>39</v>
      </c>
      <c r="C1985" s="73" t="n"/>
    </row>
    <row r="1986" ht="30" customHeight="1" s="78">
      <c r="A1986" s="73" t="inlineStr">
        <is>
          <t>QA-027</t>
        </is>
      </c>
      <c r="B1986" s="73" t="n">
        <v>40</v>
      </c>
      <c r="C1986" s="73" t="inlineStr">
        <is>
          <t>1. Logged in as the demo student without credentials being displayed on the login page.</t>
        </is>
      </c>
    </row>
    <row r="1987" ht="30" customHeight="1" s="78">
      <c r="A1987" s="73" t="inlineStr">
        <is>
          <t>QA-027</t>
        </is>
      </c>
      <c r="B1987" s="73" t="n">
        <v>41</v>
      </c>
      <c r="C1987" s="73" t="inlineStr">
        <is>
          <t>2. Opened Assignment 1 and confirmed AI was off by default.</t>
        </is>
      </c>
    </row>
    <row r="1988" ht="30" customHeight="1" s="78">
      <c r="A1988" s="73" t="inlineStr">
        <is>
          <t>QA-027</t>
        </is>
      </c>
      <c r="B1988" s="73" t="n">
        <v>42</v>
      </c>
      <c r="C1988" s="73" t="inlineStr">
        <is>
          <t>3. Ran starter code and confirmed the grader returned a completed result rather than hanging.</t>
        </is>
      </c>
    </row>
    <row r="1989" ht="30" customHeight="1" s="78">
      <c r="A1989" s="73" t="inlineStr">
        <is>
          <t>QA-027</t>
        </is>
      </c>
      <c r="B1989" s="73" t="n">
        <v>43</v>
      </c>
      <c r="C1989" s="73" t="inlineStr">
        <is>
          <t>4. Confirmed assignment-open and submission activity appeared in the research dataset.</t>
        </is>
      </c>
    </row>
    <row r="1990" ht="30" customHeight="1" s="78">
      <c r="A1990" s="73" t="inlineStr">
        <is>
          <t>QA-027</t>
        </is>
      </c>
      <c r="B1990" s="73" t="n">
        <v>44</v>
      </c>
      <c r="C1990" s="73" t="inlineStr">
        <is>
          <t>5. Logged out after an active study interval and confirmed the study session ended with recorded active time.</t>
        </is>
      </c>
    </row>
    <row r="1991" ht="30" customHeight="1" s="78">
      <c r="A1991" s="73" t="inlineStr">
        <is>
          <t>QA-027</t>
        </is>
      </c>
      <c r="B1991" s="73" t="n">
        <v>45</v>
      </c>
      <c r="C1991" s="73" t="inlineStr">
        <is>
          <t>6. Logged in as the demo instructor, opened Research Dashboard, inspected the participant timeline and opened every export option.</t>
        </is>
      </c>
    </row>
    <row r="1992" ht="30" customHeight="1" s="78">
      <c r="A1992" s="73" t="inlineStr">
        <is>
          <t>QA-027</t>
        </is>
      </c>
      <c r="B1992" s="73" t="n">
        <v>46</v>
      </c>
      <c r="C1992" s="73" t="inlineStr">
        <is>
          <t>7. Repeated the dashboard layout check at a 390 x 844 mobile viewport.</t>
        </is>
      </c>
    </row>
    <row r="1993" ht="30" customHeight="1" s="78">
      <c r="A1993" s="73" t="inlineStr">
        <is>
          <t>QA-027</t>
        </is>
      </c>
      <c r="B1993" s="73" t="n">
        <v>47</v>
      </c>
      <c r="C1993" s="73" t="n"/>
    </row>
    <row r="1994" ht="30" customHeight="1" s="78">
      <c r="A1994" s="73" t="inlineStr">
        <is>
          <t>QA-027</t>
        </is>
      </c>
      <c r="B1994" s="73" t="n">
        <v>48</v>
      </c>
      <c r="C1994" s="73" t="inlineStr">
        <is>
          <t>## Non-blocking follow-up checks</t>
        </is>
      </c>
    </row>
    <row r="1995" ht="30" customHeight="1" s="78">
      <c r="A1995" s="73" t="inlineStr">
        <is>
          <t>QA-027</t>
        </is>
      </c>
      <c r="B1995" s="73" t="n">
        <v>49</v>
      </c>
      <c r="C1995" s="73" t="n"/>
    </row>
    <row r="1996" ht="30" customHeight="1" s="78">
      <c r="A1996" s="73" t="inlineStr">
        <is>
          <t>QA-027</t>
        </is>
      </c>
      <c r="B1996" s="73" t="n">
        <v>50</v>
      </c>
      <c r="C1996" s="73" t="inlineStr">
        <is>
          <t>| Item | Current status | Reason / next action |</t>
        </is>
      </c>
    </row>
    <row r="1997" ht="30" customHeight="1" s="78">
      <c r="A1997" s="73" t="inlineStr">
        <is>
          <t>QA-027</t>
        </is>
      </c>
      <c r="B1997" s="73" t="n">
        <v>51</v>
      </c>
      <c r="C1997" s="73" t="inlineStr">
        <is>
          <t>|---|---|---|</t>
        </is>
      </c>
    </row>
    <row r="1998" ht="39.95" customHeight="1" s="78">
      <c r="A1998" s="73" t="inlineStr">
        <is>
          <t>QA-027</t>
        </is>
      </c>
      <c r="B1998" s="73" t="n">
        <v>52</v>
      </c>
      <c r="C1998" s="73" t="inlineStr">
        <is>
          <t>| Physical second-device/network check | NOT RUN | Local staging was verified in a clean browser origin and mobile viewport, but not from another physical computer/network. Run this after a staging URL is deployed. |</t>
        </is>
      </c>
    </row>
    <row r="1999" ht="39.95" customHeight="1" s="78">
      <c r="A1999" s="73" t="inlineStr">
        <is>
          <t>QA-027</t>
        </is>
      </c>
      <c r="B1999" s="73" t="n">
        <v>53</v>
      </c>
      <c r="C1999" s="73" t="inlineStr">
        <is>
          <t>| OpenAI paid response | NOT RUN | AI is intentionally off by default and the configured account currently has no required credit. The non-AI grading workflow is unaffected. |</t>
        </is>
      </c>
    </row>
    <row r="2000" ht="39.95" customHeight="1" s="78">
      <c r="A2000" s="73" t="inlineStr">
        <is>
          <t>QA-027</t>
        </is>
      </c>
      <c r="B2000" s="73" t="n">
        <v>54</v>
      </c>
      <c r="C2000" s="73" t="inlineStr">
        <is>
          <t>| Master Excel SQA checklist update | BLOCKED BY TOOLING | The approved spreadsheet artifact runtime was unavailable in this Codex session. This Markdown report is the committed V4.1 evidence record; copy these rows into the master workbook when that runtime is available. |</t>
        </is>
      </c>
    </row>
    <row r="2001" ht="30" customHeight="1" s="78">
      <c r="A2001" s="73" t="inlineStr">
        <is>
          <t>QA-027</t>
        </is>
      </c>
      <c r="B2001" s="73" t="n">
        <v>55</v>
      </c>
      <c r="C2001" s="73" t="n"/>
    </row>
    <row r="2002" ht="39.95" customHeight="1" s="78">
      <c r="A2002" s="73" t="inlineStr">
        <is>
          <t>QA-027</t>
        </is>
      </c>
      <c r="B2002" s="73" t="n">
        <v>56</v>
      </c>
      <c r="C2002" s="73" t="inlineStr">
        <is>
          <t>These follow-ups do not block publication to the **staging Git repository**. They do block claiming that a future hosted production deployment has been tested from an external network.</t>
        </is>
      </c>
    </row>
    <row r="2003" ht="30" customHeight="1" s="78">
      <c r="A2003" s="73" t="inlineStr">
        <is>
          <t>QA-027</t>
        </is>
      </c>
      <c r="B2003" s="73" t="n">
        <v>57</v>
      </c>
      <c r="C2003" s="73" t="n"/>
    </row>
    <row r="2004" ht="30" customHeight="1" s="78">
      <c r="A2004" s="73" t="inlineStr">
        <is>
          <t>QA-028</t>
        </is>
      </c>
      <c r="B2004" s="73" t="n">
        <v>1</v>
      </c>
      <c r="C2004" s="73" t="inlineStr">
        <is>
          <t># V5 Python 3.14 Full Local SQA Report</t>
        </is>
      </c>
    </row>
    <row r="2005" ht="30" customHeight="1" s="78">
      <c r="A2005" s="73" t="inlineStr">
        <is>
          <t>QA-028</t>
        </is>
      </c>
      <c r="B2005" s="73" t="n">
        <v>2</v>
      </c>
      <c r="C2005" s="73" t="n"/>
    </row>
    <row r="2006" ht="30" customHeight="1" s="78">
      <c r="A2006" s="73" t="inlineStr">
        <is>
          <t>QA-028</t>
        </is>
      </c>
      <c r="B2006" s="73" t="n">
        <v>3</v>
      </c>
      <c r="C2006" s="73" t="inlineStr">
        <is>
          <t>**Date:** 2026-08-23</t>
        </is>
      </c>
    </row>
    <row r="2007" ht="30" customHeight="1" s="78">
      <c r="A2007" s="73" t="inlineStr">
        <is>
          <t>QA-028</t>
        </is>
      </c>
      <c r="B2007" s="73" t="n">
        <v>4</v>
      </c>
      <c r="C2007" s="73" t="n"/>
    </row>
    <row r="2008" ht="30" customHeight="1" s="78">
      <c r="A2008" s="73" t="inlineStr">
        <is>
          <t>QA-028</t>
        </is>
      </c>
      <c r="B2008" s="73" t="n">
        <v>5</v>
      </c>
      <c r="C2008" s="73" t="inlineStr">
        <is>
          <t>**Repository:** `CS-Ponkoj/Robotics-Programming-Lab-Staging`</t>
        </is>
      </c>
    </row>
    <row r="2009" ht="30" customHeight="1" s="78">
      <c r="A2009" s="73" t="inlineStr">
        <is>
          <t>QA-028</t>
        </is>
      </c>
      <c r="B2009" s="73" t="n">
        <v>6</v>
      </c>
      <c r="C2009" s="73" t="n"/>
    </row>
    <row r="2010" ht="30" customHeight="1" s="78">
      <c r="A2010" s="73" t="inlineStr">
        <is>
          <t>QA-028</t>
        </is>
      </c>
      <c r="B2010" s="73" t="n">
        <v>7</v>
      </c>
      <c r="C2010" s="73" t="inlineStr">
        <is>
          <t>**Candidate branch:** `upgrade-python314-onedrive`</t>
        </is>
      </c>
    </row>
    <row r="2011" ht="30" customHeight="1" s="78">
      <c r="A2011" s="73" t="inlineStr">
        <is>
          <t>QA-028</t>
        </is>
      </c>
      <c r="B2011" s="73" t="n">
        <v>8</v>
      </c>
      <c r="C2011" s="73" t="n"/>
    </row>
    <row r="2012" ht="30" customHeight="1" s="78">
      <c r="A2012" s="73" t="inlineStr">
        <is>
          <t>QA-028</t>
        </is>
      </c>
      <c r="B2012" s="73" t="n">
        <v>9</v>
      </c>
      <c r="C2012" s="73" t="inlineStr">
        <is>
          <t>**Candidate base:** `22ab79a2c160af7c6ac26d6e83a0904b3f306c75`</t>
        </is>
      </c>
    </row>
    <row r="2013" ht="30" customHeight="1" s="78">
      <c r="A2013" s="73" t="inlineStr">
        <is>
          <t>QA-028</t>
        </is>
      </c>
      <c r="B2013" s="73" t="n">
        <v>10</v>
      </c>
      <c r="C2013" s="73" t="n"/>
    </row>
    <row r="2014" ht="30" customHeight="1" s="78">
      <c r="A2014" s="73" t="inlineStr">
        <is>
          <t>QA-028</t>
        </is>
      </c>
      <c r="B2014" s="73" t="n">
        <v>11</v>
      </c>
      <c r="C2014" s="73" t="inlineStr">
        <is>
          <t>**Tested content:** the Git commit containing this report; the exact pushed SHA is</t>
        </is>
      </c>
    </row>
    <row r="2015" ht="30" customHeight="1" s="78">
      <c r="A2015" s="73" t="inlineStr">
        <is>
          <t>QA-028</t>
        </is>
      </c>
      <c r="B2015" s="73" t="n">
        <v>12</v>
      </c>
      <c r="C2015" s="73" t="inlineStr">
        <is>
          <t>recorded in the release handoff</t>
        </is>
      </c>
    </row>
    <row r="2016" ht="30" customHeight="1" s="78">
      <c r="A2016" s="73" t="inlineStr">
        <is>
          <t>QA-028</t>
        </is>
      </c>
      <c r="B2016" s="73" t="n">
        <v>13</v>
      </c>
      <c r="C2016" s="73" t="n"/>
    </row>
    <row r="2017" ht="30" customHeight="1" s="78">
      <c r="A2017" s="73" t="inlineStr">
        <is>
          <t>QA-028</t>
        </is>
      </c>
      <c r="B2017" s="73" t="n">
        <v>14</v>
      </c>
      <c r="C2017" s="73" t="inlineStr">
        <is>
          <t>**Environment:** Windows x64, Python 3.14.7, Flutter web, SQLite, PostgreSQL 17,</t>
        </is>
      </c>
    </row>
    <row r="2018" ht="30" customHeight="1" s="78">
      <c r="A2018" s="73" t="inlineStr">
        <is>
          <t>QA-028</t>
        </is>
      </c>
      <c r="B2018" s="73" t="n">
        <v>15</v>
      </c>
      <c r="C2018" s="73" t="inlineStr">
        <is>
          <t>Docker Desktop Linux containers, AI disabled by default</t>
        </is>
      </c>
    </row>
    <row r="2019" ht="30" customHeight="1" s="78">
      <c r="A2019" s="73" t="inlineStr">
        <is>
          <t>QA-028</t>
        </is>
      </c>
      <c r="B2019" s="73" t="n">
        <v>16</v>
      </c>
      <c r="C2019" s="73" t="n"/>
    </row>
    <row r="2020" ht="30" customHeight="1" s="78">
      <c r="A2020" s="73" t="inlineStr">
        <is>
          <t>QA-028</t>
        </is>
      </c>
      <c r="B2020" s="73" t="n">
        <v>17</v>
      </c>
      <c r="C2020" s="73" t="inlineStr">
        <is>
          <t>## Decision</t>
        </is>
      </c>
    </row>
    <row r="2021" ht="30" customHeight="1" s="78">
      <c r="A2021" s="73" t="inlineStr">
        <is>
          <t>QA-028</t>
        </is>
      </c>
      <c r="B2021" s="73" t="n">
        <v>18</v>
      </c>
      <c r="C2021" s="73" t="n"/>
    </row>
    <row r="2022" ht="30" customHeight="1" s="78">
      <c r="A2022" s="73" t="inlineStr">
        <is>
          <t>QA-028</t>
        </is>
      </c>
      <c r="B2022" s="73" t="n">
        <v>19</v>
      </c>
      <c r="C2022" s="73" t="inlineStr">
        <is>
          <t>**PASS for staging `main`.** All applicable local application, assignment,</t>
        </is>
      </c>
    </row>
    <row r="2023" ht="30" customHeight="1" s="78">
      <c r="A2023" s="73" t="inlineStr">
        <is>
          <t>QA-028</t>
        </is>
      </c>
      <c r="B2023" s="73" t="n">
        <v>20</v>
      </c>
      <c r="C2023" s="73" t="inlineStr">
        <is>
          <t>security, browser, persistence, migration, sandbox, and container checks passed.</t>
        </is>
      </c>
    </row>
    <row r="2024" ht="30" customHeight="1" s="78">
      <c r="A2024" s="73" t="inlineStr">
        <is>
          <t>QA-028</t>
        </is>
      </c>
      <c r="B2024" s="73" t="n">
        <v>21</v>
      </c>
      <c r="C2024" s="73" t="inlineStr">
        <is>
          <t>No application defect was found during this cycle. The optional paid OpenAI</t>
        </is>
      </c>
    </row>
    <row r="2025" ht="30" customHeight="1" s="78">
      <c r="A2025" s="73" t="inlineStr">
        <is>
          <t>QA-028</t>
        </is>
      </c>
      <c r="B2025" s="73" t="n">
        <v>22</v>
      </c>
      <c r="C2025" s="73" t="inlineStr">
        <is>
          <t>provider path, public hosting, a second physical computer/network, Android, and</t>
        </is>
      </c>
    </row>
    <row r="2026" ht="30" customHeight="1" s="78">
      <c r="A2026" s="73" t="inlineStr">
        <is>
          <t>QA-028</t>
        </is>
      </c>
      <c r="B2026" s="73" t="n">
        <v>23</v>
      </c>
      <c r="C2026" s="73" t="inlineStr">
        <is>
          <t>the master Excel-workbook edit were not part of this local release decision.</t>
        </is>
      </c>
    </row>
    <row r="2027" ht="30" customHeight="1" s="78">
      <c r="A2027" s="73" t="inlineStr">
        <is>
          <t>QA-028</t>
        </is>
      </c>
      <c r="B2027" s="73" t="n">
        <v>24</v>
      </c>
      <c r="C2027" s="73" t="n"/>
    </row>
    <row r="2028" ht="30" customHeight="1" s="78">
      <c r="A2028" s="73" t="inlineStr">
        <is>
          <t>QA-028</t>
        </is>
      </c>
      <c r="B2028" s="73" t="n">
        <v>25</v>
      </c>
      <c r="C2028" s="73" t="inlineStr">
        <is>
          <t>## Assignment answer matrix</t>
        </is>
      </c>
    </row>
    <row r="2029" ht="30" customHeight="1" s="78">
      <c r="A2029" s="73" t="inlineStr">
        <is>
          <t>QA-028</t>
        </is>
      </c>
      <c r="B2029" s="73" t="n">
        <v>26</v>
      </c>
      <c r="C2029" s="73" t="n"/>
    </row>
    <row r="2030" ht="30" customHeight="1" s="78">
      <c r="A2030" s="73" t="inlineStr">
        <is>
          <t>QA-028</t>
        </is>
      </c>
      <c r="B2030" s="73" t="n">
        <v>27</v>
      </c>
      <c r="C2030" s="73" t="inlineStr">
        <is>
          <t>Each maintained instructor answer was submitted through the running authenticated</t>
        </is>
      </c>
    </row>
    <row r="2031" ht="30" customHeight="1" s="78">
      <c r="A2031" s="73" t="inlineStr">
        <is>
          <t>QA-028</t>
        </is>
      </c>
      <c r="B2031" s="73" t="n">
        <v>28</v>
      </c>
      <c r="C2031" s="73" t="inlineStr">
        <is>
          <t>API. Each starter program was then submitted as a deliberately wrong answer.</t>
        </is>
      </c>
    </row>
    <row r="2032" ht="30" customHeight="1" s="78">
      <c r="A2032" s="73" t="inlineStr">
        <is>
          <t>QA-028</t>
        </is>
      </c>
      <c r="B2032" s="73" t="n">
        <v>29</v>
      </c>
      <c r="C2032" s="73" t="inlineStr">
        <is>
          <t>Assignments 5 and 6 used the real ROS 2 Jazzy Docker grader.</t>
        </is>
      </c>
    </row>
    <row r="2033" ht="30" customHeight="1" s="78">
      <c r="A2033" s="73" t="inlineStr">
        <is>
          <t>QA-028</t>
        </is>
      </c>
      <c r="B2033" s="73" t="n">
        <v>30</v>
      </c>
      <c r="C2033" s="73" t="n"/>
    </row>
    <row r="2034" ht="30" customHeight="1" s="78">
      <c r="A2034" s="73" t="inlineStr">
        <is>
          <t>QA-028</t>
        </is>
      </c>
      <c r="B2034" s="73" t="n">
        <v>31</v>
      </c>
      <c r="C2034" s="73" t="inlineStr">
        <is>
          <t>| Assignment | Version | Correct answer | Wrong answer | Result |</t>
        </is>
      </c>
    </row>
    <row r="2035" ht="30" customHeight="1" s="78">
      <c r="A2035" s="73" t="inlineStr">
        <is>
          <t>QA-028</t>
        </is>
      </c>
      <c r="B2035" s="73" t="n">
        <v>32</v>
      </c>
      <c r="C2035" s="73" t="inlineStr">
        <is>
          <t>| --- | ---: | --- | --- | --- |</t>
        </is>
      </c>
    </row>
    <row r="2036" ht="30" customHeight="1" s="78">
      <c r="A2036" s="73" t="inlineStr">
        <is>
          <t>QA-028</t>
        </is>
      </c>
      <c r="B2036" s="73" t="n">
        <v>33</v>
      </c>
      <c r="C2036" s="73" t="inlineStr">
        <is>
          <t>| 1, Bug2 m-line route | 5 | 100%, 4/4 checks | 0%, 0/4 checks | PASS |</t>
        </is>
      </c>
    </row>
    <row r="2037" ht="30" customHeight="1" s="78">
      <c r="A2037" s="73" t="inlineStr">
        <is>
          <t>QA-028</t>
        </is>
      </c>
      <c r="B2037" s="73" t="n">
        <v>34</v>
      </c>
      <c r="C2037" s="73" t="inlineStr">
        <is>
          <t>| 2, Bug2 rectangular detour | 4 | 100%, 4/4 checks | 0%, 0/4 checks | PASS |</t>
        </is>
      </c>
    </row>
    <row r="2038" ht="30" customHeight="1" s="78">
      <c r="A2038" s="73" t="inlineStr">
        <is>
          <t>QA-028</t>
        </is>
      </c>
      <c r="B2038" s="73" t="n">
        <v>35</v>
      </c>
      <c r="C2038" s="73" t="inlineStr">
        <is>
          <t>| 3, multi-floor route | 5 | 100%, 8/8 checks | 0%, 0/8 checks | PASS |</t>
        </is>
      </c>
    </row>
    <row r="2039" ht="30" customHeight="1" s="78">
      <c r="A2039" s="73" t="inlineStr">
        <is>
          <t>QA-028</t>
        </is>
      </c>
      <c r="B2039" s="73" t="n">
        <v>36</v>
      </c>
      <c r="C2039" s="73" t="inlineStr">
        <is>
          <t>| 4, VFH safe sector | 4 | 100%, 2/2 checks | 0%, 0/2 checks | PASS |</t>
        </is>
      </c>
    </row>
    <row r="2040" ht="30" customHeight="1" s="78">
      <c r="A2040" s="73" t="inlineStr">
        <is>
          <t>QA-028</t>
        </is>
      </c>
      <c r="B2040" s="73" t="n">
        <v>37</v>
      </c>
      <c r="C2040" s="73" t="inlineStr">
        <is>
          <t>| 5, ROS 2 drive and stop | 1 | 100%, 7/7 checks | 20%, 2/7 checks | PASS |</t>
        </is>
      </c>
    </row>
    <row r="2041" ht="30" customHeight="1" s="78">
      <c r="A2041" s="73" t="inlineStr">
        <is>
          <t>QA-028</t>
        </is>
      </c>
      <c r="B2041" s="73" t="n">
        <v>38</v>
      </c>
      <c r="C2041" s="73" t="inlineStr">
        <is>
          <t>| 6, ROS 2 obstacle stop | 1 | 100%, 9/9 checks | 10%, 1/9 checks | PASS |</t>
        </is>
      </c>
    </row>
    <row r="2042" ht="30" customHeight="1" s="78">
      <c r="A2042" s="73" t="inlineStr">
        <is>
          <t>QA-028</t>
        </is>
      </c>
      <c r="B2042" s="73" t="n">
        <v>39</v>
      </c>
      <c r="C2042" s="73" t="n"/>
    </row>
    <row r="2043" ht="30" customHeight="1" s="78">
      <c r="A2043" s="73" t="inlineStr">
        <is>
          <t>QA-028</t>
        </is>
      </c>
      <c r="B2043" s="73" t="n">
        <v>40</v>
      </c>
      <c r="C2043" s="73" t="inlineStr">
        <is>
          <t>All responses used structured status/score evidence and were scanned for hidden</t>
        </is>
      </c>
    </row>
    <row r="2044" ht="30" customHeight="1" s="78">
      <c r="A2044" s="73" t="inlineStr">
        <is>
          <t>QA-028</t>
        </is>
      </c>
      <c r="B2044" s="73" t="n">
        <v>41</v>
      </c>
      <c r="C2044" s="73" t="inlineStr">
        <is>
          <t>test, reference-solution, and private grader-field leakage. No leak was found.</t>
        </is>
      </c>
    </row>
    <row r="2045" ht="30" customHeight="1" s="78">
      <c r="A2045" s="73" t="inlineStr">
        <is>
          <t>QA-028</t>
        </is>
      </c>
      <c r="B2045" s="73" t="n">
        <v>42</v>
      </c>
      <c r="C2045" s="73" t="n"/>
    </row>
    <row r="2046" ht="30" customHeight="1" s="78">
      <c r="A2046" s="73" t="inlineStr">
        <is>
          <t>QA-028</t>
        </is>
      </c>
      <c r="B2046" s="73" t="n">
        <v>43</v>
      </c>
      <c r="C2046" s="73" t="inlineStr">
        <is>
          <t>## Hostile and invalid submission matrix</t>
        </is>
      </c>
    </row>
    <row r="2047" ht="30" customHeight="1" s="78">
      <c r="A2047" s="73" t="inlineStr">
        <is>
          <t>QA-028</t>
        </is>
      </c>
      <c r="B2047" s="73" t="n">
        <v>44</v>
      </c>
      <c r="C2047" s="73" t="n"/>
    </row>
    <row r="2048" ht="30" customHeight="1" s="78">
      <c r="A2048" s="73" t="inlineStr">
        <is>
          <t>QA-028</t>
        </is>
      </c>
      <c r="B2048" s="73" t="n">
        <v>45</v>
      </c>
      <c r="C2048" s="73" t="inlineStr">
        <is>
          <t>| Case | Expected controlled outcome | Actual outcome | Result |</t>
        </is>
      </c>
    </row>
    <row r="2049" ht="30" customHeight="1" s="78">
      <c r="A2049" s="73" t="inlineStr">
        <is>
          <t>QA-028</t>
        </is>
      </c>
      <c r="B2049" s="73" t="n">
        <v>46</v>
      </c>
      <c r="C2049" s="73" t="inlineStr">
        <is>
          <t>| --- | --- | --- | --- |</t>
        </is>
      </c>
    </row>
    <row r="2050" ht="30" customHeight="1" s="78">
      <c r="A2050" s="73" t="inlineStr">
        <is>
          <t>QA-028</t>
        </is>
      </c>
      <c r="B2050" s="73" t="n">
        <v>47</v>
      </c>
      <c r="C2050" s="73" t="inlineStr">
        <is>
          <t>| Syntax error | Safe syntax status | HTTP 200, `syntax_error` | PASS |</t>
        </is>
      </c>
    </row>
    <row r="2051" ht="30" customHeight="1" s="78">
      <c r="A2051" s="73" t="inlineStr">
        <is>
          <t>QA-028</t>
        </is>
      </c>
      <c r="B2051" s="73" t="n">
        <v>48</v>
      </c>
      <c r="C2051" s="73" t="inlineStr">
        <is>
          <t>| Runtime exception | Safe runtime status | HTTP 200, `runtime_error` | PASS |</t>
        </is>
      </c>
    </row>
    <row r="2052" ht="30" customHeight="1" s="78">
      <c r="A2052" s="73" t="inlineStr">
        <is>
          <t>QA-028</t>
        </is>
      </c>
      <c r="B2052" s="73" t="n">
        <v>49</v>
      </c>
      <c r="C2052" s="73" t="inlineStr">
        <is>
          <t>| Infinite loop | Bounded timeout | HTTP 200, `timeout` | PASS |</t>
        </is>
      </c>
    </row>
    <row r="2053" ht="30" customHeight="1" s="78">
      <c r="A2053" s="73" t="inlineStr">
        <is>
          <t>QA-028</t>
        </is>
      </c>
      <c r="B2053" s="73" t="n">
        <v>50</v>
      </c>
      <c r="C2053" s="73" t="inlineStr">
        <is>
          <t>| Unsafe import | Rejected before unsafe execution | HTTP 200, `rejected` | PASS |</t>
        </is>
      </c>
    </row>
    <row r="2054" ht="30" customHeight="1" s="78">
      <c r="A2054" s="73" t="inlineStr">
        <is>
          <t>QA-028</t>
        </is>
      </c>
      <c r="B2054" s="73" t="n">
        <v>51</v>
      </c>
      <c r="C2054" s="73" t="inlineStr">
        <is>
          <t>| Excessive output | Bounded, non-passing result | HTTP 200, non-passing `completed` result | PASS |</t>
        </is>
      </c>
    </row>
    <row r="2055" ht="30" customHeight="1" s="78">
      <c r="A2055" s="73" t="inlineStr">
        <is>
          <t>QA-028</t>
        </is>
      </c>
      <c r="B2055" s="73" t="n">
        <v>52</v>
      </c>
      <c r="C2055" s="73" t="inlineStr">
        <is>
          <t>| Oversized submission | Request rejected | HTTP 413 | PASS |</t>
        </is>
      </c>
    </row>
    <row r="2056" ht="30" customHeight="1" s="78">
      <c r="A2056" s="73" t="inlineStr">
        <is>
          <t>QA-028</t>
        </is>
      </c>
      <c r="B2056" s="73" t="n">
        <v>53</v>
      </c>
      <c r="C2056" s="73" t="inlineStr">
        <is>
          <t>| Missing code | Request rejected | HTTP 400 | PASS |</t>
        </is>
      </c>
    </row>
    <row r="2057" ht="30" customHeight="1" s="78">
      <c r="A2057" s="73" t="inlineStr">
        <is>
          <t>QA-028</t>
        </is>
      </c>
      <c r="B2057" s="73" t="n">
        <v>54</v>
      </c>
      <c r="C2057" s="73" t="inlineStr">
        <is>
          <t>| Unknown assignment | Not found | HTTP 404 | PASS |</t>
        </is>
      </c>
    </row>
    <row r="2058" ht="30" customHeight="1" s="78">
      <c r="A2058" s="73" t="inlineStr">
        <is>
          <t>QA-028</t>
        </is>
      </c>
      <c r="B2058" s="73" t="n">
        <v>55</v>
      </c>
      <c r="C2058" s="73" t="n"/>
    </row>
    <row r="2059" ht="30" customHeight="1" s="78">
      <c r="A2059" s="73" t="inlineStr">
        <is>
          <t>QA-028</t>
        </is>
      </c>
      <c r="B2059" s="73" t="n">
        <v>56</v>
      </c>
      <c r="C2059" s="73" t="inlineStr">
        <is>
          <t>Client responses were checked for stack traces, local filesystem paths, hidden</t>
        </is>
      </c>
    </row>
    <row r="2060" ht="30" customHeight="1" s="78">
      <c r="A2060" s="73" t="inlineStr">
        <is>
          <t>QA-028</t>
        </is>
      </c>
      <c r="B2060" s="73" t="n">
        <v>57</v>
      </c>
      <c r="C2060" s="73" t="inlineStr">
        <is>
          <t>test labels, grader configuration, and reference-solution paths. None appeared.</t>
        </is>
      </c>
    </row>
    <row r="2061" ht="30" customHeight="1" s="78">
      <c r="A2061" s="73" t="inlineStr">
        <is>
          <t>QA-028</t>
        </is>
      </c>
      <c r="B2061" s="73" t="n">
        <v>58</v>
      </c>
      <c r="C2061" s="73" t="n"/>
    </row>
    <row r="2062" ht="30" customHeight="1" s="78">
      <c r="A2062" s="73" t="inlineStr">
        <is>
          <t>QA-028</t>
        </is>
      </c>
      <c r="B2062" s="73" t="n">
        <v>59</v>
      </c>
      <c r="C2062" s="73" t="inlineStr">
        <is>
          <t>## Student, instructor, demo, and research checks</t>
        </is>
      </c>
    </row>
    <row r="2063" ht="30" customHeight="1" s="78">
      <c r="A2063" s="73" t="inlineStr">
        <is>
          <t>QA-028</t>
        </is>
      </c>
      <c r="B2063" s="73" t="n">
        <v>60</v>
      </c>
      <c r="C2063" s="73" t="n"/>
    </row>
    <row r="2064" ht="30" customHeight="1" s="78">
      <c r="A2064" s="73" t="inlineStr">
        <is>
          <t>QA-028</t>
        </is>
      </c>
      <c r="B2064" s="73" t="n">
        <v>61</v>
      </c>
      <c r="C2064" s="73" t="inlineStr">
        <is>
          <t>| Requirement | Evidence | Result |</t>
        </is>
      </c>
    </row>
    <row r="2065" ht="30" customHeight="1" s="78">
      <c r="A2065" s="73" t="inlineStr">
        <is>
          <t>QA-028</t>
        </is>
      </c>
      <c r="B2065" s="73" t="n">
        <v>62</v>
      </c>
      <c r="C2065" s="73" t="inlineStr">
        <is>
          <t>| --- | --- | --- |</t>
        </is>
      </c>
    </row>
    <row r="2066" ht="30" customHeight="1" s="78">
      <c r="A2066" s="73" t="inlineStr">
        <is>
          <t>QA-028</t>
        </is>
      </c>
      <c r="B2066" s="73" t="n">
        <v>63</v>
      </c>
      <c r="C2066" s="73" t="inlineStr">
        <is>
          <t>| Student authentication and session restore | `/auth/login` and `/auth/me` returned the student role | PASS |</t>
        </is>
      </c>
    </row>
    <row r="2067" ht="30" customHeight="1" s="78">
      <c r="A2067" s="73" t="inlineStr">
        <is>
          <t>QA-028</t>
        </is>
      </c>
      <c r="B2067" s="73" t="n">
        <v>64</v>
      </c>
      <c r="C2067" s="73" t="inlineStr">
        <is>
          <t>| Instructor authentication and session restore | `/auth/login` and `/auth/me` returned the instructor role | PASS |</t>
        </is>
      </c>
    </row>
    <row r="2068" ht="30" customHeight="1" s="78">
      <c r="A2068" s="73" t="inlineStr">
        <is>
          <t>QA-028</t>
        </is>
      </c>
      <c r="B2068" s="73" t="n">
        <v>65</v>
      </c>
      <c r="C2068" s="73" t="inlineStr">
        <is>
          <t>| Invalid login | Invalid account returned HTTP 401 | PASS |</t>
        </is>
      </c>
    </row>
    <row r="2069" ht="30" customHeight="1" s="78">
      <c r="A2069" s="73" t="inlineStr">
        <is>
          <t>QA-028</t>
        </is>
      </c>
      <c r="B2069" s="73" t="n">
        <v>66</v>
      </c>
      <c r="C2069" s="73" t="inlineStr">
        <is>
          <t>| Role authorization | Student and demo tokens returned HTTP 403 for instructor routes | PASS |</t>
        </is>
      </c>
    </row>
    <row r="2070" ht="30" customHeight="1" s="78">
      <c r="A2070" s="73" t="inlineStr">
        <is>
          <t>QA-028</t>
        </is>
      </c>
      <c r="B2070" s="73" t="n">
        <v>67</v>
      </c>
      <c r="C2070" s="73" t="inlineStr">
        <is>
          <t>| Instructor access | Assignment, student, and research endpoints returned HTTP 200 | PASS |</t>
        </is>
      </c>
    </row>
    <row r="2071" ht="30" customHeight="1" s="78">
      <c r="A2071" s="73" t="inlineStr">
        <is>
          <t>QA-028</t>
        </is>
      </c>
      <c r="B2071" s="73" t="n">
        <v>68</v>
      </c>
      <c r="C2071" s="73" t="inlineStr">
        <is>
          <t>| Logout revocation | Logout returned 200; reused token returned 401 | PASS |</t>
        </is>
      </c>
    </row>
    <row r="2072" ht="30" customHeight="1" s="78">
      <c r="A2072" s="73" t="inlineStr">
        <is>
          <t>QA-028</t>
        </is>
      </c>
      <c r="B2072" s="73" t="n">
        <v>69</v>
      </c>
      <c r="C2072" s="73" t="inlineStr">
        <is>
          <t>| Deferred password/email features | Local default returned HTTP 404 | PASS |</t>
        </is>
      </c>
    </row>
    <row r="2073" ht="30" customHeight="1" s="78">
      <c r="A2073" s="73" t="inlineStr">
        <is>
          <t>QA-028</t>
        </is>
      </c>
      <c r="B2073" s="73" t="n">
        <v>70</v>
      </c>
      <c r="C2073" s="73" t="inlineStr">
        <is>
          <t>| Instructor assignment validation | Assignments 1-6 returned `valid=true` with zero errors | PASS |</t>
        </is>
      </c>
    </row>
    <row r="2074" ht="30" customHeight="1" s="78">
      <c r="A2074" s="73" t="inlineStr">
        <is>
          <t>QA-028</t>
        </is>
      </c>
      <c r="B2074" s="73" t="n">
        <v>71</v>
      </c>
      <c r="C2074" s="73" t="inlineStr">
        <is>
          <t>| Demo learning tools | Demo submission, hint, and tutor question returned HTTP 200 | PASS |</t>
        </is>
      </c>
    </row>
    <row r="2075" ht="30" customHeight="1" s="78">
      <c r="A2075" s="73" t="inlineStr">
        <is>
          <t>QA-028</t>
        </is>
      </c>
      <c r="B2075" s="73" t="n">
        <v>72</v>
      </c>
      <c r="C2075" s="73" t="inlineStr">
        <is>
          <t>| Demo restrictions | Research persistence returned 409; admin access returned 403 | PASS |</t>
        </is>
      </c>
    </row>
    <row r="2076" ht="30" customHeight="1" s="78">
      <c r="A2076" s="73" t="inlineStr">
        <is>
          <t>QA-028</t>
        </is>
      </c>
      <c r="B2076" s="73" t="n">
        <v>73</v>
      </c>
      <c r="C2076" s="73" t="inlineStr">
        <is>
          <t>| Demo memory-only behavior | Submission, auth-session, audit, study-session, and learning-event database counts were unchanged | PASS |</t>
        </is>
      </c>
    </row>
    <row r="2077" ht="30" customHeight="1" s="78">
      <c r="A2077" s="73" t="inlineStr">
        <is>
          <t>QA-028</t>
        </is>
      </c>
      <c r="B2077" s="73" t="n">
        <v>74</v>
      </c>
      <c r="C2077" s="73" t="inlineStr">
        <is>
          <t>| AI disabled fallback | Requested tutor help returned built-in `fallback`, progressive debugging steps, and no solution | PASS |</t>
        </is>
      </c>
    </row>
    <row r="2078" ht="30" customHeight="1" s="78">
      <c r="A2078" s="73" t="inlineStr">
        <is>
          <t>QA-028</t>
        </is>
      </c>
      <c r="B2078" s="73" t="n">
        <v>75</v>
      </c>
      <c r="C2078" s="73" t="inlineStr">
        <is>
          <t>| Research CSV privacy | Three CSV datasets returned 200 and excluded passwords, login IDs, source code, secrets, and grader fields | PASS |</t>
        </is>
      </c>
    </row>
    <row r="2079" ht="30" customHeight="1" s="78">
      <c r="A2079" s="73" t="inlineStr">
        <is>
          <t>QA-028</t>
        </is>
      </c>
      <c r="B2079" s="73" t="n">
        <v>76</v>
      </c>
      <c r="C2079" s="73" t="inlineStr">
        <is>
          <t>| Research Excel export | Combined XLSX returned 200, valid ZIP signature, and 14,487 bytes | PASS |</t>
        </is>
      </c>
    </row>
    <row r="2080" ht="30" customHeight="1" s="78">
      <c r="A2080" s="73" t="inlineStr">
        <is>
          <t>QA-028</t>
        </is>
      </c>
      <c r="B2080" s="73" t="n">
        <v>77</v>
      </c>
      <c r="C2080" s="73" t="n"/>
    </row>
    <row r="2081" ht="30" customHeight="1" s="78">
      <c r="A2081" s="73" t="inlineStr">
        <is>
          <t>QA-028</t>
        </is>
      </c>
      <c r="B2081" s="73" t="n">
        <v>78</v>
      </c>
      <c r="C2081" s="73" t="inlineStr">
        <is>
          <t>## Manual browser QA</t>
        </is>
      </c>
    </row>
    <row r="2082" ht="30" customHeight="1" s="78">
      <c r="A2082" s="73" t="inlineStr">
        <is>
          <t>QA-028</t>
        </is>
      </c>
      <c r="B2082" s="73" t="n">
        <v>79</v>
      </c>
      <c r="C2082" s="73" t="n"/>
    </row>
    <row r="2083" ht="30" customHeight="1" s="78">
      <c r="A2083" s="73" t="inlineStr">
        <is>
          <t>QA-028</t>
        </is>
      </c>
      <c r="B2083" s="73" t="n">
        <v>80</v>
      </c>
      <c r="C2083" s="73" t="inlineStr">
        <is>
          <t>| Flow | Evidence | Result |</t>
        </is>
      </c>
    </row>
    <row r="2084" ht="30" customHeight="1" s="78">
      <c r="A2084" s="73" t="inlineStr">
        <is>
          <t>QA-028</t>
        </is>
      </c>
      <c r="B2084" s="73" t="n">
        <v>81</v>
      </c>
      <c r="C2084" s="73" t="inlineStr">
        <is>
          <t>| --- | --- | --- |</t>
        </is>
      </c>
    </row>
    <row r="2085" ht="30" customHeight="1" s="78">
      <c r="A2085" s="73" t="inlineStr">
        <is>
          <t>QA-028</t>
        </is>
      </c>
      <c r="B2085" s="73" t="n">
        <v>82</v>
      </c>
      <c r="C2085" s="73" t="inlineStr">
        <is>
          <t>| Clean login | Login ID, password, sign-in, and temporary-demo controls rendered; credentials were not displayed | PASS |</t>
        </is>
      </c>
    </row>
    <row r="2086" ht="30" customHeight="1" s="78">
      <c r="A2086" s="73" t="inlineStr">
        <is>
          <t>QA-028</t>
        </is>
      </c>
      <c r="B2086" s="73" t="n">
        <v>83</v>
      </c>
      <c r="C2086" s="73" t="inlineStr">
        <is>
          <t>| Demo entry and reset | Demo opened without credentials; browser refresh returned to login and reset work | PASS |</t>
        </is>
      </c>
    </row>
    <row r="2087" ht="30" customHeight="1" s="78">
      <c r="A2087" s="73" t="inlineStr">
        <is>
          <t>QA-028</t>
        </is>
      </c>
      <c r="B2087" s="73" t="n">
        <v>84</v>
      </c>
      <c r="C2087" s="73" t="inlineStr">
        <is>
          <t>| Catalog | All six assignment cards rendered with correct titles and states | PASS |</t>
        </is>
      </c>
    </row>
    <row r="2088" ht="30" customHeight="1" s="78">
      <c r="A2088" s="73" t="inlineStr">
        <is>
          <t>QA-028</t>
        </is>
      </c>
      <c r="B2088" s="73" t="n">
        <v>85</v>
      </c>
      <c r="C2088" s="73" t="inlineStr">
        <is>
          <t>| Python workspace | Assignment 1 instructions/editor/results rendered; starter run completed at 0% without hanging | PASS |</t>
        </is>
      </c>
    </row>
    <row r="2089" ht="30" customHeight="1" s="78">
      <c r="A2089" s="73" t="inlineStr">
        <is>
          <t>QA-028</t>
        </is>
      </c>
      <c r="B2089" s="73" t="n">
        <v>86</v>
      </c>
      <c r="C2089" s="73" t="inlineStr">
        <is>
          <t>| ROS workspace | Assignment 5 file tree showed only `controller.py` editable; other project files were locked | PASS |</t>
        </is>
      </c>
    </row>
    <row r="2090" ht="30" customHeight="1" s="78">
      <c r="A2090" s="73" t="inlineStr">
        <is>
          <t>QA-028</t>
        </is>
      </c>
      <c r="B2090" s="73" t="n">
        <v>87</v>
      </c>
      <c r="C2090" s="73" t="inlineStr">
        <is>
          <t>| Long ROS run | Starter run completed at 29%, 2/7 checks, with observed-topic evidence | PASS |</t>
        </is>
      </c>
    </row>
    <row r="2091" ht="30" customHeight="1" s="78">
      <c r="A2091" s="73" t="inlineStr">
        <is>
          <t>QA-028</t>
        </is>
      </c>
      <c r="B2091" s="73" t="n">
        <v>88</v>
      </c>
      <c r="C2091" s="73" t="inlineStr">
        <is>
          <t>| Responsive layout | Login and catalog rendered at 390 x 844 with readable single-column cards and no visible horizontal overflow | PASS |</t>
        </is>
      </c>
    </row>
    <row r="2092" ht="30" customHeight="1" s="78">
      <c r="A2092" s="73" t="inlineStr">
        <is>
          <t>QA-028</t>
        </is>
      </c>
      <c r="B2092" s="73" t="n">
        <v>89</v>
      </c>
      <c r="C2092" s="73" t="inlineStr">
        <is>
          <t>| Keyboard/accessibility regression | Flutter tests covered Ctrl+Enter, semantic roles, responsive results, and navigation | PASS |</t>
        </is>
      </c>
    </row>
    <row r="2093" ht="30" customHeight="1" s="78">
      <c r="A2093" s="73" t="inlineStr">
        <is>
          <t>QA-028</t>
        </is>
      </c>
      <c r="B2093" s="73" t="n">
        <v>90</v>
      </c>
      <c r="C2093" s="73" t="inlineStr">
        <is>
          <t>| Browser console | No application errors; only the known Flutter debug-mode DWDS warning appeared | PASS |</t>
        </is>
      </c>
    </row>
    <row r="2094" ht="30" customHeight="1" s="78">
      <c r="A2094" s="73" t="inlineStr">
        <is>
          <t>QA-028</t>
        </is>
      </c>
      <c r="B2094" s="73" t="n">
        <v>91</v>
      </c>
      <c r="C2094" s="73" t="n"/>
    </row>
    <row r="2095" ht="30" customHeight="1" s="78">
      <c r="A2095" s="73" t="inlineStr">
        <is>
          <t>QA-028</t>
        </is>
      </c>
      <c r="B2095" s="73" t="n">
        <v>92</v>
      </c>
      <c r="C2095" s="73" t="inlineStr">
        <is>
          <t>## Automated and infrastructure gates</t>
        </is>
      </c>
    </row>
    <row r="2096" ht="30" customHeight="1" s="78">
      <c r="A2096" s="73" t="inlineStr">
        <is>
          <t>QA-028</t>
        </is>
      </c>
      <c r="B2096" s="73" t="n">
        <v>93</v>
      </c>
      <c r="C2096" s="73" t="n"/>
    </row>
    <row r="2097" ht="30" customHeight="1" s="78">
      <c r="A2097" s="73" t="inlineStr">
        <is>
          <t>QA-028</t>
        </is>
      </c>
      <c r="B2097" s="73" t="n">
        <v>94</v>
      </c>
      <c r="C2097" s="73" t="inlineStr">
        <is>
          <t>| Gate | Result |</t>
        </is>
      </c>
    </row>
    <row r="2098" ht="30" customHeight="1" s="78">
      <c r="A2098" s="73" t="inlineStr">
        <is>
          <t>QA-028</t>
        </is>
      </c>
      <c r="B2098" s="73" t="n">
        <v>95</v>
      </c>
      <c r="C2098" s="73" t="inlineStr">
        <is>
          <t>| --- | --- |</t>
        </is>
      </c>
    </row>
    <row r="2099" ht="30" customHeight="1" s="78">
      <c r="A2099" s="73" t="inlineStr">
        <is>
          <t>QA-028</t>
        </is>
      </c>
      <c r="B2099" s="73" t="n">
        <v>96</v>
      </c>
      <c r="C2099" s="73" t="inlineStr">
        <is>
          <t>| Backend regression | PASS, 171 tests |</t>
        </is>
      </c>
    </row>
    <row r="2100" ht="30" customHeight="1" s="78">
      <c r="A2100" s="73" t="inlineStr">
        <is>
          <t>QA-028</t>
        </is>
      </c>
      <c r="B2100" s="73" t="n">
        <v>97</v>
      </c>
      <c r="C2100" s="73" t="inlineStr">
        <is>
          <t>| Python dependency integrity | PASS, `pip check` found no broken requirements |</t>
        </is>
      </c>
    </row>
    <row r="2101" ht="30" customHeight="1" s="78">
      <c r="A2101" s="73" t="inlineStr">
        <is>
          <t>QA-028</t>
        </is>
      </c>
      <c r="B2101" s="73" t="n">
        <v>98</v>
      </c>
      <c r="C2101" s="73" t="inlineStr">
        <is>
          <t>| Python compilation | PASS |</t>
        </is>
      </c>
    </row>
    <row r="2102" ht="30" customHeight="1" s="78">
      <c r="A2102" s="73" t="inlineStr">
        <is>
          <t>QA-028</t>
        </is>
      </c>
      <c r="B2102" s="73" t="n">
        <v>99</v>
      </c>
      <c r="C2102" s="73" t="inlineStr">
        <is>
          <t>| Flutter analysis | PASS, no issues |</t>
        </is>
      </c>
    </row>
    <row r="2103" ht="30" customHeight="1" s="78">
      <c r="A2103" s="73" t="inlineStr">
        <is>
          <t>QA-028</t>
        </is>
      </c>
      <c r="B2103" s="73" t="n">
        <v>100</v>
      </c>
      <c r="C2103" s="73" t="inlineStr">
        <is>
          <t>| Flutter widget/state tests | PASS, 48 tests |</t>
        </is>
      </c>
    </row>
    <row r="2104" ht="30" customHeight="1" s="78">
      <c r="A2104" s="73" t="inlineStr">
        <is>
          <t>QA-028</t>
        </is>
      </c>
      <c r="B2104" s="73" t="n">
        <v>101</v>
      </c>
      <c r="C2104" s="73" t="inlineStr">
        <is>
          <t>| Flutter web release build | PASS |</t>
        </is>
      </c>
    </row>
    <row r="2105" ht="30" customHeight="1" s="78">
      <c r="A2105" s="73" t="inlineStr">
        <is>
          <t>QA-028</t>
        </is>
      </c>
      <c r="B2105" s="73" t="n">
        <v>102</v>
      </c>
      <c r="C2105" s="73" t="inlineStr">
        <is>
          <t>| Managed backend and sandbox health | PASS |</t>
        </is>
      </c>
    </row>
    <row r="2106" ht="30" customHeight="1" s="78">
      <c r="A2106" s="73" t="inlineStr">
        <is>
          <t>QA-028</t>
        </is>
      </c>
      <c r="B2106" s="73" t="n">
        <v>103</v>
      </c>
      <c r="C2106" s="73" t="inlineStr">
        <is>
          <t>| SQLite student-attempt restart persistence | PASS, 75 submissions before and after restart |</t>
        </is>
      </c>
    </row>
    <row r="2107" ht="30" customHeight="1" s="78">
      <c r="A2107" s="73" t="inlineStr">
        <is>
          <t>QA-028</t>
        </is>
      </c>
      <c r="B2107" s="73" t="n">
        <v>104</v>
      </c>
      <c r="C2107" s="73" t="inlineStr">
        <is>
          <t>| Instructor analytics after restart | PASS, HTTP 200 |</t>
        </is>
      </c>
    </row>
    <row r="2108" ht="30" customHeight="1" s="78">
      <c r="A2108" s="73" t="inlineStr">
        <is>
          <t>QA-028</t>
        </is>
      </c>
      <c r="B2108" s="73" t="n">
        <v>105</v>
      </c>
      <c r="C2108" s="73" t="inlineStr">
        <is>
          <t>| ROS 2 grader image build | PASS |</t>
        </is>
      </c>
    </row>
    <row r="2109" ht="30" customHeight="1" s="78">
      <c r="A2109" s="73" t="inlineStr">
        <is>
          <t>QA-028</t>
        </is>
      </c>
      <c r="B2109" s="73" t="n">
        <v>106</v>
      </c>
      <c r="C2109" s="73" t="inlineStr">
        <is>
          <t>| Assignment 5 real ROS behavior | PASS, 7/7; 78 Twist messages at approximately 10.0 Hz |</t>
        </is>
      </c>
    </row>
    <row r="2110" ht="30" customHeight="1" s="78">
      <c r="A2110" s="73" t="inlineStr">
        <is>
          <t>QA-028</t>
        </is>
      </c>
      <c r="B2110" s="73" t="n">
        <v>107</v>
      </c>
      <c r="C2110" s="73" t="inlineStr">
        <is>
          <t>| Assignment 6 real ROS behavior | PASS, 9/9; 44 settled Twist messages at approximately 9.2 Hz |</t>
        </is>
      </c>
    </row>
    <row r="2111" ht="30" customHeight="1" s="78">
      <c r="A2111" s="73" t="inlineStr">
        <is>
          <t>QA-028</t>
        </is>
      </c>
      <c r="B2111" s="73" t="n">
        <v>108</v>
      </c>
      <c r="C2111" s="73" t="inlineStr">
        <is>
          <t>| Dedicated sandbox-service image | PASS, Python 3.14.7 |</t>
        </is>
      </c>
    </row>
    <row r="2112" ht="30" customHeight="1" s="78">
      <c r="A2112" s="73" t="inlineStr">
        <is>
          <t>QA-028</t>
        </is>
      </c>
      <c r="B2112" s="73" t="n">
        <v>109</v>
      </c>
      <c r="C2112" s="73" t="inlineStr">
        <is>
          <t>| Sandbox service authentication | PASS, unauthorized 401 and authorized execution 200 |</t>
        </is>
      </c>
    </row>
    <row r="2113" ht="30" customHeight="1" s="78">
      <c r="A2113" s="73" t="inlineStr">
        <is>
          <t>QA-028</t>
        </is>
      </c>
      <c r="B2113" s="73" t="n">
        <v>110</v>
      </c>
      <c r="C2113" s="73" t="inlineStr">
        <is>
          <t>| Backend Docker image | PASS, Python 3.14.7 and pinned runtime imports |</t>
        </is>
      </c>
    </row>
    <row r="2114" ht="30" customHeight="1" s="78">
      <c r="A2114" s="73" t="inlineStr">
        <is>
          <t>QA-028</t>
        </is>
      </c>
      <c r="B2114" s="73" t="n">
        <v>111</v>
      </c>
      <c r="C2114" s="73" t="inlineStr">
        <is>
          <t>| Fresh PostgreSQL migration | PASS, PostgreSQL 17 through Alembic head `0003_standardize_existing_data` |</t>
        </is>
      </c>
    </row>
    <row r="2115" ht="30" customHeight="1" s="78">
      <c r="A2115" s="73" t="inlineStr">
        <is>
          <t>QA-028</t>
        </is>
      </c>
      <c r="B2115" s="73" t="n">
        <v>112</v>
      </c>
      <c r="C2115" s="73" t="inlineStr">
        <is>
          <t>| Repository whitespace and generated-file safety | PASS |</t>
        </is>
      </c>
    </row>
    <row r="2116" ht="30" customHeight="1" s="78">
      <c r="A2116" s="73" t="inlineStr">
        <is>
          <t>QA-028</t>
        </is>
      </c>
      <c r="B2116" s="73" t="n">
        <v>113</v>
      </c>
      <c r="C2116" s="73" t="n"/>
    </row>
    <row r="2117" ht="30" customHeight="1" s="78">
      <c r="A2117" s="73" t="inlineStr">
        <is>
          <t>QA-028</t>
        </is>
      </c>
      <c r="B2117" s="73" t="n">
        <v>114</v>
      </c>
      <c r="C2117" s="73" t="inlineStr">
        <is>
          <t>## QA harness corrections</t>
        </is>
      </c>
    </row>
    <row r="2118" ht="30" customHeight="1" s="78">
      <c r="A2118" s="73" t="inlineStr">
        <is>
          <t>QA-028</t>
        </is>
      </c>
      <c r="B2118" s="73" t="n">
        <v>115</v>
      </c>
      <c r="C2118" s="73" t="n"/>
    </row>
    <row r="2119" ht="30" customHeight="1" s="78">
      <c r="A2119" s="73" t="inlineStr">
        <is>
          <t>QA-028</t>
        </is>
      </c>
      <c r="B2119" s="73" t="n">
        <v>116</v>
      </c>
      <c r="C2119" s="73" t="inlineStr">
        <is>
          <t>Two interim red results were investigated before continuing:</t>
        </is>
      </c>
    </row>
    <row r="2120" ht="30" customHeight="1" s="78">
      <c r="A2120" s="73" t="inlineStr">
        <is>
          <t>QA-028</t>
        </is>
      </c>
      <c r="B2120" s="73" t="n">
        <v>117</v>
      </c>
      <c r="C2120" s="73" t="n"/>
    </row>
    <row r="2121" ht="30" customHeight="1" s="78">
      <c r="A2121" s="73" t="inlineStr">
        <is>
          <t>QA-028</t>
        </is>
      </c>
      <c r="B2121" s="73" t="n">
        <v>118</v>
      </c>
      <c r="C2121" s="73" t="inlineStr">
        <is>
          <t>1. The first hostile-input script expected excessive output to use a</t>
        </is>
      </c>
    </row>
    <row r="2122" ht="30" customHeight="1" s="78">
      <c r="A2122" s="73" t="inlineStr">
        <is>
          <t>QA-028</t>
        </is>
      </c>
      <c r="B2122" s="73" t="n">
        <v>119</v>
      </c>
      <c r="C2122" s="73" t="inlineStr">
        <is>
          <t xml:space="preserve">   `runtime_error` status. The application correctly bounded the output and</t>
        </is>
      </c>
    </row>
    <row r="2123" ht="30" customHeight="1" s="78">
      <c r="A2123" s="73" t="inlineStr">
        <is>
          <t>QA-028</t>
        </is>
      </c>
      <c r="B2123" s="73" t="n">
        <v>120</v>
      </c>
      <c r="C2123" s="73" t="inlineStr">
        <is>
          <t xml:space="preserve">   returned a non-passing `completed` execution. The assertion was corrected</t>
        </is>
      </c>
    </row>
    <row r="2124" ht="30" customHeight="1" s="78">
      <c r="A2124" s="73" t="inlineStr">
        <is>
          <t>QA-028</t>
        </is>
      </c>
      <c r="B2124" s="73" t="n">
        <v>121</v>
      </c>
      <c r="C2124" s="73" t="inlineStr">
        <is>
          <t xml:space="preserve">   and the full hostile matrix passed.</t>
        </is>
      </c>
    </row>
    <row r="2125" ht="30" customHeight="1" s="78">
      <c r="A2125" s="73" t="inlineStr">
        <is>
          <t>QA-028</t>
        </is>
      </c>
      <c r="B2125" s="73" t="n">
        <v>122</v>
      </c>
      <c r="C2125" s="73" t="inlineStr">
        <is>
          <t>2. The first sandbox smoke script looked for `namespace.answer`. The documented</t>
        </is>
      </c>
    </row>
    <row r="2126" ht="30" customHeight="1" s="78">
      <c r="A2126" s="73" t="inlineStr">
        <is>
          <t>QA-028</t>
        </is>
      </c>
      <c r="B2126" s="73" t="n">
        <v>123</v>
      </c>
      <c r="C2126" s="73" t="inlineStr">
        <is>
          <t xml:space="preserve">   sandbox contract returns `values.answer`. The assertion was corrected and</t>
        </is>
      </c>
    </row>
    <row r="2127" ht="30" customHeight="1" s="78">
      <c r="A2127" s="73" t="inlineStr">
        <is>
          <t>QA-028</t>
        </is>
      </c>
      <c r="B2127" s="73" t="n">
        <v>124</v>
      </c>
      <c r="C2127" s="73" t="inlineStr">
        <is>
          <t xml:space="preserve">   the same image passed health, authentication, and execution checks.</t>
        </is>
      </c>
    </row>
    <row r="2128" ht="30" customHeight="1" s="78">
      <c r="A2128" s="73" t="inlineStr">
        <is>
          <t>QA-028</t>
        </is>
      </c>
      <c r="B2128" s="73" t="n">
        <v>125</v>
      </c>
      <c r="C2128" s="73" t="n"/>
    </row>
    <row r="2129" ht="30" customHeight="1" s="78">
      <c r="A2129" s="73" t="inlineStr">
        <is>
          <t>QA-028</t>
        </is>
      </c>
      <c r="B2129" s="73" t="n">
        <v>126</v>
      </c>
      <c r="C2129" s="73" t="inlineStr">
        <is>
          <t>Neither was an application defect, and neither required a source-code change.</t>
        </is>
      </c>
    </row>
    <row r="2130" ht="30" customHeight="1" s="78">
      <c r="A2130" s="73" t="inlineStr">
        <is>
          <t>QA-028</t>
        </is>
      </c>
      <c r="B2130" s="73" t="n">
        <v>127</v>
      </c>
      <c r="C2130" s="73" t="n"/>
    </row>
    <row r="2131" ht="30" customHeight="1" s="78">
      <c r="A2131" s="73" t="inlineStr">
        <is>
          <t>QA-028</t>
        </is>
      </c>
      <c r="B2131" s="73" t="n">
        <v>128</v>
      </c>
      <c r="C2131" s="73" t="inlineStr">
        <is>
          <t>## Non-blocking limitations and exclusions</t>
        </is>
      </c>
    </row>
    <row r="2132" ht="30" customHeight="1" s="78">
      <c r="A2132" s="73" t="inlineStr">
        <is>
          <t>QA-028</t>
        </is>
      </c>
      <c r="B2132" s="73" t="n">
        <v>129</v>
      </c>
      <c r="C2132" s="73" t="n"/>
    </row>
    <row r="2133" ht="30" customHeight="1" s="78">
      <c r="A2133" s="73" t="inlineStr">
        <is>
          <t>QA-028</t>
        </is>
      </c>
      <c r="B2133" s="73" t="n">
        <v>130</v>
      </c>
      <c r="C2133" s="73" t="inlineStr">
        <is>
          <t>| Item | Status | Reason or next action |</t>
        </is>
      </c>
    </row>
    <row r="2134" ht="30" customHeight="1" s="78">
      <c r="A2134" s="73" t="inlineStr">
        <is>
          <t>QA-028</t>
        </is>
      </c>
      <c r="B2134" s="73" t="n">
        <v>131</v>
      </c>
      <c r="C2134" s="73" t="inlineStr">
        <is>
          <t>| --- | --- | --- |</t>
        </is>
      </c>
    </row>
    <row r="2135" ht="39.95" customHeight="1" s="78">
      <c r="A2135" s="73" t="inlineStr">
        <is>
          <t>QA-028</t>
        </is>
      </c>
      <c r="B2135" s="73" t="n">
        <v>132</v>
      </c>
      <c r="C2135" s="73" t="inlineStr">
        <is>
          <t>| Paid OpenAI provider request | NOT RUN | AI is optional and off by default; no paid provider call was authorized or required for deterministic grading |</t>
        </is>
      </c>
    </row>
    <row r="2136" ht="30" customHeight="1" s="78">
      <c r="A2136" s="73" t="inlineStr">
        <is>
          <t>QA-028</t>
        </is>
      </c>
      <c r="B2136" s="73" t="n">
        <v>133</v>
      </c>
      <c r="C2136" s="73" t="inlineStr">
        <is>
          <t>| Public live deployment | NOT RUN | This task authorizes staging `main` only; the production repository remains untouched |</t>
        </is>
      </c>
    </row>
    <row r="2137" ht="39.95" customHeight="1" s="78">
      <c r="A2137" s="73" t="inlineStr">
        <is>
          <t>QA-028</t>
        </is>
      </c>
      <c r="B2137" s="73" t="n">
        <v>134</v>
      </c>
      <c r="C2137" s="73" t="inlineStr">
        <is>
          <t>| Second physical computer/network | NOT RUN | The current task ran on the canonical desktop checkout; use the README device-switch procedure for the laptop rehearsal |</t>
        </is>
      </c>
    </row>
    <row r="2138" ht="30" customHeight="1" s="78">
      <c r="A2138" s="73" t="inlineStr">
        <is>
          <t>QA-028</t>
        </is>
      </c>
      <c r="B2138" s="73" t="n">
        <v>135</v>
      </c>
      <c r="C2138" s="73" t="inlineStr">
        <is>
          <t>| Android packaging | NOT RUN | Current project priority is the local web application |</t>
        </is>
      </c>
    </row>
    <row r="2139" ht="39.95" customHeight="1" s="78">
      <c r="A2139" s="73" t="inlineStr">
        <is>
          <t>QA-028</t>
        </is>
      </c>
      <c r="B2139" s="73" t="n">
        <v>136</v>
      </c>
      <c r="C2139" s="73" t="inlineStr">
        <is>
          <t>| Master SQA workbook edit | BLOCKED | The required standalone spreadsheet artifact runtime was unavailable; this Markdown report is the current authoritative evidence |</t>
        </is>
      </c>
    </row>
    <row r="2140" ht="39.95" customHeight="1" s="78">
      <c r="A2140" s="73" t="inlineStr">
        <is>
          <t>QA-028</t>
        </is>
      </c>
      <c r="B2140" s="73" t="n">
        <v>137</v>
      </c>
      <c r="C2140" s="73" t="inlineStr">
        <is>
          <t>| Flutter dependency upgrades | DEFERRED | Flutter reports 80 newer packages outside the validated constraints; upgrading them is separate risk-bearing work |</t>
        </is>
      </c>
    </row>
    <row r="2141" ht="30" customHeight="1" s="78">
      <c r="A2141" s="73" t="inlineStr">
        <is>
          <t>QA-028</t>
        </is>
      </c>
      <c r="B2141" s="73" t="n">
        <v>138</v>
      </c>
      <c r="C2141" s="73" t="inlineStr">
        <is>
          <t>| Docker host warnings | ACCEPTED | Docker Desktop reported cgroup v1/blkio host warnings; all grader and sandbox behavior passed |</t>
        </is>
      </c>
    </row>
    <row r="2142" ht="30" customHeight="1" s="78">
      <c r="A2142" s="73" t="inlineStr">
        <is>
          <t>QA-028</t>
        </is>
      </c>
      <c r="B2142" s="73" t="n">
        <v>139</v>
      </c>
      <c r="C2142" s="73" t="n"/>
    </row>
    <row r="2143" ht="30" customHeight="1" s="78">
      <c r="A2143" s="73" t="inlineStr">
        <is>
          <t>QA-028</t>
        </is>
      </c>
      <c r="B2143" s="73" t="n">
        <v>140</v>
      </c>
      <c r="C2143" s="73" t="inlineStr">
        <is>
          <t>## Release conclusion</t>
        </is>
      </c>
    </row>
    <row r="2144" ht="30" customHeight="1" s="78">
      <c r="A2144" s="73" t="inlineStr">
        <is>
          <t>QA-028</t>
        </is>
      </c>
      <c r="B2144" s="73" t="n">
        <v>141</v>
      </c>
      <c r="C2144" s="73" t="n"/>
    </row>
    <row r="2145" ht="30" customHeight="1" s="78">
      <c r="A2145" s="73" t="inlineStr">
        <is>
          <t>QA-028</t>
        </is>
      </c>
      <c r="B2145" s="73" t="n">
        <v>142</v>
      </c>
      <c r="C2145" s="73" t="inlineStr">
        <is>
          <t>The candidate is suitable for staging `main`. Production promotion remains a</t>
        </is>
      </c>
    </row>
    <row r="2146" ht="30" customHeight="1" s="78">
      <c r="A2146" s="73" t="inlineStr">
        <is>
          <t>QA-028</t>
        </is>
      </c>
      <c r="B2146" s="73" t="n">
        <v>143</v>
      </c>
      <c r="C2146" s="73" t="inlineStr">
        <is>
          <t>separate, explicit decision and must not be inferred from this report.</t>
        </is>
      </c>
    </row>
    <row r="2147" ht="30" customHeight="1" s="78">
      <c r="A2147" s="73" t="inlineStr">
        <is>
          <t>QA-028</t>
        </is>
      </c>
      <c r="B2147" s="73" t="n">
        <v>144</v>
      </c>
      <c r="C2147" s="73" t="n"/>
    </row>
    <row r="2148" ht="30" customHeight="1" s="78">
      <c r="A2148" s="73" t="inlineStr">
        <is>
          <t>QA-029</t>
        </is>
      </c>
      <c r="B2148" s="73" t="n">
        <v>1</v>
      </c>
      <c r="C2148" s="73" t="inlineStr">
        <is>
          <t># V5 Staging SQA Report</t>
        </is>
      </c>
    </row>
    <row r="2149" ht="30" customHeight="1" s="78">
      <c r="A2149" s="73" t="inlineStr">
        <is>
          <t>QA-029</t>
        </is>
      </c>
      <c r="B2149" s="73" t="n">
        <v>2</v>
      </c>
      <c r="C2149" s="73" t="n"/>
    </row>
    <row r="2150" ht="30" customHeight="1" s="78">
      <c r="A2150" s="73" t="inlineStr">
        <is>
          <t>QA-029</t>
        </is>
      </c>
      <c r="B2150" s="73" t="n">
        <v>3</v>
      </c>
      <c r="C2150" s="73" t="inlineStr">
        <is>
          <t>**Test date:** 2026-08-21</t>
        </is>
      </c>
    </row>
    <row r="2151" ht="30" customHeight="1" s="78">
      <c r="A2151" s="73" t="inlineStr">
        <is>
          <t>QA-029</t>
        </is>
      </c>
      <c r="B2151" s="73" t="n">
        <v>4</v>
      </c>
      <c r="C2151" s="73" t="n"/>
    </row>
    <row r="2152" ht="30" customHeight="1" s="78">
      <c r="A2152" s="73" t="inlineStr">
        <is>
          <t>QA-029</t>
        </is>
      </c>
      <c r="B2152" s="73" t="n">
        <v>5</v>
      </c>
      <c r="C2152" s="73" t="inlineStr">
        <is>
          <t>**Repository:** `CS-Ponkoj/Robotics-Programming-Lab-Staging`</t>
        </is>
      </c>
    </row>
    <row r="2153" ht="30" customHeight="1" s="78">
      <c r="A2153" s="73" t="inlineStr">
        <is>
          <t>QA-029</t>
        </is>
      </c>
      <c r="B2153" s="73" t="n">
        <v>6</v>
      </c>
      <c r="C2153" s="73" t="n"/>
    </row>
    <row r="2154" ht="30" customHeight="1" s="78">
      <c r="A2154" s="73" t="inlineStr">
        <is>
          <t>QA-029</t>
        </is>
      </c>
      <c r="B2154" s="73" t="n">
        <v>7</v>
      </c>
      <c r="C2154" s="73" t="inlineStr">
        <is>
          <t>**Release branch:** `data-standardization-stage1`</t>
        </is>
      </c>
    </row>
    <row r="2155" ht="30" customHeight="1" s="78">
      <c r="A2155" s="73" t="inlineStr">
        <is>
          <t>QA-029</t>
        </is>
      </c>
      <c r="B2155" s="73" t="n">
        <v>8</v>
      </c>
      <c r="C2155" s="73" t="n"/>
    </row>
    <row r="2156" ht="30" customHeight="1" s="78">
      <c r="A2156" s="73" t="inlineStr">
        <is>
          <t>QA-029</t>
        </is>
      </c>
      <c r="B2156" s="73" t="n">
        <v>9</v>
      </c>
      <c r="C2156" s="73" t="inlineStr">
        <is>
          <t>**Base commit:** `da68786`</t>
        </is>
      </c>
    </row>
    <row r="2157" ht="30" customHeight="1" s="78">
      <c r="A2157" s="73" t="inlineStr">
        <is>
          <t>QA-029</t>
        </is>
      </c>
      <c r="B2157" s="73" t="n">
        <v>10</v>
      </c>
      <c r="C2157" s="73" t="n"/>
    </row>
    <row r="2158" ht="30" customHeight="1" s="78">
      <c r="A2158" s="73" t="inlineStr">
        <is>
          <t>QA-029</t>
        </is>
      </c>
      <c r="B2158" s="73" t="n">
        <v>11</v>
      </c>
      <c r="C2158" s="73" t="inlineStr">
        <is>
          <t>**Scope:** Local staging and staging repository publication only. The production</t>
        </is>
      </c>
    </row>
    <row r="2159" ht="30" customHeight="1" s="78">
      <c r="A2159" s="73" t="inlineStr">
        <is>
          <t>QA-029</t>
        </is>
      </c>
      <c r="B2159" s="73" t="n">
        <v>12</v>
      </c>
      <c r="C2159" s="73" t="inlineStr">
        <is>
          <t>repository and live deployment were intentionally untouched.</t>
        </is>
      </c>
    </row>
    <row r="2160" ht="30" customHeight="1" s="78">
      <c r="A2160" s="73" t="inlineStr">
        <is>
          <t>QA-029</t>
        </is>
      </c>
      <c r="B2160" s="73" t="n">
        <v>13</v>
      </c>
      <c r="C2160" s="73" t="n"/>
    </row>
    <row r="2161" ht="30" customHeight="1" s="78">
      <c r="A2161" s="73" t="inlineStr">
        <is>
          <t>QA-029</t>
        </is>
      </c>
      <c r="B2161" s="73" t="n">
        <v>14</v>
      </c>
      <c r="C2161" s="73" t="inlineStr">
        <is>
          <t>## Release decision</t>
        </is>
      </c>
    </row>
    <row r="2162" ht="30" customHeight="1" s="78">
      <c r="A2162" s="73" t="inlineStr">
        <is>
          <t>QA-029</t>
        </is>
      </c>
      <c r="B2162" s="73" t="n">
        <v>15</v>
      </c>
      <c r="C2162" s="73" t="n"/>
    </row>
    <row r="2163" ht="30" customHeight="1" s="78">
      <c r="A2163" s="73" t="inlineStr">
        <is>
          <t>QA-029</t>
        </is>
      </c>
      <c r="B2163" s="73" t="n">
        <v>16</v>
      </c>
      <c r="C2163" s="73" t="inlineStr">
        <is>
          <t>**PASS for staging `main`.** No release-blocking defect remains in the tested</t>
        </is>
      </c>
    </row>
    <row r="2164" ht="30" customHeight="1" s="78">
      <c r="A2164" s="73" t="inlineStr">
        <is>
          <t>QA-029</t>
        </is>
      </c>
      <c r="B2164" s="73" t="n">
        <v>17</v>
      </c>
      <c r="C2164" s="73" t="inlineStr">
        <is>
          <t>local staging scope. The backend and Flutter application report version</t>
        </is>
      </c>
    </row>
    <row r="2165" ht="30" customHeight="1" s="78">
      <c r="A2165" s="73" t="inlineStr">
        <is>
          <t>QA-029</t>
        </is>
      </c>
      <c r="B2165" s="73" t="n">
        <v>18</v>
      </c>
      <c r="C2165" s="73" t="inlineStr">
        <is>
          <t>`5.0.0`.</t>
        </is>
      </c>
    </row>
    <row r="2166" ht="30" customHeight="1" s="78">
      <c r="A2166" s="73" t="inlineStr">
        <is>
          <t>QA-029</t>
        </is>
      </c>
      <c r="B2166" s="73" t="n">
        <v>19</v>
      </c>
      <c r="C2166" s="73" t="n"/>
    </row>
    <row r="2167" ht="30" customHeight="1" s="78">
      <c r="A2167" s="73" t="inlineStr">
        <is>
          <t>QA-029</t>
        </is>
      </c>
      <c r="B2167" s="73" t="n">
        <v>20</v>
      </c>
      <c r="C2167" s="73" t="inlineStr">
        <is>
          <t>## Manual application checks</t>
        </is>
      </c>
    </row>
    <row r="2168" ht="30" customHeight="1" s="78">
      <c r="A2168" s="73" t="inlineStr">
        <is>
          <t>QA-029</t>
        </is>
      </c>
      <c r="B2168" s="73" t="n">
        <v>21</v>
      </c>
      <c r="C2168" s="73" t="n"/>
    </row>
    <row r="2169" ht="30" customHeight="1" s="78">
      <c r="A2169" s="73" t="inlineStr">
        <is>
          <t>QA-029</t>
        </is>
      </c>
      <c r="B2169" s="73" t="n">
        <v>22</v>
      </c>
      <c r="C2169" s="73" t="inlineStr">
        <is>
          <t>| Area | Result | Evidence |</t>
        </is>
      </c>
    </row>
    <row r="2170" ht="30" customHeight="1" s="78">
      <c r="A2170" s="73" t="inlineStr">
        <is>
          <t>QA-029</t>
        </is>
      </c>
      <c r="B2170" s="73" t="n">
        <v>23</v>
      </c>
      <c r="C2170" s="73" t="inlineStr">
        <is>
          <t>|---|---:|---|</t>
        </is>
      </c>
    </row>
    <row r="2171" ht="39.95" customHeight="1" s="78">
      <c r="A2171" s="73" t="inlineStr">
        <is>
          <t>QA-029</t>
        </is>
      </c>
      <c r="B2171" s="73" t="n">
        <v>24</v>
      </c>
      <c r="C2171" s="73" t="inlineStr">
        <is>
          <t>| Cold local startup | PASS | Managed launcher waited for the Flutter compiler before printing the ready URL; a fresh browser reached the login screen without the earlier entrypoint error |</t>
        </is>
      </c>
    </row>
    <row r="2172" ht="30" customHeight="1" s="78">
      <c r="A2172" s="73" t="inlineStr">
        <is>
          <t>QA-029</t>
        </is>
      </c>
      <c r="B2172" s="73" t="n">
        <v>25</v>
      </c>
      <c r="C2172" s="73" t="inlineStr">
        <is>
          <t>| Login page | PASS | Login ID/password controls and student-demo option rendered; default credentials were not displayed |</t>
        </is>
      </c>
    </row>
    <row r="2173" ht="30" customHeight="1" s="78">
      <c r="A2173" s="73" t="inlineStr">
        <is>
          <t>QA-029</t>
        </is>
      </c>
      <c r="B2173" s="73" t="n">
        <v>26</v>
      </c>
      <c r="C2173" s="73" t="inlineStr">
        <is>
          <t>| Student demo | PASS | Six assignments opened; demo banner was present; refresh cleared the temporary session |</t>
        </is>
      </c>
    </row>
    <row r="2174" ht="39.95" customHeight="1" s="78">
      <c r="A2174" s="73" t="inlineStr">
        <is>
          <t>QA-029</t>
        </is>
      </c>
      <c r="B2174" s="73" t="n">
        <v>27</v>
      </c>
      <c r="C2174" s="73" t="inlineStr">
        <is>
          <t>| Student account login | PASS | Default local student account authenticated and showed the ordinary six-assignment catalog without a demo label |</t>
        </is>
      </c>
    </row>
    <row r="2175" ht="30" customHeight="1" s="78">
      <c r="A2175" s="73" t="inlineStr">
        <is>
          <t>QA-029</t>
        </is>
      </c>
      <c r="B2175" s="73" t="n">
        <v>28</v>
      </c>
      <c r="C2175" s="73" t="inlineStr">
        <is>
          <t>| Student progress | PASS | `My study progress` displayed participant-only attempts, completion, best score, and active time |</t>
        </is>
      </c>
    </row>
    <row r="2176" ht="30" customHeight="1" s="78">
      <c r="A2176" s="73" t="inlineStr">
        <is>
          <t>QA-029</t>
        </is>
      </c>
      <c r="B2176" s="73" t="n">
        <v>29</v>
      </c>
      <c r="C2176" s="73" t="inlineStr">
        <is>
          <t>| Instructor login | PASS | Default local instructor account authenticated and exposed role-authorized management |</t>
        </is>
      </c>
    </row>
    <row r="2177" ht="30" customHeight="1" s="78">
      <c r="A2177" s="73" t="inlineStr">
        <is>
          <t>QA-029</t>
        </is>
      </c>
      <c r="B2177" s="73" t="n">
        <v>30</v>
      </c>
      <c r="C2177" s="73" t="inlineStr">
        <is>
          <t>| Assignment studio | PASS | All six versioned assignments rendered and the Assignment 1 editor opened without changing content |</t>
        </is>
      </c>
    </row>
    <row r="2178" ht="30" customHeight="1" s="78">
      <c r="A2178" s="73" t="inlineStr">
        <is>
          <t>QA-029</t>
        </is>
      </c>
      <c r="B2178" s="73" t="n">
        <v>31</v>
      </c>
      <c r="C2178" s="73" t="inlineStr">
        <is>
          <t>| Student-account management | PASS | Existing student account and new-student control rendered; no account was changed or deleted during QA |</t>
        </is>
      </c>
    </row>
    <row r="2179" ht="30" customHeight="1" s="78">
      <c r="A2179" s="73" t="inlineStr">
        <is>
          <t>QA-029</t>
        </is>
      </c>
      <c r="B2179" s="73" t="n">
        <v>32</v>
      </c>
      <c r="C2179" s="73" t="inlineStr">
        <is>
          <t>| Research dashboard | PASS | Participant-code overview, attempts, completion, and active time rendered without login IDs, passwords, or code |</t>
        </is>
      </c>
    </row>
    <row r="2180" ht="39.95" customHeight="1" s="78">
      <c r="A2180" s="73" t="inlineStr">
        <is>
          <t>QA-029</t>
        </is>
      </c>
      <c r="B2180" s="73" t="n">
        <v>33</v>
      </c>
      <c r="C2180" s="73" t="inlineStr">
        <is>
          <t>| Assignment 1 grading | PASS | Starter code completed through the dedicated sandbox and returned structured failing-test evidence without hanging |</t>
        </is>
      </c>
    </row>
    <row r="2181" ht="39.95" customHeight="1" s="78">
      <c r="A2181" s="73" t="inlineStr">
        <is>
          <t>QA-029</t>
        </is>
      </c>
      <c r="B2181" s="73" t="n">
        <v>34</v>
      </c>
      <c r="C2181" s="73" t="inlineStr">
        <is>
          <t>| Optional AI control | PASS | AI was off by default; enabling the UI control did not interrupt deterministic grading while server-side AI remained disabled |</t>
        </is>
      </c>
    </row>
    <row r="2182" ht="30" customHeight="1" s="78">
      <c r="A2182" s="73" t="inlineStr">
        <is>
          <t>QA-029</t>
        </is>
      </c>
      <c r="B2182" s="73" t="n">
        <v>35</v>
      </c>
      <c r="C2182" s="73" t="inlineStr">
        <is>
          <t>| Mobile layout | PASS | At 390 x 844, login, catalog, workspace tabs, results, and ROS project tree remained usable without visible overflow |</t>
        </is>
      </c>
    </row>
    <row r="2183" ht="30" customHeight="1" s="78">
      <c r="A2183" s="73" t="inlineStr">
        <is>
          <t>QA-029</t>
        </is>
      </c>
      <c r="B2183" s="73" t="n">
        <v>36</v>
      </c>
      <c r="C2183" s="73" t="inlineStr">
        <is>
          <t>| Assignment 5 starter run | PASS | ROS grader completed and returned 2/7 checks with meaningful feedback |</t>
        </is>
      </c>
    </row>
    <row r="2184" ht="30" customHeight="1" s="78">
      <c r="A2184" s="73" t="inlineStr">
        <is>
          <t>QA-029</t>
        </is>
      </c>
      <c r="B2184" s="73" t="n">
        <v>37</v>
      </c>
      <c r="C2184" s="73" t="inlineStr">
        <is>
          <t>| Assignment 6 starter run | PASS | ROS grader completed and returned 1/9 checks with meaningful feedback |</t>
        </is>
      </c>
    </row>
    <row r="2185" ht="39.95" customHeight="1" s="78">
      <c r="A2185" s="73" t="inlineStr">
        <is>
          <t>QA-029</t>
        </is>
      </c>
      <c r="B2185" s="73" t="n">
        <v>38</v>
      </c>
      <c r="C2185" s="73" t="inlineStr">
        <is>
          <t>| Docker unavailable recovery | PASS | Executor regression test converts the Windows Docker pipe failure into an actionable `Start Docker Desktop` message without exposing pipe details |</t>
        </is>
      </c>
    </row>
    <row r="2186" ht="30" customHeight="1" s="78">
      <c r="A2186" s="73" t="inlineStr">
        <is>
          <t>QA-029</t>
        </is>
      </c>
      <c r="B2186" s="73" t="n">
        <v>39</v>
      </c>
      <c r="C2186" s="73" t="n"/>
    </row>
    <row r="2187" ht="30" customHeight="1" s="78">
      <c r="A2187" s="73" t="inlineStr">
        <is>
          <t>QA-029</t>
        </is>
      </c>
      <c r="B2187" s="73" t="n">
        <v>40</v>
      </c>
      <c r="C2187" s="73" t="inlineStr">
        <is>
          <t>## Automated and integration checks</t>
        </is>
      </c>
    </row>
    <row r="2188" ht="30" customHeight="1" s="78">
      <c r="A2188" s="73" t="inlineStr">
        <is>
          <t>QA-029</t>
        </is>
      </c>
      <c r="B2188" s="73" t="n">
        <v>41</v>
      </c>
      <c r="C2188" s="73" t="n"/>
    </row>
    <row r="2189" ht="30" customHeight="1" s="78">
      <c r="A2189" s="73" t="inlineStr">
        <is>
          <t>QA-029</t>
        </is>
      </c>
      <c r="B2189" s="73" t="n">
        <v>42</v>
      </c>
      <c r="C2189" s="73" t="inlineStr">
        <is>
          <t>| Check | Result | Evidence |</t>
        </is>
      </c>
    </row>
    <row r="2190" ht="30" customHeight="1" s="78">
      <c r="A2190" s="73" t="inlineStr">
        <is>
          <t>QA-029</t>
        </is>
      </c>
      <c r="B2190" s="73" t="n">
        <v>43</v>
      </c>
      <c r="C2190" s="73" t="inlineStr">
        <is>
          <t>|---|---:|---|</t>
        </is>
      </c>
    </row>
    <row r="2191" ht="30" customHeight="1" s="78">
      <c r="A2191" s="73" t="inlineStr">
        <is>
          <t>QA-029</t>
        </is>
      </c>
      <c r="B2191" s="73" t="n">
        <v>44</v>
      </c>
      <c r="C2191" s="73" t="inlineStr">
        <is>
          <t>| Backend tests | PASS | 127 pytest tests passed |</t>
        </is>
      </c>
    </row>
    <row r="2192" ht="30" customHeight="1" s="78">
      <c r="A2192" s="73" t="inlineStr">
        <is>
          <t>QA-029</t>
        </is>
      </c>
      <c r="B2192" s="73" t="n">
        <v>45</v>
      </c>
      <c r="C2192" s="73" t="inlineStr">
        <is>
          <t>| Python dependency integrity | PASS | `pip check` found no broken requirements |</t>
        </is>
      </c>
    </row>
    <row r="2193" ht="30" customHeight="1" s="78">
      <c r="A2193" s="73" t="inlineStr">
        <is>
          <t>QA-029</t>
        </is>
      </c>
      <c r="B2193" s="73" t="n">
        <v>46</v>
      </c>
      <c r="C2193" s="73" t="inlineStr">
        <is>
          <t>| Flutter analysis | PASS | No issues found |</t>
        </is>
      </c>
    </row>
    <row r="2194" ht="30" customHeight="1" s="78">
      <c r="A2194" s="73" t="inlineStr">
        <is>
          <t>QA-029</t>
        </is>
      </c>
      <c r="B2194" s="73" t="n">
        <v>47</v>
      </c>
      <c r="C2194" s="73" t="inlineStr">
        <is>
          <t>| Flutter tests | PASS | 43 tests passed |</t>
        </is>
      </c>
    </row>
    <row r="2195" ht="30" customHeight="1" s="78">
      <c r="A2195" s="73" t="inlineStr">
        <is>
          <t>QA-029</t>
        </is>
      </c>
      <c r="B2195" s="73" t="n">
        <v>48</v>
      </c>
      <c r="C2195" s="73" t="inlineStr">
        <is>
          <t>| Flutter release web build | PASS | Production-style release compilation completed |</t>
        </is>
      </c>
    </row>
    <row r="2196" ht="30" customHeight="1" s="78">
      <c r="A2196" s="73" t="inlineStr">
        <is>
          <t>QA-029</t>
        </is>
      </c>
      <c r="B2196" s="73" t="n">
        <v>49</v>
      </c>
      <c r="C2196" s="73" t="inlineStr">
        <is>
          <t>| Backend health | PASS | `/health` returned `status: ok`, API version `5.0.0`, SQLite, and remote sandbox mode |</t>
        </is>
      </c>
    </row>
    <row r="2197" ht="30" customHeight="1" s="78">
      <c r="A2197" s="73" t="inlineStr">
        <is>
          <t>QA-029</t>
        </is>
      </c>
      <c r="B2197" s="73" t="n">
        <v>50</v>
      </c>
      <c r="C2197" s="73" t="inlineStr">
        <is>
          <t>| Sandbox health | PASS | Dedicated local sandbox returned `status: ok` |</t>
        </is>
      </c>
    </row>
    <row r="2198" ht="30" customHeight="1" s="78">
      <c r="A2198" s="73" t="inlineStr">
        <is>
          <t>QA-029</t>
        </is>
      </c>
      <c r="B2198" s="73" t="n">
        <v>51</v>
      </c>
      <c r="C2198" s="73" t="inlineStr">
        <is>
          <t>| Assignment 5 official solution | PASS | 7/7 ROS 2 checks passed in `robotics-lab-ros2-grader:jazzy-v1` |</t>
        </is>
      </c>
    </row>
    <row r="2199" ht="30" customHeight="1" s="78">
      <c r="A2199" s="73" t="inlineStr">
        <is>
          <t>QA-029</t>
        </is>
      </c>
      <c r="B2199" s="73" t="n">
        <v>52</v>
      </c>
      <c r="C2199" s="73" t="inlineStr">
        <is>
          <t>| Assignment 6 official solution | PASS | 9/9 ROS 2 checks passed in `robotics-lab-ros2-grader:jazzy-v1` |</t>
        </is>
      </c>
    </row>
    <row r="2200" ht="30" customHeight="1" s="78">
      <c r="A2200" s="73" t="inlineStr">
        <is>
          <t>QA-029</t>
        </is>
      </c>
      <c r="B2200" s="73" t="n">
        <v>53</v>
      </c>
      <c r="C2200" s="73" t="inlineStr">
        <is>
          <t>| Data migration | PASS | Alembic schema migration and fresh/upgrade/downgrade tests passed |</t>
        </is>
      </c>
    </row>
    <row r="2201" ht="30" customHeight="1" s="78">
      <c r="A2201" s="73" t="inlineStr">
        <is>
          <t>QA-029</t>
        </is>
      </c>
      <c r="B2201" s="73" t="n">
        <v>54</v>
      </c>
      <c r="C2201" s="73" t="inlineStr">
        <is>
          <t>| Data contracts | PASS | Assignment, attempt, execution-status, rubric, and learning-event contracts passed validation tests |</t>
        </is>
      </c>
    </row>
    <row r="2202" ht="30" customHeight="1" s="78">
      <c r="A2202" s="73" t="inlineStr">
        <is>
          <t>QA-029</t>
        </is>
      </c>
      <c r="B2202" s="73" t="n">
        <v>55</v>
      </c>
      <c r="C2202" s="73" t="inlineStr">
        <is>
          <t>| Git whitespace | PASS | `git diff --check` found no whitespace errors |</t>
        </is>
      </c>
    </row>
    <row r="2203" ht="30" customHeight="1" s="78">
      <c r="A2203" s="73" t="inlineStr">
        <is>
          <t>QA-029</t>
        </is>
      </c>
      <c r="B2203" s="73" t="n">
        <v>56</v>
      </c>
      <c r="C2203" s="73" t="n"/>
    </row>
    <row r="2204" ht="30" customHeight="1" s="78">
      <c r="A2204" s="73" t="inlineStr">
        <is>
          <t>QA-029</t>
        </is>
      </c>
      <c r="B2204" s="73" t="n">
        <v>57</v>
      </c>
      <c r="C2204" s="73" t="inlineStr">
        <is>
          <t>## Boundaries and follow-up</t>
        </is>
      </c>
    </row>
    <row r="2205" ht="30" customHeight="1" s="78">
      <c r="A2205" s="73" t="inlineStr">
        <is>
          <t>QA-029</t>
        </is>
      </c>
      <c r="B2205" s="73" t="n">
        <v>58</v>
      </c>
      <c r="C2205" s="73" t="n"/>
    </row>
    <row r="2206" ht="30" customHeight="1" s="78">
      <c r="A2206" s="73" t="inlineStr">
        <is>
          <t>QA-029</t>
        </is>
      </c>
      <c r="B2206" s="73" t="n">
        <v>59</v>
      </c>
      <c r="C2206" s="73" t="inlineStr">
        <is>
          <t>| Item | Status | Reason |</t>
        </is>
      </c>
    </row>
    <row r="2207" ht="30" customHeight="1" s="78">
      <c r="A2207" s="73" t="inlineStr">
        <is>
          <t>QA-029</t>
        </is>
      </c>
      <c r="B2207" s="73" t="n">
        <v>60</v>
      </c>
      <c r="C2207" s="73" t="inlineStr">
        <is>
          <t>|---|---:|---|</t>
        </is>
      </c>
    </row>
    <row r="2208" ht="30" customHeight="1" s="78">
      <c r="A2208" s="73" t="inlineStr">
        <is>
          <t>QA-029</t>
        </is>
      </c>
      <c r="B2208" s="73" t="n">
        <v>61</v>
      </c>
      <c r="C2208" s="73" t="inlineStr">
        <is>
          <t>| Production/live deployment | NOT RUN | This release was authorized only for the separate staging repository |</t>
        </is>
      </c>
    </row>
    <row r="2209" ht="30" customHeight="1" s="78">
      <c r="A2209" s="73" t="inlineStr">
        <is>
          <t>QA-029</t>
        </is>
      </c>
      <c r="B2209" s="73" t="n">
        <v>62</v>
      </c>
      <c r="C2209" s="73" t="inlineStr">
        <is>
          <t>| Paid OpenAI response | NOT RUN | AI remains optional and disabled by default; deterministic tutoring/grading paths were verified |</t>
        </is>
      </c>
    </row>
    <row r="2210" ht="39.95" customHeight="1" s="78">
      <c r="A2210" s="73" t="inlineStr">
        <is>
          <t>QA-029</t>
        </is>
      </c>
      <c r="B2210" s="73" t="n">
        <v>63</v>
      </c>
      <c r="C2210" s="73" t="inlineStr">
        <is>
          <t>| Separate staging PostgreSQL | NOT RUN | Local QA used the repository's ignored SQLite staging database; PostgreSQL parity remains a promotion check |</t>
        </is>
      </c>
    </row>
    <row r="2211" ht="39.95" customHeight="1" s="78">
      <c r="A2211" s="73" t="inlineStr">
        <is>
          <t>QA-029</t>
        </is>
      </c>
      <c r="B2211" s="73" t="n">
        <v>64</v>
      </c>
      <c r="C2211" s="73" t="inlineStr">
        <is>
          <t>| Destructive instructor operations | AUTOMATED ONLY | Account deactivation, password reset, and assignment publication are covered by automated tests but were not manually performed against retained local study data |</t>
        </is>
      </c>
    </row>
    <row r="2212" ht="30" customHeight="1" s="78">
      <c r="A2212" s="73" t="inlineStr">
        <is>
          <t>QA-029</t>
        </is>
      </c>
      <c r="B2212" s="73" t="n">
        <v>65</v>
      </c>
      <c r="C2212" s="73" t="n"/>
    </row>
    <row r="2213" ht="30" customHeight="1" s="78">
      <c r="A2213" s="73" t="inlineStr">
        <is>
          <t>QA-029</t>
        </is>
      </c>
      <c r="B2213" s="73" t="n">
        <v>66</v>
      </c>
      <c r="C2213" s="73" t="inlineStr">
        <is>
          <t>## Defects corrected during manual QA</t>
        </is>
      </c>
    </row>
    <row r="2214" ht="30" customHeight="1" s="78">
      <c r="A2214" s="73" t="inlineStr">
        <is>
          <t>QA-029</t>
        </is>
      </c>
      <c r="B2214" s="73" t="n">
        <v>67</v>
      </c>
      <c r="C2214" s="73" t="n"/>
    </row>
    <row r="2215" ht="30" customHeight="1" s="78">
      <c r="A2215" s="73" t="inlineStr">
        <is>
          <t>QA-029</t>
        </is>
      </c>
      <c r="B2215" s="73" t="n">
        <v>68</v>
      </c>
      <c r="C2215" s="73" t="inlineStr">
        <is>
          <t>1. **Flutter startup race:** the launcher previously returned after `index.html`</t>
        </is>
      </c>
    </row>
    <row r="2216" ht="30" customHeight="1" s="78">
      <c r="A2216" s="73" t="inlineStr">
        <is>
          <t>QA-029</t>
        </is>
      </c>
      <c r="B2216" s="73" t="n">
        <v>69</v>
      </c>
      <c r="C2216" s="73" t="inlineStr">
        <is>
          <t xml:space="preserve">   became reachable, before Flutter finished compiling. It now waits for the</t>
        </is>
      </c>
    </row>
    <row r="2217" ht="30" customHeight="1" s="78">
      <c r="A2217" s="73" t="inlineStr">
        <is>
          <t>QA-029</t>
        </is>
      </c>
      <c r="B2217" s="73" t="n">
        <v>70</v>
      </c>
      <c r="C2217" s="73" t="inlineStr">
        <is>
          <t xml:space="preserve">   compiler-ready log marker and generated entrypoint before reporting ready.</t>
        </is>
      </c>
    </row>
    <row r="2218" ht="30" customHeight="1" s="78">
      <c r="A2218" s="73" t="inlineStr">
        <is>
          <t>QA-029</t>
        </is>
      </c>
      <c r="B2218" s="73" t="n">
        <v>71</v>
      </c>
      <c r="C2218" s="73" t="inlineStr">
        <is>
          <t>2. **Raw Docker error leakage:** a stopped Docker daemon previously exposed its</t>
        </is>
      </c>
    </row>
    <row r="2219" ht="30" customHeight="1" s="78">
      <c r="A2219" s="73" t="inlineStr">
        <is>
          <t>QA-029</t>
        </is>
      </c>
      <c r="B2219" s="73" t="n">
        <v>72</v>
      </c>
      <c r="C2219" s="73" t="inlineStr">
        <is>
          <t xml:space="preserve">   Windows named-pipe error. The ROS executor now returns a concise recovery</t>
        </is>
      </c>
    </row>
    <row r="2220" ht="30" customHeight="1" s="78">
      <c r="A2220" s="73" t="inlineStr">
        <is>
          <t>QA-029</t>
        </is>
      </c>
      <c r="B2220" s="73" t="n">
        <v>73</v>
      </c>
      <c r="C2220" s="73" t="inlineStr">
        <is>
          <t xml:space="preserve">   instruction and has a focused regression test.</t>
        </is>
      </c>
    </row>
    <row r="2221" ht="30" customHeight="1" s="78">
      <c r="A2221" s="73" t="inlineStr">
        <is>
          <t>QA-029</t>
        </is>
      </c>
      <c r="B2221" s="73" t="n">
        <v>74</v>
      </c>
      <c r="C2221" s="73"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2026-10-02T09:57:42Z</dcterms:created>
  <dcterms:modified xmlns:dcterms="http://purl.org/dc/terms/" xmlns:xsi="http://www.w3.org/2001/XMLSchema-instance" xsi:type="dcterms:W3CDTF">2026-10-15T05:46:04Z</dcterms:modified>
  <cp:lastModifiedBy>Ponkoj C Shill</cp:lastModifiedBy>
</cp:coreProperties>
</file>