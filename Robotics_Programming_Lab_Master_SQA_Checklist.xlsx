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vada-my.sharepoint.com/personal/pshill_unr_edu/Documents/Robotics-Programming-Lab-v4/"/>
    </mc:Choice>
  </mc:AlternateContent>
  <xr:revisionPtr revIDLastSave="2749" documentId="13_ncr:1_{18EF0F70-DCE6-4CF6-A4C9-67DAEC6D01BF}" xr6:coauthVersionLast="47" xr6:coauthVersionMax="47" xr10:uidLastSave="{B0230118-C4B2-41B8-992A-5884BF312F28}"/>
  <bookViews>
    <workbookView xWindow="-120" yWindow="-120" windowWidth="51840" windowHeight="21840" xr2:uid="{BB5C9DB2-203A-4056-840F-F797153FBD4E}"/>
  </bookViews>
  <sheets>
    <sheet name="V4 SQA Report" sheetId="9" r:id="rId1"/>
    <sheet name="Release Dashboard" sheetId="7" r:id="rId2"/>
    <sheet name="Master Checklist" sheetId="6" r:id="rId3"/>
    <sheet name="Assignment Matrix" sheetId="5" r:id="rId4"/>
    <sheet name="Defect Log" sheetId="4" r:id="rId5"/>
    <sheet name="Release Sign-off" sheetId="3" r:id="rId6"/>
    <sheet name="Runbook" sheetId="2" r:id="rId7"/>
    <sheet name="Lists" sheetId="1" state="hidden" r:id="rId8"/>
  </sheets>
  <definedNames>
    <definedName name="AutomationOptions">Lists!$C$2:$C$4</definedName>
    <definedName name="CheckOptions">Lists!$D$2:$D$3</definedName>
    <definedName name="DecisionOptions">Lists!$H$2:$H$5</definedName>
    <definedName name="DefectStatusOptions">Lists!$F$2:$F$6</definedName>
    <definedName name="_xlnm.Print_Area" localSheetId="6">Runbook!$A$1:$D$55</definedName>
    <definedName name="_xlnm.Print_Area" localSheetId="0">'V4 SQA Report'!$A$1:$F$49</definedName>
    <definedName name="PriorityOptions">Lists!$B$2:$B$5</definedName>
    <definedName name="RetestOptions">Lists!$E$2:$E$6</definedName>
    <definedName name="ScopeOptions">Lists!$I$2:$I$3</definedName>
    <definedName name="SeverityOptions">Lists!$G$2:$G$5</definedName>
    <definedName name="StatusOptions">Lists!$A$2:$A$7</definedName>
    <definedName name="TestTypeOptions">Lists!$J$2:$J$10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9" l="1"/>
  <c r="F8" i="9"/>
  <c r="D8" i="9"/>
  <c r="B8" i="9"/>
  <c r="F7" i="9"/>
  <c r="D7" i="9"/>
  <c r="B7" i="9"/>
  <c r="G25" i="7"/>
  <c r="F25" i="7"/>
  <c r="E25" i="7"/>
  <c r="D25" i="7"/>
  <c r="C25" i="7"/>
  <c r="B25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C27" i="7"/>
  <c r="B27" i="7"/>
  <c r="G26" i="7"/>
  <c r="F26" i="7"/>
  <c r="E26" i="7"/>
  <c r="D26" i="7"/>
  <c r="C26" i="7"/>
  <c r="B26" i="7"/>
  <c r="G24" i="7"/>
  <c r="F24" i="7"/>
  <c r="E24" i="7"/>
  <c r="D24" i="7"/>
  <c r="C24" i="7"/>
  <c r="B24" i="7"/>
  <c r="G23" i="7"/>
  <c r="F23" i="7"/>
  <c r="E23" i="7"/>
  <c r="D23" i="7"/>
  <c r="C23" i="7"/>
  <c r="B23" i="7"/>
  <c r="G22" i="7"/>
  <c r="F22" i="7"/>
  <c r="E22" i="7"/>
  <c r="D22" i="7"/>
  <c r="C22" i="7"/>
  <c r="B22" i="7"/>
  <c r="G21" i="7"/>
  <c r="F21" i="7"/>
  <c r="E21" i="7"/>
  <c r="D21" i="7"/>
  <c r="C21" i="7"/>
  <c r="B21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F12" i="7"/>
  <c r="H11" i="7"/>
  <c r="F11" i="7"/>
  <c r="D11" i="7"/>
  <c r="B11" i="7"/>
  <c r="H10" i="7"/>
  <c r="F10" i="7"/>
  <c r="D10" i="7"/>
  <c r="B10" i="7"/>
  <c r="H27" i="7" l="1"/>
  <c r="H22" i="7"/>
  <c r="H29" i="7"/>
  <c r="H25" i="7"/>
  <c r="H28" i="7"/>
  <c r="H17" i="7"/>
  <c r="H21" i="7"/>
  <c r="H20" i="7"/>
  <c r="H26" i="7"/>
  <c r="H24" i="7"/>
  <c r="H23" i="7"/>
  <c r="H19" i="7"/>
  <c r="H18" i="7"/>
  <c r="H16" i="7"/>
  <c r="H12" i="7"/>
  <c r="D12" i="7"/>
  <c r="B12" i="7"/>
</calcChain>
</file>

<file path=xl/sharedStrings.xml><?xml version="1.0" encoding="utf-8"?>
<sst xmlns="http://schemas.openxmlformats.org/spreadsheetml/2006/main" count="3972" uniqueCount="1532">
  <si>
    <t>Status</t>
  </si>
  <si>
    <t>Priority</t>
  </si>
  <si>
    <t>Automation</t>
  </si>
  <si>
    <t>Check</t>
  </si>
  <si>
    <t>Retest</t>
  </si>
  <si>
    <t>Defect Status</t>
  </si>
  <si>
    <t>Severity</t>
  </si>
  <si>
    <t>Decision</t>
  </si>
  <si>
    <t>Scope</t>
  </si>
  <si>
    <t>Test Type</t>
  </si>
  <si>
    <t>Not Run</t>
  </si>
  <si>
    <t>Release Gate</t>
  </si>
  <si>
    <t>Yes</t>
  </si>
  <si>
    <t>[ ]</t>
  </si>
  <si>
    <t>Not Required</t>
  </si>
  <si>
    <t>Open</t>
  </si>
  <si>
    <t>Critical</t>
  </si>
  <si>
    <t>Pending</t>
  </si>
  <si>
    <t>Current</t>
  </si>
  <si>
    <t>Automated</t>
  </si>
  <si>
    <t>Pass</t>
  </si>
  <si>
    <t>P0</t>
  </si>
  <si>
    <t>Partial</t>
  </si>
  <si>
    <t>[x]</t>
  </si>
  <si>
    <t>In Progress</t>
  </si>
  <si>
    <t>High</t>
  </si>
  <si>
    <t>Approved</t>
  </si>
  <si>
    <t>Future</t>
  </si>
  <si>
    <t>API</t>
  </si>
  <si>
    <t>Fail</t>
  </si>
  <si>
    <t>P1</t>
  </si>
  <si>
    <t>No</t>
  </si>
  <si>
    <t>Fixed</t>
  </si>
  <si>
    <t>Medium</t>
  </si>
  <si>
    <t>Rejected</t>
  </si>
  <si>
    <t>Integration</t>
  </si>
  <si>
    <t>Blocked</t>
  </si>
  <si>
    <t>P2</t>
  </si>
  <si>
    <t>Closed</t>
  </si>
  <si>
    <t>Low</t>
  </si>
  <si>
    <t>Conditional</t>
  </si>
  <si>
    <t>Manual</t>
  </si>
  <si>
    <t>N/A</t>
  </si>
  <si>
    <t>Deferred</t>
  </si>
  <si>
    <t>Security</t>
  </si>
  <si>
    <t>Accessibility</t>
  </si>
  <si>
    <t>Performance</t>
  </si>
  <si>
    <t>Content Review</t>
  </si>
  <si>
    <t>Process</t>
  </si>
  <si>
    <t>Checked?</t>
  </si>
  <si>
    <t>Check ID</t>
  </si>
  <si>
    <t>Category</t>
  </si>
  <si>
    <t>Feature / Requirement</t>
  </si>
  <si>
    <t>Preconditions</t>
  </si>
  <si>
    <t>Test Steps</t>
  </si>
  <si>
    <t>Expected Result</t>
  </si>
  <si>
    <t>Platform</t>
  </si>
  <si>
    <t>Automated?</t>
  </si>
  <si>
    <t>Defect ID</t>
  </si>
  <si>
    <t>Actual Result / Evidence</t>
  </si>
  <si>
    <t>Tester</t>
  </si>
  <si>
    <t>Test Date</t>
  </si>
  <si>
    <t>Retest Status</t>
  </si>
  <si>
    <t>Notes</t>
  </si>
  <si>
    <t>ENV-001</t>
  </si>
  <si>
    <t>Environment &amp; Startup</t>
  </si>
  <si>
    <t>Repository clone contains required source and configuration files</t>
  </si>
  <si>
    <t>Application dependencies are installed and the target environment is available.</t>
  </si>
  <si>
    <t>Clone the repository; verify backend, frontend, assignments, course_materials, Dockerfiles, Compose, README, and plan artifacts are present.</t>
  </si>
  <si>
    <t>Required project structure is complete and no required imported source file is missing.</t>
  </si>
  <si>
    <t>Inspection</t>
  </si>
  <si>
    <t>Repository</t>
  </si>
  <si>
    <t>ENV-002</t>
  </si>
  <si>
    <t>Secrets are not committed</t>
  </si>
  <si>
    <t>Run Git secret and tracked-file checks; inspect .gitignore and tracked files for .env, API keys, admin tokens, databases, and credentials.</t>
  </si>
  <si>
    <t>No secret, backend/.env, database, or credential value is tracked.</t>
  </si>
  <si>
    <t>ENV-003</t>
  </si>
  <si>
    <t>Python virtual environment can be created</t>
  </si>
  <si>
    <t>Run python -m venv venv in a clean checkout.</t>
  </si>
  <si>
    <t>Virtual environment is created without errors.</t>
  </si>
  <si>
    <t>Installation</t>
  </si>
  <si>
    <t>Windows</t>
  </si>
  <si>
    <t>ENV-004</t>
  </si>
  <si>
    <t>Backend dependencies install</t>
  </si>
  <si>
    <t>Run .\venv\Scripts\python.exe -m pip install -r .\backend\requirements.txt.</t>
  </si>
  <si>
    <t>All required packages install successfully.</t>
  </si>
  <si>
    <t>ENV-005</t>
  </si>
  <si>
    <t>Python dependency integrity</t>
  </si>
  <si>
    <t>Run .\venv\Scripts\python.exe -m pip check.</t>
  </si>
  <si>
    <t>Command reports no broken requirements.</t>
  </si>
  <si>
    <t>Backend</t>
  </si>
  <si>
    <t>ENV-006</t>
  </si>
  <si>
    <t>Flutter dependencies resolve</t>
  </si>
  <si>
    <t>From frontend run flutter pub get.</t>
  </si>
  <si>
    <t>Flutter resolves dependencies without errors.</t>
  </si>
  <si>
    <t>Flutter</t>
  </si>
  <si>
    <t>ENV-007</t>
  </si>
  <si>
    <t>Backend starts locally</t>
  </si>
  <si>
    <t>Run .\venv\Scripts\python.exe .\backend\run.py and observe startup.</t>
  </si>
  <si>
    <t>FastAPI starts on the configured host/port and remains stable.</t>
  </si>
  <si>
    <t>Smoke</t>
  </si>
  <si>
    <t>ENV-008</t>
  </si>
  <si>
    <t>Frontend starts in Chrome</t>
  </si>
  <si>
    <t>Keep backend running; from frontend run flutter run -d chrome --dart-define=API_BASE_URL=http://127.0.0.1:5000.</t>
  </si>
  <si>
    <t>Chrome opens the application and the catalog loads.</t>
  </si>
  <si>
    <t>Web</t>
  </si>
  <si>
    <t>ENV-009</t>
  </si>
  <si>
    <t>OneDrive-safe Flutter build output</t>
  </si>
  <si>
    <t>Build or run from the OneDrive checkout using the configured .flutter_build path.</t>
  </si>
  <si>
    <t>Flutter creates assets without directory deletion or shader write failures.</t>
  </si>
  <si>
    <t>Regression</t>
  </si>
  <si>
    <t>Windows/Web</t>
  </si>
  <si>
    <t>ENV-010</t>
  </si>
  <si>
    <t>Backend URL is configurable</t>
  </si>
  <si>
    <t>Build/run with a nondefault API_BASE_URL and inspect requests.</t>
  </si>
  <si>
    <t>Frontend sends requests to the supplied URL, including image URLs and Monaco configuration.</t>
  </si>
  <si>
    <t>Configuration</t>
  </si>
  <si>
    <t>ENV-011</t>
  </si>
  <si>
    <t>Backend environment file loads</t>
  </si>
  <si>
    <t>Place nonsecret test configuration in backend/.env; restart backend; inspect /health and relevant behavior.</t>
  </si>
  <si>
    <t>Settings load from backend/.env while the file remains ignored.</t>
  </si>
  <si>
    <t>API-001</t>
  </si>
  <si>
    <t>Health &amp; Public API</t>
  </si>
  <si>
    <t>Health endpoint responds</t>
  </si>
  <si>
    <t>GET /health.</t>
  </si>
  <si>
    <t>HTTP 200 returns status ok, API version, database type, and sandbox type.</t>
  </si>
  <si>
    <t>API-002</t>
  </si>
  <si>
    <t>OpenAPI documentation loads</t>
  </si>
  <si>
    <t>Open /docs.</t>
  </si>
  <si>
    <t>Interactive FastAPI documentation loads and lists supported public/admin endpoints.</t>
  </si>
  <si>
    <t>API-003</t>
  </si>
  <si>
    <t>Assignment list endpoint</t>
  </si>
  <si>
    <t>GET /assignments and GET /assignments/.</t>
  </si>
  <si>
    <t>HTTP 200 returns four published assignments in numeric order.</t>
  </si>
  <si>
    <t>API-004</t>
  </si>
  <si>
    <t>Assignment detail endpoint</t>
  </si>
  <si>
    <t>GET /assignments/{id} for IDs 1 through 4.</t>
  </si>
  <si>
    <t>Each response contains student-visible assignment data and correct stable ID/version.</t>
  </si>
  <si>
    <t>API-005</t>
  </si>
  <si>
    <t>Unknown assignment returns JSON 404</t>
  </si>
  <si>
    <t>GET /assignments/999.</t>
  </si>
  <si>
    <t>HTTP 404 returns the documented JSON error.</t>
  </si>
  <si>
    <t>Negative API</t>
  </si>
  <si>
    <t>API-006</t>
  </si>
  <si>
    <t>Assignment image endpoint</t>
  </si>
  <si>
    <t>GET /images/1 and inspect content type/signature.</t>
  </si>
  <si>
    <t>HTTP 200 returns the expected PNG image.</t>
  </si>
  <si>
    <t>API-007</t>
  </si>
  <si>
    <t>Unknown image returns JSON 404</t>
  </si>
  <si>
    <t>GET /images/999.</t>
  </si>
  <si>
    <t>API-008</t>
  </si>
  <si>
    <t>Legacy grading compatibility</t>
  </si>
  <si>
    <t>POST valid code to /grade/{id}.</t>
  </si>
  <si>
    <t>Legacy route returns the current structured grading contract.</t>
  </si>
  <si>
    <t>Compatibility</t>
  </si>
  <si>
    <t>API-009</t>
  </si>
  <si>
    <t>CORS permits configured frontend</t>
  </si>
  <si>
    <t>Run frontend from the allowed origin and call public endpoints.</t>
  </si>
  <si>
    <t>Browser requests succeed without CORS errors; unapproved origins follow configured policy.</t>
  </si>
  <si>
    <t>Web/Backend</t>
  </si>
  <si>
    <t>API-010</t>
  </si>
  <si>
    <t>Malformed JSON is rejected</t>
  </si>
  <si>
    <t>POST malformed JSON to a submission endpoint.</t>
  </si>
  <si>
    <t>Request returns controlled HTTP 400 without server crash or stack-trace leakage.</t>
  </si>
  <si>
    <t>API-011</t>
  </si>
  <si>
    <t>Request timeout behavior is bounded</t>
  </si>
  <si>
    <t>Simulate an unavailable or nonresponsive backend.</t>
  </si>
  <si>
    <t>Frontend leaves loading state within configured timeout and shows a recovery action.</t>
  </si>
  <si>
    <t>Resilience</t>
  </si>
  <si>
    <t>CAT-001</t>
  </si>
  <si>
    <t>Student Catalog &amp; Navigation</t>
  </si>
  <si>
    <t>Catalog header and identity</t>
  </si>
  <si>
    <t>Open the landing page.</t>
  </si>
  <si>
    <t>Robotics Programming Lab identity and subtitle render correctly.</t>
  </si>
  <si>
    <t>UI</t>
  </si>
  <si>
    <t>Web/Mobile</t>
  </si>
  <si>
    <t>CAT-002</t>
  </si>
  <si>
    <t>Four assignment cards render</t>
  </si>
  <si>
    <t>Load the catalog.</t>
  </si>
  <si>
    <t>Exactly four current published assignment cards render with title, number, description, and action.</t>
  </si>
  <si>
    <t>UI/API</t>
  </si>
  <si>
    <t>CAT-003</t>
  </si>
  <si>
    <t>Assignment ordering</t>
  </si>
  <si>
    <t>Inspect catalog order.</t>
  </si>
  <si>
    <t>Assignments are ordered 1, 2, 3, 4.</t>
  </si>
  <si>
    <t>CAT-004</t>
  </si>
  <si>
    <t>Progress summary default</t>
  </si>
  <si>
    <t>Open with cleared local progress.</t>
  </si>
  <si>
    <t>Summary shows 0 of 4 completed and 0 percent.</t>
  </si>
  <si>
    <t>State</t>
  </si>
  <si>
    <t>CAT-005</t>
  </si>
  <si>
    <t>Progress badges</t>
  </si>
  <si>
    <t>Record attempts, completion, and solution reveal; return to catalog.</t>
  </si>
  <si>
    <t>Cards distinguish Not started, Attempted, Completed, last score, and Solution viewed states.</t>
  </si>
  <si>
    <t>CAT-006</t>
  </si>
  <si>
    <t>Open assignment</t>
  </si>
  <si>
    <t>Select Start assignment on each card.</t>
  </si>
  <si>
    <t>Correct assignment workspace opens without losing assignment identity.</t>
  </si>
  <si>
    <t>Navigation</t>
  </si>
  <si>
    <t>CAT-007</t>
  </si>
  <si>
    <t>Return to catalog</t>
  </si>
  <si>
    <t>Open an assignment and use Home/back navigation.</t>
  </si>
  <si>
    <t>Catalog returns and refreshed progress is visible.</t>
  </si>
  <si>
    <t>CAT-008</t>
  </si>
  <si>
    <t>Catalog loading state</t>
  </si>
  <si>
    <t>Throttle assignment-list response.</t>
  </si>
  <si>
    <t>Skeleton/loading state renders without layout breakage.</t>
  </si>
  <si>
    <t>UI/Resilience</t>
  </si>
  <si>
    <t>CAT-009</t>
  </si>
  <si>
    <t>Catalog error and retry</t>
  </si>
  <si>
    <t>Stop backend, load catalog, restart backend, select retry.</t>
  </si>
  <si>
    <t>Actionable error appears and retry reloads assignments successfully.</t>
  </si>
  <si>
    <t>CAT-010</t>
  </si>
  <si>
    <t>Instructor entry point</t>
  </si>
  <si>
    <t>Select the instructor shield icon.</t>
  </si>
  <si>
    <t>Instructor assignment studio opens; student progress remains unaffected.</t>
  </si>
  <si>
    <t>WRK-001</t>
  </si>
  <si>
    <t>Assignment Workspace &amp; Editor</t>
  </si>
  <si>
    <t>Correct assignment header</t>
  </si>
  <si>
    <t>Open every assignment.</t>
  </si>
  <si>
    <t>Header shows assignment number, title, progress state, Home action, and AI toggle.</t>
  </si>
  <si>
    <t>WRK-002</t>
  </si>
  <si>
    <t>Starter code loads</t>
  </si>
  <si>
    <t>Open a fresh assignment with no saved draft.</t>
  </si>
  <si>
    <t>Version-correct starter code populates the editor.</t>
  </si>
  <si>
    <t>WRK-003</t>
  </si>
  <si>
    <t>Starter code is syntactically executable</t>
  </si>
  <si>
    <t>Compile and submit starter code for assignments 1 through 4.</t>
  </si>
  <si>
    <t>Each starter runs without unintended SyntaxError or IndentationError.</t>
  </si>
  <si>
    <t>WRK-004</t>
  </si>
  <si>
    <t>Code editing</t>
  </si>
  <si>
    <t>Type, delete, paste, and indent Python code.</t>
  </si>
  <si>
    <t>Editor accurately reflects edits and retains Python formatting.</t>
  </si>
  <si>
    <t>WRK-005</t>
  </si>
  <si>
    <t>Keyboard test execution</t>
  </si>
  <si>
    <t>Press Ctrl+Enter while the editor is active.</t>
  </si>
  <si>
    <t>Exactly one test run starts.</t>
  </si>
  <si>
    <t>Keyboard</t>
  </si>
  <si>
    <t>Web/Desktop</t>
  </si>
  <si>
    <t>WRK-006</t>
  </si>
  <si>
    <t>Run button execution</t>
  </si>
  <si>
    <t>Select Run tests.</t>
  </si>
  <si>
    <t>Button enters running state, blocks duplicate execution, then returns to enabled state.</t>
  </si>
  <si>
    <t>UI/Integration</t>
  </si>
  <si>
    <t>WRK-007</t>
  </si>
  <si>
    <t>Draft autosave</t>
  </si>
  <si>
    <t>Edit code; wait for debounce; leave assignment.</t>
  </si>
  <si>
    <t>Draft is persisted for the assignment.</t>
  </si>
  <si>
    <t>WRK-008</t>
  </si>
  <si>
    <t>Draft restore</t>
  </si>
  <si>
    <t>Reopen an assignment after saving a draft.</t>
  </si>
  <si>
    <t>Saved draft replaces starter code only for that assignment.</t>
  </si>
  <si>
    <t>WRK-009</t>
  </si>
  <si>
    <t>Independent assignment drafts</t>
  </si>
  <si>
    <t>Save different code in two assignments and reopen both.</t>
  </si>
  <si>
    <t>Each assignment restores only its own draft.</t>
  </si>
  <si>
    <t>WRK-010</t>
  </si>
  <si>
    <t>Scenario section</t>
  </si>
  <si>
    <t>Inspect instructions for every assignment.</t>
  </si>
  <si>
    <t>Scenario content is present, readable, and belongs to the correct assignment.</t>
  </si>
  <si>
    <t>Content/UI</t>
  </si>
  <si>
    <t>WRK-011</t>
  </si>
  <si>
    <t>Task and hints sections</t>
  </si>
  <si>
    <t>Inspect instruction structure.</t>
  </si>
  <si>
    <t>Task/question and hints are organized without exposing the solution.</t>
  </si>
  <si>
    <t>Content/Security</t>
  </si>
  <si>
    <t>WRK-012</t>
  </si>
  <si>
    <t>Assignment image rewriting</t>
  </si>
  <si>
    <t>Run against nondefault API_BASE_URL and open assignment 1.</t>
  </si>
  <si>
    <t>Image URL uses the configured backend and loads successfully.</t>
  </si>
  <si>
    <t>WRK-013</t>
  </si>
  <si>
    <t>Desktop panel focus</t>
  </si>
  <si>
    <t>Use focus/maximize controls for editor, instructions, and results.</t>
  </si>
  <si>
    <t>Selected panel expands and restores without losing state.</t>
  </si>
  <si>
    <t>Responsive UI</t>
  </si>
  <si>
    <t>WRK-014</t>
  </si>
  <si>
    <t>Desktop resize handle</t>
  </si>
  <si>
    <t>Drag the editor/instruction divider within allowed limits.</t>
  </si>
  <si>
    <t>Panels resize smoothly and remain usable.</t>
  </si>
  <si>
    <t>WRK-015</t>
  </si>
  <si>
    <t>Mobile workspace tabs</t>
  </si>
  <si>
    <t>Open at a narrow/mobile viewport and select Code, Instructions, and Results.</t>
  </si>
  <si>
    <t>Each tab shows the correct panel without overflow.</t>
  </si>
  <si>
    <t>Mobile/Web</t>
  </si>
  <si>
    <t>WRK-016</t>
  </si>
  <si>
    <t>Workspace state survives tab changes</t>
  </si>
  <si>
    <t>Edit code, switch mobile tabs, and return.</t>
  </si>
  <si>
    <t>Code, results, hint level, and scroll-independent state are retained.</t>
  </si>
  <si>
    <t>State/UI</t>
  </si>
  <si>
    <t>GRD-001</t>
  </si>
  <si>
    <t>Grading &amp; Execution</t>
  </si>
  <si>
    <t>Public run endpoint executes code</t>
  </si>
  <si>
    <t>POST code to /assignments/{id}/run.</t>
  </si>
  <si>
    <t>Execution result contains only public evidence and no hidden expectations.</t>
  </si>
  <si>
    <t>API/Security</t>
  </si>
  <si>
    <t>GRD-002</t>
  </si>
  <si>
    <t>Submission endpoint executes grader</t>
  </si>
  <si>
    <t>POST valid code to /assignments/{id}/submit.</t>
  </si>
  <si>
    <t>Structured submission response includes submission ID, assignment version, score, evidence, and pass results.</t>
  </si>
  <si>
    <t>GRD-003</t>
  </si>
  <si>
    <t>Assignment 1 official solution</t>
  </si>
  <si>
    <t>Submit the server-controlled official solution for assignment 1.</t>
  </si>
  <si>
    <t>All hidden checks pass and score is 100 percent.</t>
  </si>
  <si>
    <t>GRD-004</t>
  </si>
  <si>
    <t>Assignment 2 official solution</t>
  </si>
  <si>
    <t>Submit the server-controlled official solution for assignment 2.</t>
  </si>
  <si>
    <t>GRD-005</t>
  </si>
  <si>
    <t>Assignment 3 official solution</t>
  </si>
  <si>
    <t>Submit the server-controlled official solution for assignment 3.</t>
  </si>
  <si>
    <t>GRD-006</t>
  </si>
  <si>
    <t>Assignment 4 official solution</t>
  </si>
  <si>
    <t>Submit the server-controlled official solution for assignment 4.</t>
  </si>
  <si>
    <t>GRD-007</t>
  </si>
  <si>
    <t>Incorrect code returns useful evidence</t>
  </si>
  <si>
    <t>Submit code with incorrect calculated variables.</t>
  </si>
  <si>
    <t>Program execution and individual calculation failures are reported without expected values.</t>
  </si>
  <si>
    <t>Functional</t>
  </si>
  <si>
    <t>Backend/UI</t>
  </si>
  <si>
    <t>GRD-008</t>
  </si>
  <si>
    <t>Execution error is structured</t>
  </si>
  <si>
    <t>Submit code that raises a runtime exception.</t>
  </si>
  <si>
    <t>Response identifies execution failure safely; UI shows terminal error rather than spinning.</t>
  </si>
  <si>
    <t>Negative</t>
  </si>
  <si>
    <t>GRD-009</t>
  </si>
  <si>
    <t>Empty code handling</t>
  </si>
  <si>
    <t>Submit empty code.</t>
  </si>
  <si>
    <t>Request is rejected with controlled client error and UI remains usable.</t>
  </si>
  <si>
    <t>GRD-010</t>
  </si>
  <si>
    <t>Unknown assignment submission</t>
  </si>
  <si>
    <t>Submit code to assignment 999.</t>
  </si>
  <si>
    <t>HTTP 404 is returned with no execution attempt.</t>
  </si>
  <si>
    <t>GRD-011</t>
  </si>
  <si>
    <t>Score calculation</t>
  </si>
  <si>
    <t>Submit combinations of passing and failing variables.</t>
  </si>
  <si>
    <t>Score and pass/fail counts exactly match structured boolean test outcomes.</t>
  </si>
  <si>
    <t>GRD-012</t>
  </si>
  <si>
    <t>Terminal stdout displayed</t>
  </si>
  <si>
    <t>Submit code that prints output.</t>
  </si>
  <si>
    <t>Captured output appears in Terminal output and remains size-bounded.</t>
  </si>
  <si>
    <t>GRD-013</t>
  </si>
  <si>
    <t>Per-test details displayed</t>
  </si>
  <si>
    <t>Submit an incorrect but executable solution.</t>
  </si>
  <si>
    <t>Every visible test has a Passed or Needs attention card and safe message.</t>
  </si>
  <si>
    <t>GRD-014</t>
  </si>
  <si>
    <t>No hidden expected values in response</t>
  </si>
  <si>
    <t>Inspect public run, submission, hint, logs, and browser network responses.</t>
  </si>
  <si>
    <t>Hidden expected values, test implementation, grader config, and official solution are absent.</t>
  </si>
  <si>
    <t>All</t>
  </si>
  <si>
    <t>GRD-015</t>
  </si>
  <si>
    <t>Submission version captured</t>
  </si>
  <si>
    <t>Submit each assignment and inspect stored/returned assignment_version.</t>
  </si>
  <si>
    <t>Submission records the exact published version used.</t>
  </si>
  <si>
    <t>Data Integrity</t>
  </si>
  <si>
    <t>GRD-016</t>
  </si>
  <si>
    <t>Concurrent run protection in UI</t>
  </si>
  <si>
    <t>Double-click Run tests and press Ctrl+Enter while running.</t>
  </si>
  <si>
    <t>Only one active request is started and progress returns to idle.</t>
  </si>
  <si>
    <t>GRD-017</t>
  </si>
  <si>
    <t>Grading request timeout</t>
  </si>
  <si>
    <t>Force grading past the frontend timeout.</t>
  </si>
  <si>
    <t>UI stops waiting, displays grading-service recovery state, and permits retry.</t>
  </si>
  <si>
    <t>GRD-018</t>
  </si>
  <si>
    <t>Retry after backend recovery</t>
  </si>
  <si>
    <t>Trigger a grading error, restore backend, and select Retry test run.</t>
  </si>
  <si>
    <t>New grading request completes and replaces the error state.</t>
  </si>
  <si>
    <t>SEC-001</t>
  </si>
  <si>
    <t>Sandbox, Security &amp; Privacy</t>
  </si>
  <si>
    <t>Oversized submission rejected</t>
  </si>
  <si>
    <t>Submit more than the configured maximum characters.</t>
  </si>
  <si>
    <t>HTTP 413 is returned before execution.</t>
  </si>
  <si>
    <t>SEC-002</t>
  </si>
  <si>
    <t>Infinite loop terminated</t>
  </si>
  <si>
    <t>Submit an infinite loop.</t>
  </si>
  <si>
    <t>Execution is terminated within the configured timeout and backend remains healthy.</t>
  </si>
  <si>
    <t>Security/Resilience</t>
  </si>
  <si>
    <t>SEC-003</t>
  </si>
  <si>
    <t>Large output capped</t>
  </si>
  <si>
    <t>Submit code producing output beyond the limit.</t>
  </si>
  <si>
    <t>Output is truncated with a marker and memory use remains bounded.</t>
  </si>
  <si>
    <t>SEC-004</t>
  </si>
  <si>
    <t>Dangerous import blocked</t>
  </si>
  <si>
    <t>Submit code importing os or another disallowed capability.</t>
  </si>
  <si>
    <t>Sandbox rejects the code or prevents unsafe capability use.</t>
  </si>
  <si>
    <t>SEC-005</t>
  </si>
  <si>
    <t>No host filesystem access</t>
  </si>
  <si>
    <t>Attempt to read known host paths from production sandbox.</t>
  </si>
  <si>
    <t>Submission cannot access host or repository files.</t>
  </si>
  <si>
    <t>Penetration</t>
  </si>
  <si>
    <t>Docker Sandbox</t>
  </si>
  <si>
    <t>SEC-006</t>
  </si>
  <si>
    <t>No unrestricted network access</t>
  </si>
  <si>
    <t>Attempt outbound network access from production sandbox.</t>
  </si>
  <si>
    <t>Network is denied unless explicitly allowed by assignment policy.</t>
  </si>
  <si>
    <t>SEC-007</t>
  </si>
  <si>
    <t>Container resource limits</t>
  </si>
  <si>
    <t>Run CPU-, memory-, process-, and disk-intensive submissions.</t>
  </si>
  <si>
    <t>Configured resource limits terminate or constrain the workload.</t>
  </si>
  <si>
    <t>Performance/Security</t>
  </si>
  <si>
    <t>SEC-008</t>
  </si>
  <si>
    <t>Sandbox temporary cleanup</t>
  </si>
  <si>
    <t>Run successful, failed, and timed-out submissions; inspect temporary resources.</t>
  </si>
  <si>
    <t>Containers/workspaces are removed and no student code persists unexpectedly.</t>
  </si>
  <si>
    <t>SEC-009</t>
  </si>
  <si>
    <t>Docker sandbox invalid response</t>
  </si>
  <si>
    <t>Force malformed sandbox response.</t>
  </si>
  <si>
    <t>Backend returns controlled execution error without crashing.</t>
  </si>
  <si>
    <t>Negative Integration</t>
  </si>
  <si>
    <t>SEC-010</t>
  </si>
  <si>
    <t>Admin endpoint requires configured token</t>
  </si>
  <si>
    <t>Call /admin/assignments without a token, with an incorrect token, and when admin is unconfigured.</t>
  </si>
  <si>
    <t>Responses are 401 for incorrect/missing token and controlled 503 when unconfigured.</t>
  </si>
  <si>
    <t>Security API</t>
  </si>
  <si>
    <t>SEC-011</t>
  </si>
  <si>
    <t>Instructor token is not OpenAI key</t>
  </si>
  <si>
    <t>Inspect instructor UI labels/help and submit the admin token.</t>
  </si>
  <si>
    <t>UI clearly requests ADMIN_API_TOKEN; OpenAI key is never requested from the client.</t>
  </si>
  <si>
    <t>Security/UX</t>
  </si>
  <si>
    <t>SEC-012</t>
  </si>
  <si>
    <t>Admin token remains server-side/private</t>
  </si>
  <si>
    <t>Inspect browser storage, logs, screenshots, and repository tracking.</t>
  </si>
  <si>
    <t>Token is used only for the active admin request flow and is not committed or logged.</t>
  </si>
  <si>
    <t>Privacy</t>
  </si>
  <si>
    <t>SEC-013</t>
  </si>
  <si>
    <t>Solution endpoint authorization</t>
  </si>
  <si>
    <t>Attempt solution reveal without submission, with another assignment's submission, and with stale-version submission.</t>
  </si>
  <si>
    <t>Solution remains blocked with controlled errors.</t>
  </si>
  <si>
    <t>SEC-014</t>
  </si>
  <si>
    <t>Student assignment payload excludes private fields</t>
  </si>
  <si>
    <t>Inspect assignment list/detail JSON.</t>
  </si>
  <si>
    <t>Payload excludes grader_config, misconceptions policy internals where private, reference path, hidden tests, and solution body.</t>
  </si>
  <si>
    <t>SEC-015</t>
  </si>
  <si>
    <t>Error responses do not leak stack traces or secrets</t>
  </si>
  <si>
    <t>Trigger validation, sandbox, database, and tutor failures.</t>
  </si>
  <si>
    <t>Client receives controlled messages; logs contain no API key or admin token.</t>
  </si>
  <si>
    <t>TUT-001</t>
  </si>
  <si>
    <t>Feedback &amp; Tutoring</t>
  </si>
  <si>
    <t>AI tutoring defaults off</t>
  </si>
  <si>
    <t>Open every assignment in a clean session.</t>
  </si>
  <si>
    <t>AI tutoring switch is off.</t>
  </si>
  <si>
    <t>UI/Configuration</t>
  </si>
  <si>
    <t>TUT-002</t>
  </si>
  <si>
    <t>AI-off grading remains complete</t>
  </si>
  <si>
    <t>Leave AI off and run incorrect starter code.</t>
  </si>
  <si>
    <t>Score, terminal output, and test details appear without tutor delay.</t>
  </si>
  <si>
    <t>TUT-003</t>
  </si>
  <si>
    <t>AI-off request payload</t>
  </si>
  <si>
    <t>Inspect submission request when toggle is off.</t>
  </si>
  <si>
    <t>use_ai_tutor is false and backend does not call OpenAI.</t>
  </si>
  <si>
    <t>TUT-004</t>
  </si>
  <si>
    <t>Built-in tutoring fallback</t>
  </si>
  <si>
    <t>Enable tutoring while OpenAI is unavailable or unconfigured; submit incorrect code.</t>
  </si>
  <si>
    <t>Submission completes and displays Built-in tutor hint.</t>
  </si>
  <si>
    <t>TUT-005</t>
  </si>
  <si>
    <t>OpenAI source label</t>
  </si>
  <si>
    <t>Application dependencies are installed and an authorized funded OpenAI key is configured.</t>
  </si>
  <si>
    <t>With a funded authorized test key, enable tutoring and submit incorrect code.</t>
  </si>
  <si>
    <t>Successful model response displays OpenAI tutor hint.</t>
  </si>
  <si>
    <t>External Integration</t>
  </si>
  <si>
    <t>Current API quota may require this row to be Blocked with evidence.</t>
  </si>
  <si>
    <t>TUT-006</t>
  </si>
  <si>
    <t>Tutor request timeout and no endless spinner</t>
  </si>
  <si>
    <t>Simulate model timeout.</t>
  </si>
  <si>
    <t>Backend falls back within the bounded timeout; Run tests stops loading.</t>
  </si>
  <si>
    <t>TUT-007</t>
  </si>
  <si>
    <t>Tutor input is sanitized</t>
  </si>
  <si>
    <t>Capture mocked model request.</t>
  </si>
  <si>
    <t>Input contains student-visible evidence only; no hidden values/tests/config/solution.</t>
  </si>
  <si>
    <t>TUT-008</t>
  </si>
  <si>
    <t>Tutor never reveals official solution</t>
  </si>
  <si>
    <t>Exercise common prompt-injection and answer-request attempts.</t>
  </si>
  <si>
    <t>Feedback provides diagnosis/questions/hints without replacement solution or hidden evidence.</t>
  </si>
  <si>
    <t>AI Safety</t>
  </si>
  <si>
    <t>TUT-009</t>
  </si>
  <si>
    <t>Hint level 1</t>
  </si>
  <si>
    <t>Request initial tutor feedback.</t>
  </si>
  <si>
    <t>Response shows level 1 of 4 with an appropriate first-step hint.</t>
  </si>
  <si>
    <t>TUT-010</t>
  </si>
  <si>
    <t>Progressive hints levels 2 through 4</t>
  </si>
  <si>
    <t>Select Get another hint repeatedly.</t>
  </si>
  <si>
    <t>Levels increment once, content becomes progressively more specific, and level 4 disables further requests.</t>
  </si>
  <si>
    <t>TUT-011</t>
  </si>
  <si>
    <t>Invalid hint levels rejected</t>
  </si>
  <si>
    <t>Request levels 0 and 5.</t>
  </si>
  <si>
    <t>HTTP 400 validation error is returned.</t>
  </si>
  <si>
    <t>TUT-012</t>
  </si>
  <si>
    <t>Cross-assignment hint request rejected</t>
  </si>
  <si>
    <t>Use an assignment 2 submission ID for assignment 1 hint endpoint.</t>
  </si>
  <si>
    <t>HTTP 404 is returned and no hint interaction is stored.</t>
  </si>
  <si>
    <t>TUT-013</t>
  </si>
  <si>
    <t>Hint error recovery</t>
  </si>
  <si>
    <t>Make the hint endpoint unavailable and select Get another hint.</t>
  </si>
  <si>
    <t>Panel shows a retryable error and preserves the current hint.</t>
  </si>
  <si>
    <t>PRG-001</t>
  </si>
  <si>
    <t>Solutions &amp; Learning Progress</t>
  </si>
  <si>
    <t>Solution initially locked</t>
  </si>
  <si>
    <t>Open a fresh assignment.</t>
  </si>
  <si>
    <t>Worked solution is locked until a current-version run/submission exists.</t>
  </si>
  <si>
    <t>Security/UI</t>
  </si>
  <si>
    <t>PRG-002</t>
  </si>
  <si>
    <t>Solution reveals after attempt</t>
  </si>
  <si>
    <t>Run tests, then select reveal solution and confirm.</t>
  </si>
  <si>
    <t>Current assignment solution loads from backend and is marked revealed.</t>
  </si>
  <si>
    <t>PRG-003</t>
  </si>
  <si>
    <t>Solution reveal persists</t>
  </si>
  <si>
    <t>Reveal a solution, leave, and reopen the assignment.</t>
  </si>
  <si>
    <t>Solution-viewed state and protected solution reload correctly.</t>
  </si>
  <si>
    <t>PRG-004</t>
  </si>
  <si>
    <t>Stale solution reveal invalidated</t>
  </si>
  <si>
    <t>Reveal a solution, publish a newer assignment version, and reopen.</t>
  </si>
  <si>
    <t>Old reveal state clears; student must run the new version before reveal.</t>
  </si>
  <si>
    <t>Versioning/Security</t>
  </si>
  <si>
    <t>PRG-005</t>
  </si>
  <si>
    <t>Attempt count persists</t>
  </si>
  <si>
    <t>Run tests multiple times; reload application.</t>
  </si>
  <si>
    <t>Attempt count remains correct.</t>
  </si>
  <si>
    <t>PRG-006</t>
  </si>
  <si>
    <t>Latest score persists</t>
  </si>
  <si>
    <t>Record scores in sequence and reload.</t>
  </si>
  <si>
    <t>Latest score reflects the most recent graded attempt.</t>
  </si>
  <si>
    <t>PRG-007</t>
  </si>
  <si>
    <t>Best score never decreases</t>
  </si>
  <si>
    <t>Earn a high score, then submit a lower score.</t>
  </si>
  <si>
    <t>Best score remains the historical maximum.</t>
  </si>
  <si>
    <t>PRG-008</t>
  </si>
  <si>
    <t>Submission ID persists by assignment</t>
  </si>
  <si>
    <t>Run assignments, reload, and inspect protected operations.</t>
  </si>
  <si>
    <t>Latest submission ID is retained separately per assignment.</t>
  </si>
  <si>
    <t>PRG-009</t>
  </si>
  <si>
    <t>Progress states are distinct</t>
  </si>
  <si>
    <t>Create Not started, Attempted, Completed, and Solution viewed states.</t>
  </si>
  <si>
    <t>Catalog presents each state unambiguously.</t>
  </si>
  <si>
    <t>UI/State</t>
  </si>
  <si>
    <t>PRG-010</t>
  </si>
  <si>
    <t>Local storage corruption handling</t>
  </si>
  <si>
    <t>Insert malformed progress data and reload.</t>
  </si>
  <si>
    <t>Application falls back safely without crashing or mixing assignment state.</t>
  </si>
  <si>
    <t>PRG-011</t>
  </si>
  <si>
    <t>Native and web storage adapters</t>
  </si>
  <si>
    <t>Run persistence tests on supported native target and web.</t>
  </si>
  <si>
    <t>Platform-appropriate storage initializes and reads/writes values.</t>
  </si>
  <si>
    <t>Cross-platform</t>
  </si>
  <si>
    <t>PRG-012</t>
  </si>
  <si>
    <t>No progress loss on responsive navigation</t>
  </si>
  <si>
    <t>Run tests, switch tabs/layouts, return Home, and reopen.</t>
  </si>
  <si>
    <t>Attempt and result metadata remain accurate.</t>
  </si>
  <si>
    <t>ADM-001</t>
  </si>
  <si>
    <t>Instructor Assignment Studio</t>
  </si>
  <si>
    <t>UI/Security</t>
  </si>
  <si>
    <t>ADM-002</t>
  </si>
  <si>
    <t>ADM-003</t>
  </si>
  <si>
    <t>ADM-004</t>
  </si>
  <si>
    <t>Create assignment form</t>
  </si>
  <si>
    <t>Select New assignment.</t>
  </si>
  <si>
    <t>Editor opens with required configurable assignment fields and safe defaults.</t>
  </si>
  <si>
    <t>ADM-005</t>
  </si>
  <si>
    <t>Create unique assignment</t>
  </si>
  <si>
    <t>Complete a valid new assignment and save.</t>
  </si>
  <si>
    <t>Server assigns numeric ID, stable ID remains unique, version is controlled, and assignment is draft.</t>
  </si>
  <si>
    <t>ADM-006</t>
  </si>
  <si>
    <t>Duplicate stable ID rejected</t>
  </si>
  <si>
    <t>Create or edit an assignment using an existing stable ID.</t>
  </si>
  <si>
    <t>HTTP 409/controlled UI error prevents duplicate.</t>
  </si>
  <si>
    <t>ADM-007</t>
  </si>
  <si>
    <t>Edit existing assignment</t>
  </si>
  <si>
    <t>Open assignment 1, change a content field, and save.</t>
  </si>
  <si>
    <t>Change persists; version increments once; stable ID is preserved; status becomes draft.</t>
  </si>
  <si>
    <t>Versioning</t>
  </si>
  <si>
    <t>ADM-008</t>
  </si>
  <si>
    <t>Client cannot force version</t>
  </si>
  <si>
    <t>Send an update with version 999.</t>
  </si>
  <si>
    <t>Server ignores forced version and applies exactly one controlled increment.</t>
  </si>
  <si>
    <t>Security/Data</t>
  </si>
  <si>
    <t>ADM-009</t>
  </si>
  <si>
    <t>Client cannot bypass publish validation</t>
  </si>
  <si>
    <t>Send an update that sets status published.</t>
  </si>
  <si>
    <t>Content changes remain draft until validated and published through dedicated endpoint.</t>
  </si>
  <si>
    <t>ADM-010</t>
  </si>
  <si>
    <t>Assignment validation success</t>
  </si>
  <si>
    <t>Validate each current assignment.</t>
  </si>
  <si>
    <t>valid true and empty error list are returned.</t>
  </si>
  <si>
    <t>ADM-011</t>
  </si>
  <si>
    <t>Assignment validation failure</t>
  </si>
  <si>
    <t>Create a draft with missing/invalid reference solution, grader config, or required fields; validate.</t>
  </si>
  <si>
    <t>Validation reports actionable errors and publish remains blocked.</t>
  </si>
  <si>
    <t>ADM-012</t>
  </si>
  <si>
    <t>Reference solution executed before publish</t>
  </si>
  <si>
    <t>Validate a draft whose official solution fails the grader.</t>
  </si>
  <si>
    <t>Validation fails; assignment cannot publish.</t>
  </si>
  <si>
    <t>Content Integrity</t>
  </si>
  <si>
    <t>ADM-013</t>
  </si>
  <si>
    <t>Publish validated draft</t>
  </si>
  <si>
    <t>Save valid draft, validate, then publish.</t>
  </si>
  <si>
    <t>Status becomes published and student endpoints serve the new version.</t>
  </si>
  <si>
    <t>ADM-014</t>
  </si>
  <si>
    <t>Published content visible to students</t>
  </si>
  <si>
    <t>Publish a revision; reload catalog/detail.</t>
  </si>
  <si>
    <t>Student view shows published content and version without private fields.</t>
  </si>
  <si>
    <t>ADM-015</t>
  </si>
  <si>
    <t>Archived assignment behavior</t>
  </si>
  <si>
    <t>Archive an assignment through the supported status path.</t>
  </si>
  <si>
    <t>Assignment is retained for records but excluded from current student catalog.</t>
  </si>
  <si>
    <t>Lifecycle</t>
  </si>
  <si>
    <t>ADM-016</t>
  </si>
  <si>
    <t>Admin request timeouts</t>
  </si>
  <si>
    <t>Make admin backend unresponsive.</t>
  </si>
  <si>
    <t>UI exits loading state within 20 seconds and shows an actionable error.</t>
  </si>
  <si>
    <t>ADM-017</t>
  </si>
  <si>
    <t>Structured field serialization</t>
  </si>
  <si>
    <t>Edit objectives, rubric, misconceptions, tutor rules, grader config, and simulation config; save/reopen.</t>
  </si>
  <si>
    <t>Structured values round-trip without loss or invalid JSON.</t>
  </si>
  <si>
    <t>CNT-001</t>
  </si>
  <si>
    <t>Assignment Content &amp; Pedagogy</t>
  </si>
  <si>
    <t>All assignments have stable IDs and versions</t>
  </si>
  <si>
    <t>Inspect public/admin payloads and database records.</t>
  </si>
  <si>
    <t>Assignments 1-4 have unique stable IDs and expected versions 3, 2, 3, 2.</t>
  </si>
  <si>
    <t>Content/Data</t>
  </si>
  <si>
    <t>CNT-002</t>
  </si>
  <si>
    <t>Learning objectives present</t>
  </si>
  <si>
    <t>Inspect every assignment detail.</t>
  </si>
  <si>
    <t>Each assignment contains specific learning objectives.</t>
  </si>
  <si>
    <t>Content</t>
  </si>
  <si>
    <t>CNT-003</t>
  </si>
  <si>
    <t>Rubric present and aligned</t>
  </si>
  <si>
    <t>Compare instructions, grader variables, and rubric for every assignment.</t>
  </si>
  <si>
    <t>Rubric evaluates the stated task and contains no contradictory requirement.</t>
  </si>
  <si>
    <t>CNT-004</t>
  </si>
  <si>
    <t>Misconceptions and hint policy present</t>
  </si>
  <si>
    <t>Inspect admin assignment records.</t>
  </si>
  <si>
    <t>Each assignment has relevant misconceptions and progressive tutoring rules.</t>
  </si>
  <si>
    <t>CNT-005</t>
  </si>
  <si>
    <t>No official solution embedded in student instructions</t>
  </si>
  <si>
    <t>Scan all published assignment_html and rendered instructions.</t>
  </si>
  <si>
    <t>No Solution heading, official code, hidden expected value, or answer explanation is exposed.</t>
  </si>
  <si>
    <t>Academic Integrity</t>
  </si>
  <si>
    <t>CNT-006</t>
  </si>
  <si>
    <t>Assignment 1 distance scenario consistency</t>
  </si>
  <si>
    <t>Recalculate the Euclidean and boundary path described in assignment 1; compare grader and solution.</t>
  </si>
  <si>
    <t>Instructions, official solution, and expected total are consistent.</t>
  </si>
  <si>
    <t>Content Regression</t>
  </si>
  <si>
    <t>CNT-007</t>
  </si>
  <si>
    <t>Assignment 3 dynamic obstacle activates</t>
  </si>
  <si>
    <t>Run the official solution and inspect the obstacle distance/detour branch.</t>
  </si>
  <si>
    <t>Movable obstacle is within detection range and the half-circle detour affects expected paths/times.</t>
  </si>
  <si>
    <t>CNT-008</t>
  </si>
  <si>
    <t>Simulation configuration valid for code-only assignments</t>
  </si>
  <si>
    <t>Inspect assignments without an active simulator.</t>
  </si>
  <si>
    <t>Configuration clearly represents code-only behavior and does not block execution.</t>
  </si>
  <si>
    <t>CNT-009</t>
  </si>
  <si>
    <t>Seed synchronization upgrades only newer versions</t>
  </si>
  <si>
    <t>Start with older local seed records, run startup sync, then test equal/newer local versions.</t>
  </si>
  <si>
    <t>Older records upgrade to newer seeds; equal/newer database versions are preserved.</t>
  </si>
  <si>
    <t>Data Migration</t>
  </si>
  <si>
    <t>CNT-010</t>
  </si>
  <si>
    <t>Every published assignment automatically validates</t>
  </si>
  <si>
    <t>Run the publication validation suite.</t>
  </si>
  <si>
    <t>Every published assignment's starter, reference solution, grader, content fields, and assets pass.</t>
  </si>
  <si>
    <t>Automated Content QA</t>
  </si>
  <si>
    <t>UX-001</t>
  </si>
  <si>
    <t>Responsive, Accessibility &amp; Usability</t>
  </si>
  <si>
    <t>Desktop layout at standard viewport</t>
  </si>
  <si>
    <t>Test at 1280x720 and larger.</t>
  </si>
  <si>
    <t>Catalog and three-panel workspace are readable with no clipping or overlap.</t>
  </si>
  <si>
    <t>UX-002</t>
  </si>
  <si>
    <t>Mobile layout at 390x844</t>
  </si>
  <si>
    <t>Test catalog and assignment workspace at 390x844.</t>
  </si>
  <si>
    <t>Single-column catalog and tabbed workspace render without horizontal overflow.</t>
  </si>
  <si>
    <t>UX-003</t>
  </si>
  <si>
    <t>Narrow result panel at 320px</t>
  </si>
  <si>
    <t>Render grading results with hint and test cards in a 320px surface.</t>
  </si>
  <si>
    <t>No RenderFlex overflow; text and actions wrap readably.</t>
  </si>
  <si>
    <t>UX-004</t>
  </si>
  <si>
    <t>Keyboard navigation</t>
  </si>
  <si>
    <t>Navigate primary actions using Tab, Shift+Tab, Enter, Space, and Escape.</t>
  </si>
  <si>
    <t>Focus order is logical and every critical action is operable.</t>
  </si>
  <si>
    <t>UX-005</t>
  </si>
  <si>
    <t>Accessible names and semantics</t>
  </si>
  <si>
    <t>Inspect screen-reader/semantics tree for navigation, editor, score, tests, toggles, and buttons.</t>
  </si>
  <si>
    <t>Controls have meaningful labels and result state is announced.</t>
  </si>
  <si>
    <t>UX-006</t>
  </si>
  <si>
    <t>Color contrast and noncolor cues</t>
  </si>
  <si>
    <t>Review primary text, status cards, buttons, errors, and hints.</t>
  </si>
  <si>
    <t>Contrast is readable and pass/fail is also conveyed by icon/text.</t>
  </si>
  <si>
    <t>UX-007</t>
  </si>
  <si>
    <t>Text scaling</t>
  </si>
  <si>
    <t>Test browser/OS text scaling to 200 percent.</t>
  </si>
  <si>
    <t>Critical content and actions remain available without overlap.</t>
  </si>
  <si>
    <t>UX-008</t>
  </si>
  <si>
    <t>Loading and progress feedback</t>
  </si>
  <si>
    <t>Exercise catalog, grading, hint, solution, and admin requests.</t>
  </si>
  <si>
    <t>Every asynchronous action provides visible progress and returns to a stable state.</t>
  </si>
  <si>
    <t>Usability</t>
  </si>
  <si>
    <t>UX-009</t>
  </si>
  <si>
    <t>Error messages are actionable</t>
  </si>
  <si>
    <t>Trigger catalog, assignment, grading, hint, solution, and admin failures.</t>
  </si>
  <si>
    <t>Messages explain recovery without revealing internal details.</t>
  </si>
  <si>
    <t>UX-010</t>
  </si>
  <si>
    <t>Browser console cleanliness</t>
  </si>
  <si>
    <t>Exercise the complete critical path; inspect console.</t>
  </si>
  <si>
    <t>No application error or warning is emitted.</t>
  </si>
  <si>
    <t>Runtime QA</t>
  </si>
  <si>
    <t>DAT-001</t>
  </si>
  <si>
    <t>Data, Infrastructure &amp; Deployment</t>
  </si>
  <si>
    <t>SQLite local persistence</t>
  </si>
  <si>
    <t>Run local backend, create submissions/hints, restart backend, inspect records.</t>
  </si>
  <si>
    <t>Local data persists in ignored SQLite database and schema remains usable.</t>
  </si>
  <si>
    <t>DAT-002</t>
  </si>
  <si>
    <t>PostgreSQL connection</t>
  </si>
  <si>
    <t>Start Compose PostgreSQL and backend with DATABASE_URL; run API tests.</t>
  </si>
  <si>
    <t>Backend connects, creates/uses schema, and critical flows pass.</t>
  </si>
  <si>
    <t>Docker/PostgreSQL</t>
  </si>
  <si>
    <t>DAT-003</t>
  </si>
  <si>
    <t>PostgreSQL migration strategy</t>
  </si>
  <si>
    <t>Apply migrations to a production-like previous schema and test rollback.</t>
  </si>
  <si>
    <t>Upgrade preserves assignments/submissions; rollback behavior is documented and tested.</t>
  </si>
  <si>
    <t>Migration</t>
  </si>
  <si>
    <t>PostgreSQL</t>
  </si>
  <si>
    <t>DAT-004</t>
  </si>
  <si>
    <t>Redis availability</t>
  </si>
  <si>
    <t>Start Redis and inspect health/connectivity from configured worker path.</t>
  </si>
  <si>
    <t>Redis accepts connections and does not block synchronous grading when unavailable.</t>
  </si>
  <si>
    <t>Redis</t>
  </si>
  <si>
    <t>DAT-005</t>
  </si>
  <si>
    <t>Docker Compose configuration</t>
  </si>
  <si>
    <t>Run docker compose config.</t>
  </si>
  <si>
    <t>Compose resolves backend, PostgreSQL, Redis, sandbox image, volumes, environment, and health dependencies.</t>
  </si>
  <si>
    <t>Docker</t>
  </si>
  <si>
    <t>DAT-006</t>
  </si>
  <si>
    <t>Sandbox image builds</t>
  </si>
  <si>
    <t>Run docker compose --profile build build sandbox-image.</t>
  </si>
  <si>
    <t>Sandbox image builds reproducibly.</t>
  </si>
  <si>
    <t>Build</t>
  </si>
  <si>
    <t>DAT-007</t>
  </si>
  <si>
    <t>Full Compose stack starts</t>
  </si>
  <si>
    <t>Run docker compose up --build postgres redis backend.</t>
  </si>
  <si>
    <t>Healthy services start; /health reports PostgreSQL and Docker sandbox configuration.</t>
  </si>
  <si>
    <t>DAT-008</t>
  </si>
  <si>
    <t>Backend Docker image is production-startable</t>
  </si>
  <si>
    <t>Build and run backend/Dockerfile with required environment.</t>
  </si>
  <si>
    <t>Container starts FastAPI and serves health/API endpoints.</t>
  </si>
  <si>
    <t>Build/Smoke</t>
  </si>
  <si>
    <t>DAT-009</t>
  </si>
  <si>
    <t>Compose loads backend/.env without exposing it</t>
  </si>
  <si>
    <t>Configure ignored backend/.env; start Compose; inspect runtime behavior and image layers.</t>
  </si>
  <si>
    <t>Values are available to backend and are not copied into repository/image output.</t>
  </si>
  <si>
    <t>Security/Configuration</t>
  </si>
  <si>
    <t>DAT-010</t>
  </si>
  <si>
    <t>Managed asset path</t>
  </si>
  <si>
    <t>Store/read a test managed asset through configured storage boundary.</t>
  </si>
  <si>
    <t>Asset is stored outside source-controlled assignment metadata and retrieved securely.</t>
  </si>
  <si>
    <t>DAT-011</t>
  </si>
  <si>
    <t>Flutter web release build</t>
  </si>
  <si>
    <t>Run flutter build web with API_BASE_URL.</t>
  </si>
  <si>
    <t>Release build succeeds and generated assets load from a static server.</t>
  </si>
  <si>
    <t>DAT-012</t>
  </si>
  <si>
    <t>Android build readiness</t>
  </si>
  <si>
    <t>On configured Android SDK environment, run flutter build apk.</t>
  </si>
  <si>
    <t>APK builds or any documented external prerequisite is recorded.</t>
  </si>
  <si>
    <t>Android</t>
  </si>
  <si>
    <t>DAT-013</t>
  </si>
  <si>
    <t>Web deployment deep links and refresh</t>
  </si>
  <si>
    <t>Deploy/serve build, navigate, and refresh catalog and assignment views.</t>
  </si>
  <si>
    <t>Application initializes correctly without 404/resource failures.</t>
  </si>
  <si>
    <t>Deployment</t>
  </si>
  <si>
    <t>DAT-014</t>
  </si>
  <si>
    <t>Database and assets excluded from Git</t>
  </si>
  <si>
    <t>Run git status/ls-files after app use.</t>
  </si>
  <si>
    <t>Runtime databases, managed assets, build outputs, and environment files are ignored.</t>
  </si>
  <si>
    <t>Repository Security</t>
  </si>
  <si>
    <t>REL-001</t>
  </si>
  <si>
    <t>Automated Quality &amp; Release</t>
  </si>
  <si>
    <t>Backend pytest suite</t>
  </si>
  <si>
    <t>Run .\venv\Scripts\python.exe -m pytest -q from backend.</t>
  </si>
  <si>
    <t>All maintained backend tests pass.</t>
  </si>
  <si>
    <t>REL-002</t>
  </si>
  <si>
    <t>Python compilation</t>
  </si>
  <si>
    <t>Run python -m compileall against maintained backend modules/tests.</t>
  </si>
  <si>
    <t>No syntax or import compilation errors occur.</t>
  </si>
  <si>
    <t>REL-003</t>
  </si>
  <si>
    <t>Flutter analyzer</t>
  </si>
  <si>
    <t>Run flutter analyze.</t>
  </si>
  <si>
    <t>No analyzer issues are reported.</t>
  </si>
  <si>
    <t>REL-004</t>
  </si>
  <si>
    <t>Flutter test suite</t>
  </si>
  <si>
    <t>Run flutter test.</t>
  </si>
  <si>
    <t>All state and widget tests pass.</t>
  </si>
  <si>
    <t>REL-005</t>
  </si>
  <si>
    <t>Source whitespace check</t>
  </si>
  <si>
    <t>Run git diff --check excluding pre-existing tracked virtual environments.</t>
  </si>
  <si>
    <t>Maintained project-source diff has no whitespace errors.</t>
  </si>
  <si>
    <t>Repository QA</t>
  </si>
  <si>
    <t>REL-006</t>
  </si>
  <si>
    <t>No unintended generated files in commit</t>
  </si>
  <si>
    <t>Inspect staged diff and file list before commit.</t>
  </si>
  <si>
    <t>Commit contains only intended source, tests, docs, and configuration.</t>
  </si>
  <si>
    <t>REL-007</t>
  </si>
  <si>
    <t>Release commit traceability</t>
  </si>
  <si>
    <t>Verify commit message, branch, issue/PR links, and checklist evidence.</t>
  </si>
  <si>
    <t>Release can be traced to approved scope, checks, defects, and sign-off.</t>
  </si>
  <si>
    <t>REL-008</t>
  </si>
  <si>
    <t>Critical-path real browser test</t>
  </si>
  <si>
    <t>Exercise catalog, assignment, grading, results, hints/fallback, solution, and instructor studio in compiled web app.</t>
  </si>
  <si>
    <t>All workflows pass with zero browser warnings/errors.</t>
  </si>
  <si>
    <t>End-to-End</t>
  </si>
  <si>
    <t>REL-009</t>
  </si>
  <si>
    <t>Known limitations documented</t>
  </si>
  <si>
    <t>Review README, plan, release notes, and checklist Blocked/Deferred rows.</t>
  </si>
  <si>
    <t>External/tooling limitations are explicit and do not masquerade as passing functionality.</t>
  </si>
  <si>
    <t>Documentation</t>
  </si>
  <si>
    <t>REL-010</t>
  </si>
  <si>
    <t>Release gate formula reviewed</t>
  </si>
  <si>
    <t>Complete checklist statuses and inspect Release Dashboard.</t>
  </si>
  <si>
    <t>Dashboard blocks release for failed/blocked Release Gate rows and incomplete current checks.</t>
  </si>
  <si>
    <t>Excel</t>
  </si>
  <si>
    <t>REL-011</t>
  </si>
  <si>
    <t>Defects linked and retested</t>
  </si>
  <si>
    <t>For every Fail, enter defect ID; after fix, fill retest fields and evidence.</t>
  </si>
  <si>
    <t>No failed row lacks traceability; closed defects have passing retest evidence.</t>
  </si>
  <si>
    <t>REL-012</t>
  </si>
  <si>
    <t>Formal release sign-off</t>
  </si>
  <si>
    <t>Complete SQA, developer, instructor, security, and product sign-off as applicable.</t>
  </si>
  <si>
    <t>Required approvers record decision, name, and date before release.</t>
  </si>
  <si>
    <t>Future Roadmap Readiness</t>
  </si>
  <si>
    <t>FUT-002</t>
  </si>
  <si>
    <t>Courses, enrollments, and ownership</t>
  </si>
  <si>
    <t>Create courses, enroll users, assign instructors, and verify isolation.</t>
  </si>
  <si>
    <t>Course data and assignments are visible only to authorized membership.</t>
  </si>
  <si>
    <t>Future Functional</t>
  </si>
  <si>
    <t>FUT-003</t>
  </si>
  <si>
    <t>Assignment version history and rollback</t>
  </si>
  <si>
    <t>Publish several versions; inspect history; roll back by creating a new published version.</t>
  </si>
  <si>
    <t>History remains immutable and student submissions retain original version.</t>
  </si>
  <si>
    <t>Future Versioning</t>
  </si>
  <si>
    <t>FUT-004</t>
  </si>
  <si>
    <t>Object storage integration</t>
  </si>
  <si>
    <t>Upload/download starter packages, assets, hidden tests, and simulation files.</t>
  </si>
  <si>
    <t>Authorized assets are durable, versioned, and unavailable to unauthorized clients.</t>
  </si>
  <si>
    <t>Future Integration</t>
  </si>
  <si>
    <t>FUT-005</t>
  </si>
  <si>
    <t>Background grading jobs</t>
  </si>
  <si>
    <t>Submit long-running task; poll, cancel, retry, and recover worker failure.</t>
  </si>
  <si>
    <t>Job lifecycle is durable, idempotent, observable, and bounded.</t>
  </si>
  <si>
    <t>Future Resilience</t>
  </si>
  <si>
    <t>FUT-006</t>
  </si>
  <si>
    <t>Common simulation adapter</t>
  </si>
  <si>
    <t>Run code-only and simulation assignments through common workflow.</t>
  </si>
  <si>
    <t>Both return the same high-level submission/evidence contract.</t>
  </si>
  <si>
    <t>Future Architecture</t>
  </si>
  <si>
    <t>FUT-007</t>
  </si>
  <si>
    <t>Deterministic simulation repeatability</t>
  </si>
  <si>
    <t>Run same assignment/configuration/seed multiple times.</t>
  </si>
  <si>
    <t>Metrics and grader result are reproducible within documented tolerance.</t>
  </si>
  <si>
    <t>Future Simulation</t>
  </si>
  <si>
    <t>Worker</t>
  </si>
  <si>
    <t>FUT-008</t>
  </si>
  <si>
    <t>Simulation artifacts and replay</t>
  </si>
  <si>
    <t>Complete simulation and open replay/screenshots/logs.</t>
  </si>
  <si>
    <t>Artifacts belong to the correct attempt/version and are access-controlled.</t>
  </si>
  <si>
    <t>FUT-009</t>
  </si>
  <si>
    <t>AI tutor evaluation suite</t>
  </si>
  <si>
    <t>Run curated success, misconception, prompt-injection, privacy, and solution-leak cases.</t>
  </si>
  <si>
    <t>Quality/safety thresholds pass before enabling AI broadly.</t>
  </si>
  <si>
    <t>Future AI Safety</t>
  </si>
  <si>
    <t>FUT-010</t>
  </si>
  <si>
    <t>AI cost and rate controls</t>
  </si>
  <si>
    <t>Exercise per-user/course budgets, concurrency, rate limits, and fallback.</t>
  </si>
  <si>
    <t>Costs and latency are bounded; learning workflow remains available.</t>
  </si>
  <si>
    <t>Future AI Operations</t>
  </si>
  <si>
    <t>FUT-011</t>
  </si>
  <si>
    <t>Instructor analytics</t>
  </si>
  <si>
    <t>Generate attempts, scores, misconceptions, hints, and completion events.</t>
  </si>
  <si>
    <t>Dashboard metrics reconcile with underlying records and respect privacy.</t>
  </si>
  <si>
    <t>Future Analytics</t>
  </si>
  <si>
    <t>FUT-012</t>
  </si>
  <si>
    <t>LMS/gradebook integration</t>
  </si>
  <si>
    <t>Sync roster/assignment/grade using test LMS.</t>
  </si>
  <si>
    <t>Mappings are correct, idempotent, secure, and auditable.</t>
  </si>
  <si>
    <t>FUT-013</t>
  </si>
  <si>
    <t>Accessibility conformance audit</t>
  </si>
  <si>
    <t>Run automated and manual WCAG audit across web/mobile critical paths.</t>
  </si>
  <si>
    <t>Target conformance is met with documented exceptions and remediation.</t>
  </si>
  <si>
    <t>Future Accessibility</t>
  </si>
  <si>
    <t>Assignment ID</t>
  </si>
  <si>
    <t>Stable ID</t>
  </si>
  <si>
    <t>Version</t>
  </si>
  <si>
    <t>Title</t>
  </si>
  <si>
    <t>Published</t>
  </si>
  <si>
    <t>Detail Loads</t>
  </si>
  <si>
    <t>Starter Compiles</t>
  </si>
  <si>
    <t>Starter Executes</t>
  </si>
  <si>
    <t>Official Solution</t>
  </si>
  <si>
    <t>Public Run</t>
  </si>
  <si>
    <t>Hidden Grading</t>
  </si>
  <si>
    <t>Evidence UI</t>
  </si>
  <si>
    <t>Solution Protection</t>
  </si>
  <si>
    <t>Hint Policy</t>
  </si>
  <si>
    <t>Simulation Config</t>
  </si>
  <si>
    <t>Last Verified</t>
  </si>
  <si>
    <t>Evidence</t>
  </si>
  <si>
    <t>robotics-assignment-1</t>
  </si>
  <si>
    <t>Obstacle Avoidance: Bug Algorithm Scenario 1</t>
  </si>
  <si>
    <t>Verify consistent Euclidean/boundary distance and no embedded solution.</t>
  </si>
  <si>
    <t>robotics-assignment-2</t>
  </si>
  <si>
    <t>Obstacle Avoidance: Bug Algorithm Scenario 2</t>
  </si>
  <si>
    <t>Verify four expected calculation variables and total path length.</t>
  </si>
  <si>
    <t>robotics-assignment-3</t>
  </si>
  <si>
    <t>Autonomous Robot Navigation in a Dynamic Office Environment</t>
  </si>
  <si>
    <t>Verify movable obstacle activates the configured half-circle detour.</t>
  </si>
  <si>
    <t>robotics-assignment-4</t>
  </si>
  <si>
    <t>Calculating Safe Trajectory using Vector Field Histogram (VFH)</t>
  </si>
  <si>
    <t>Verify histogram and optimal-sector calculations.</t>
  </si>
  <si>
    <t>Environment</t>
  </si>
  <si>
    <t>Steps to Reproduce</t>
  </si>
  <si>
    <t>Expected</t>
  </si>
  <si>
    <t>Actual</t>
  </si>
  <si>
    <t>Owner</t>
  </si>
  <si>
    <t>Found Date</t>
  </si>
  <si>
    <t>Fix Version / Commit</t>
  </si>
  <si>
    <t>Retest Result</t>
  </si>
  <si>
    <t>Retest Date</t>
  </si>
  <si>
    <t>Evidence Link / Path</t>
  </si>
  <si>
    <t>Robotics Programming Lab - SQA Release Dashboard</t>
  </si>
  <si>
    <t>Complete the Master Checklist for every release. Attach evidence, link defects, retest fixes, and obtain sign-off before publishing.</t>
  </si>
  <si>
    <t>Release / Version</t>
  </si>
  <si>
    <t>Branch</t>
  </si>
  <si>
    <t>Commit</t>
  </si>
  <si>
    <t>SQA Owner</t>
  </si>
  <si>
    <t>Backend URL</t>
  </si>
  <si>
    <t>Frontend Target</t>
  </si>
  <si>
    <t>Scope Notes</t>
  </si>
  <si>
    <t>Release Readiness</t>
  </si>
  <si>
    <t>Metric</t>
  </si>
  <si>
    <t>Value</t>
  </si>
  <si>
    <t>Total Checks</t>
  </si>
  <si>
    <t>Current Scope</t>
  </si>
  <si>
    <t>Passed</t>
  </si>
  <si>
    <t>Failed</t>
  </si>
  <si>
    <t>Completion</t>
  </si>
  <si>
    <t>Pass Rate</t>
  </si>
  <si>
    <t>Release Gate Fail/Blocked</t>
  </si>
  <si>
    <t>Category Coverage</t>
  </si>
  <si>
    <t>Total</t>
  </si>
  <si>
    <t>Progress</t>
  </si>
  <si>
    <t>Open product/architecture plan</t>
  </si>
  <si>
    <t>Release Sign-off</t>
  </si>
  <si>
    <t>Sign only after the Release Dashboard is complete, all Release Gate checks are resolved, and defects have retest evidence.</t>
  </si>
  <si>
    <t>Gate</t>
  </si>
  <si>
    <t>Required Evidence</t>
  </si>
  <si>
    <t>Date</t>
  </si>
  <si>
    <t>Comments</t>
  </si>
  <si>
    <t>Automated backend tests</t>
  </si>
  <si>
    <t>pytest output</t>
  </si>
  <si>
    <t>Flutter analysis/tests/build</t>
  </si>
  <si>
    <t>Command output</t>
  </si>
  <si>
    <t>All published assignments validate</t>
  </si>
  <si>
    <t>Validation report</t>
  </si>
  <si>
    <t>All official solutions pass</t>
  </si>
  <si>
    <t>Per-assignment evidence</t>
  </si>
  <si>
    <t>Desktop/mobile critical path</t>
  </si>
  <si>
    <t>Screenshots or test record</t>
  </si>
  <si>
    <t>Sandbox security checks</t>
  </si>
  <si>
    <t>Timeout/import/output/resource evidence</t>
  </si>
  <si>
    <t>Instructor workflow</t>
  </si>
  <si>
    <t>Create/edit/validate/publish evidence</t>
  </si>
  <si>
    <t>Secrets and source diff review</t>
  </si>
  <si>
    <t>Git evidence</t>
  </si>
  <si>
    <t>Defect retest complete</t>
  </si>
  <si>
    <t>Defect IDs and retest evidence</t>
  </si>
  <si>
    <t>Approvals</t>
  </si>
  <si>
    <t>Role</t>
  </si>
  <si>
    <t>Name</t>
  </si>
  <si>
    <t>Signature / Evidence</t>
  </si>
  <si>
    <t>SQA Lead</t>
  </si>
  <si>
    <t>Development Lead</t>
  </si>
  <si>
    <t>Instructor / Curriculum Owner</t>
  </si>
  <si>
    <t>Security / Platform Reviewer</t>
  </si>
  <si>
    <t>Product / Research Lead</t>
  </si>
  <si>
    <t>SQA Execution Runbook</t>
  </si>
  <si>
    <t>Run commands from the repository root unless a different working directory is shown. Never put API keys or instructor tokens into the workbook.</t>
  </si>
  <si>
    <t>Section</t>
  </si>
  <si>
    <t>Purpose</t>
  </si>
  <si>
    <t>Command / Procedure</t>
  </si>
  <si>
    <t>Install</t>
  </si>
  <si>
    <t>Create Python environment</t>
  </si>
  <si>
    <t>python -m venv venv</t>
  </si>
  <si>
    <t>venv directory is created</t>
  </si>
  <si>
    <t>Install backend packages</t>
  </si>
  <si>
    <t>.\venv\Scripts\python.exe -m pip install -r .\backend\requirements.txt</t>
  </si>
  <si>
    <t>Installation succeeds</t>
  </si>
  <si>
    <t>Install Flutter packages</t>
  </si>
  <si>
    <t>Set-Location .\frontend; flutter pub get; Set-Location ..</t>
  </si>
  <si>
    <t>Dependency resolution succeeds</t>
  </si>
  <si>
    <t>Run</t>
  </si>
  <si>
    <t>Start backend (Terminal 1)</t>
  </si>
  <si>
    <t>.\venv\Scripts\python.exe .\backend\run.py</t>
  </si>
  <si>
    <t>Backend remains running at http://127.0.0.1:5000</t>
  </si>
  <si>
    <t>Start frontend (Terminal 2)</t>
  </si>
  <si>
    <t>Set-Location .\frontend; flutter run -d chrome --dart-define=API_BASE_URL=http://127.0.0.1:5000</t>
  </si>
  <si>
    <t>Chrome opens the catalog</t>
  </si>
  <si>
    <t>Backend QA</t>
  </si>
  <si>
    <t>Run backend tests</t>
  </si>
  <si>
    <t>Set-Location .\backend; ..\venv\Scripts\python.exe -m pytest -q</t>
  </si>
  <si>
    <t>All maintained tests pass</t>
  </si>
  <si>
    <t>Check package integrity</t>
  </si>
  <si>
    <t>Set-Location .\backend; ..\venv\Scripts\python.exe -m pip check</t>
  </si>
  <si>
    <t>No broken requirements</t>
  </si>
  <si>
    <t>Compile Python modules</t>
  </si>
  <si>
    <t>Set-Location .\backend; ..\venv\Scripts\python.exe -m compileall -q .</t>
  </si>
  <si>
    <t>No compilation errors</t>
  </si>
  <si>
    <t>Frontend QA</t>
  </si>
  <si>
    <t>Static analysis</t>
  </si>
  <si>
    <t>Set-Location .\frontend; flutter analyze</t>
  </si>
  <si>
    <t>No issues found</t>
  </si>
  <si>
    <t>Widget/state tests</t>
  </si>
  <si>
    <t>Set-Location .\frontend; flutter test</t>
  </si>
  <si>
    <t>All tests pass</t>
  </si>
  <si>
    <t>Release web build</t>
  </si>
  <si>
    <t>Set-Location .\frontend; flutter build web --dart-define=API_BASE_URL=http://127.0.0.1:5000</t>
  </si>
  <si>
    <t>Build succeeds in .flutter_build\web</t>
  </si>
  <si>
    <t>Docker QA</t>
  </si>
  <si>
    <t>Validate Compose</t>
  </si>
  <si>
    <t>docker compose config</t>
  </si>
  <si>
    <t>Configuration resolves</t>
  </si>
  <si>
    <t>Build sandbox image</t>
  </si>
  <si>
    <t>docker compose --profile build build sandbox-image</t>
  </si>
  <si>
    <t>Image builds</t>
  </si>
  <si>
    <t>Start production-like services</t>
  </si>
  <si>
    <t>docker compose up --build postgres redis backend</t>
  </si>
  <si>
    <t>Services become healthy</t>
  </si>
  <si>
    <t>Git QA</t>
  </si>
  <si>
    <t>Check maintained source whitespace</t>
  </si>
  <si>
    <t>git diff --check -- . ':!env' ':!venv'</t>
  </si>
  <si>
    <t>No maintained-source errors</t>
  </si>
  <si>
    <t>Review source changes</t>
  </si>
  <si>
    <t>git status --short</t>
  </si>
  <si>
    <t>Only intended source/docs/artifacts appear</t>
  </si>
  <si>
    <t>Record pass</t>
  </si>
  <si>
    <t>Set Status=Pass, Checked?=[x], enter tester/date, and attach command output/screenshot/path.</t>
  </si>
  <si>
    <t>Row is auditable</t>
  </si>
  <si>
    <t>Record failure</t>
  </si>
  <si>
    <t>Set Status=Fail, create Defect Log row, add Defect ID and actual evidence.</t>
  </si>
  <si>
    <t>Failure is traceable</t>
  </si>
  <si>
    <t>Record blocked test</t>
  </si>
  <si>
    <t>Set Status=Blocked and document exact external/environment blocker.</t>
  </si>
  <si>
    <t>Limitation is explicit</t>
  </si>
  <si>
    <t>Verify a fix</t>
  </si>
  <si>
    <t>Repeat original steps, update Retest Status/date/evidence, and close the linked defect only after success.</t>
  </si>
  <si>
    <t>Fix is proven</t>
  </si>
  <si>
    <t>Release</t>
  </si>
  <si>
    <t>Make decision</t>
  </si>
  <si>
    <t>Review Release Dashboard and complete Release Sign-off.</t>
  </si>
  <si>
    <t>No unresolved Release Gate failure or block</t>
  </si>
  <si>
    <t>Severity and Status Definitions</t>
  </si>
  <si>
    <t>Meaning</t>
  </si>
  <si>
    <t>Release Effect</t>
  </si>
  <si>
    <t>Required Action</t>
  </si>
  <si>
    <t>Security compromise, data loss, unsafe execution, or platform unavailable</t>
  </si>
  <si>
    <t>Immediate stop</t>
  </si>
  <si>
    <t>Fix before any release</t>
  </si>
  <si>
    <t>Critical workflow incorrect or inaccessible with no acceptable workaround</t>
  </si>
  <si>
    <t>Blocks release</t>
  </si>
  <si>
    <t>Fix and retest</t>
  </si>
  <si>
    <t>Important behavior incorrect with limited workaround</t>
  </si>
  <si>
    <t>Risk decision required</t>
  </si>
  <si>
    <t>Plan fix and document</t>
  </si>
  <si>
    <t>Minor presentation, usability, or documentation issue</t>
  </si>
  <si>
    <t>Usually does not block</t>
  </si>
  <si>
    <t>Track and prioritize</t>
  </si>
  <si>
    <t>Test has not been executed</t>
  </si>
  <si>
    <t>Release incomplete for current scope</t>
  </si>
  <si>
    <t>Execute or justify N/A</t>
  </si>
  <si>
    <t>Actual result matches expected result</t>
  </si>
  <si>
    <t>Contributes to readiness</t>
  </si>
  <si>
    <t>Attach evidence</t>
  </si>
  <si>
    <t>Actual result does not match expected result</t>
  </si>
  <si>
    <t>Release Gate failures block</t>
  </si>
  <si>
    <t>Create defect and fix</t>
  </si>
  <si>
    <t>External/environment condition prevents execution</t>
  </si>
  <si>
    <t>Release Gate blocks unless explicitly waived</t>
  </si>
  <si>
    <t>Document blocker and owner</t>
  </si>
  <si>
    <t>Test does not apply to this release/environment</t>
  </si>
  <si>
    <t>Excluded with justification</t>
  </si>
  <si>
    <t>Explain in Notes</t>
  </si>
  <si>
    <t>Planned future capability not in current release</t>
  </si>
  <si>
    <t>Excluded from current completion</t>
  </si>
  <si>
    <t>Review during planning</t>
  </si>
  <si>
    <t>Instructor role opens assignment studio</t>
  </si>
  <si>
    <t>Backend and Flutter are running; the instructor demo account is active.</t>
  </si>
  <si>
    <t>Sign in as instructor and open the shield icon from the assignment catalog.</t>
  </si>
  <si>
    <t>The assignment studio opens without an ADMIN_API_TOKEN field and displays instructor-only controls.</t>
  </si>
  <si>
    <t>The legacy header token is API compatibility only.</t>
  </si>
  <si>
    <t>Authenticated instructor loads assignments</t>
  </si>
  <si>
    <t>A valid instructor session exists.</t>
  </si>
  <si>
    <t>Open the instructor studio with the authenticated instructor session.</t>
  </si>
  <si>
    <t>All assignments load with ID, stable ID, version, status, create, and edit actions.</t>
  </si>
  <si>
    <t>Student cannot access instructor studio</t>
  </si>
  <si>
    <t>A valid student session exists.</t>
  </si>
  <si>
    <t>Sign in as student; inspect the catalog and call an /admin endpoint with the student Bearer token.</t>
  </si>
  <si>
    <t>Instructor controls are hidden and the backend returns HTTP 403 without exposing administrative data.</t>
  </si>
  <si>
    <t>AUTH-001</t>
  </si>
  <si>
    <t>Authentication &amp; Account Management</t>
  </si>
  <si>
    <t>Default student login</t>
  </si>
  <si>
    <t>Backend is running with a fresh test database; demo accounts are enabled unless the check states otherwise.</t>
  </si>
  <si>
    <t>Sign in with student / student.</t>
  </si>
  <si>
    <t>Login succeeds, a student session is issued, and the assignment catalog loads.</t>
  </si>
  <si>
    <t>Prototype credential only; replace or deactivate before a real study.</t>
  </si>
  <si>
    <t>AUTH-002</t>
  </si>
  <si>
    <t>Default instructor login</t>
  </si>
  <si>
    <t>Sign in with instructor / instructor.</t>
  </si>
  <si>
    <t>Login succeeds, an instructor session is issued, and instructor controls are available.</t>
  </si>
  <si>
    <t>Prototype credential only; replace before deployment.</t>
  </si>
  <si>
    <t>AUTH-003</t>
  </si>
  <si>
    <t>Invalid login and throttling</t>
  </si>
  <si>
    <t>Submit an incorrect password five times, then submit another login within 15 minutes.</t>
  </si>
  <si>
    <t>Invalid attempts return a generic HTTP 401; the additional attempt is throttled with HTTP 429.</t>
  </si>
  <si>
    <t>AUTH-004</t>
  </si>
  <si>
    <t>Session restoration</t>
  </si>
  <si>
    <t>Log in, reload the Flutter app, and call GET /auth/me with the stored Bearer token.</t>
  </si>
  <si>
    <t>The same active user is restored without asking for credentials again.</t>
  </si>
  <si>
    <t>AUTH-005</t>
  </si>
  <si>
    <t>Logout revokes the current session</t>
  </si>
  <si>
    <t>Log in, call POST /auth/logout, then reuse the same token.</t>
  </si>
  <si>
    <t>Logout succeeds and subsequent authenticated requests with that token return HTTP 401.</t>
  </si>
  <si>
    <t>AUTH-006</t>
  </si>
  <si>
    <t>Expired session rejected</t>
  </si>
  <si>
    <t>Create an expired session record and call an authenticated endpoint.</t>
  </si>
  <si>
    <t>The expired token is rejected with HTTP 401 and grants no role access.</t>
  </si>
  <si>
    <t>AUTH-007</t>
  </si>
  <si>
    <t>Passwords stored only as Argon2 hashes</t>
  </si>
  <si>
    <t>Create an account and inspect its database record and JSON import file after synchronization.</t>
  </si>
  <si>
    <t>The database contains an Argon2 password hash; no reusable plaintext password remains in tracked or runtime account files.</t>
  </si>
  <si>
    <t>Backend/Repository</t>
  </si>
  <si>
    <t>AUTH-008</t>
  </si>
  <si>
    <t>Instructor role enforcement</t>
  </si>
  <si>
    <t>Call assignment and student administration endpoints with instructor, student, missing, and invalid credentials.</t>
  </si>
  <si>
    <t>Only the instructor succeeds; student receives HTTP 403 and missing/invalid credentials receive HTTP 401.</t>
  </si>
  <si>
    <t>Legacy X-Admin-Token compatibility must not weaken Bearer role checks.</t>
  </si>
  <si>
    <t>AUTH-009</t>
  </si>
  <si>
    <t>Role-aware Flutter navigation</t>
  </si>
  <si>
    <t>Compare the assignment catalog while signed in as student and instructor.</t>
  </si>
  <si>
    <t>Only the instructor sees and can open the instructor studio; both roles can sign out.</t>
  </si>
  <si>
    <t>AUTH-010</t>
  </si>
  <si>
    <t>Authenticated submission identity cannot be spoofed</t>
  </si>
  <si>
    <t>Submit code as a signed-in student while sending a different student_id in the request body.</t>
  </si>
  <si>
    <t>The stored submission uses the authenticated login ID and ignores the spoofed body value.</t>
  </si>
  <si>
    <t>AUTH-011</t>
  </si>
  <si>
    <t>Instructor lists student accounts</t>
  </si>
  <si>
    <t>Open Student Accounts and call GET /admin/students.</t>
  </si>
  <si>
    <t>Student accounts load with login ID, participant code, email, active state, and no password/hash data.</t>
  </si>
  <si>
    <t>AUTH-012</t>
  </si>
  <si>
    <t>Create student with generated credential</t>
  </si>
  <si>
    <t>Create a student without entering a temporary password.</t>
  </si>
  <si>
    <t>A secure temporary password is generated and shown exactly once; the account can log in.</t>
  </si>
  <si>
    <t>AUTH-013</t>
  </si>
  <si>
    <t>Create student with instructor credential</t>
  </si>
  <si>
    <t>Create a student using an instructor-entered password of at least eight characters.</t>
  </si>
  <si>
    <t>The account is created, the password is hashed, and duplicate login IDs are rejected.</t>
  </si>
  <si>
    <t>AUTH-014</t>
  </si>
  <si>
    <t>Edit student metadata</t>
  </si>
  <si>
    <t>Change a student email and participant code, save, and reload the list.</t>
  </si>
  <si>
    <t>Normalized values persist and duplicate/invalid email addresses are rejected.</t>
  </si>
  <si>
    <t>AUTH-015</t>
  </si>
  <si>
    <t>Reset student temporary password</t>
  </si>
  <si>
    <t>Log in as a student; reset the password as instructor; reuse the old session and password; then use the new password.</t>
  </si>
  <si>
    <t>Old sessions and password are rejected; the new temporary password works and is shown once.</t>
  </si>
  <si>
    <t>AUTH-016</t>
  </si>
  <si>
    <t>Deactivate and reactivate student</t>
  </si>
  <si>
    <t>Deactivate an active student, attempt login, reactivate, and inspect prior submissions.</t>
  </si>
  <si>
    <t>Deactivation revokes sessions and blocks login; reactivation restores access without deleting study records.</t>
  </si>
  <si>
    <t>Prefer deactivation over deletion.</t>
  </si>
  <si>
    <t>AUTH-017</t>
  </si>
  <si>
    <t>Manual JSON account synchronization</t>
  </si>
  <si>
    <t>Import study_accounts.json with create, update, password, role, and active changes; inspect the file and report.</t>
  </si>
  <si>
    <t>Valid changes synchronize, absent rows do not delete users, active=false deactivates, errors are reported, and temporary_password is cleared.</t>
  </si>
  <si>
    <t>The ignored database remains the login source of truth.</t>
  </si>
  <si>
    <t>AUTH-018</t>
  </si>
  <si>
    <t>Last active instructor protection</t>
  </si>
  <si>
    <t>Use JSON synchronization to deactivate or demote the only active instructor.</t>
  </si>
  <si>
    <t>The operation is rejected and at least one active instructor remains.</t>
  </si>
  <si>
    <t>AUTH-019</t>
  </si>
  <si>
    <t>Forgot-password privacy response</t>
  </si>
  <si>
    <t>Request password reset for an existing email, unknown email, and login ID.</t>
  </si>
  <si>
    <t>All requests return the same generic response; only a matching active account creates a reset message.</t>
  </si>
  <si>
    <t>AUTH-020</t>
  </si>
  <si>
    <t>One-time password reset token</t>
  </si>
  <si>
    <t>Use a reset link, reuse it, try an expired token, and test sessions issued before the reset.</t>
  </si>
  <si>
    <t>The first valid reset succeeds; reused/expired tokens fail; all previous sessions are revoked.</t>
  </si>
  <si>
    <t>AUTH-021</t>
  </si>
  <si>
    <t>Real SMTP status and delivery</t>
  </si>
  <si>
    <t>Verify unconfigured status, configure provider SMTP values in backend/.env, restart, send a test email, and test invitation/reset delivery.</t>
  </si>
  <si>
    <t>Missing SMTP blocks email actions without claiming delivery; configured status exposes no secret; the controlled recipient receives the real one-time-link/test email.</t>
  </si>
  <si>
    <t>Web/Backend/Email</t>
  </si>
  <si>
    <t>AUTH-022</t>
  </si>
  <si>
    <t>Authentication audit events</t>
  </si>
  <si>
    <t>Perform login, logout, account create/update/reset, JSON import, and test-email actions; inspect audit_events.</t>
  </si>
  <si>
    <t>Each security-relevant action records actor, action, resource, timestamp, and non-secret details.</t>
  </si>
  <si>
    <t>Authentication and account management</t>
  </si>
  <si>
    <t>Login, role, session, password, account, audit, and email evidence</t>
  </si>
  <si>
    <t>Auth QA</t>
  </si>
  <si>
    <t>Run authentication and account tests</t>
  </si>
  <si>
    <t>Set-Location .\backend; ..\venv\Scripts\python.exe -m pytest tests\test_auth.py -q</t>
  </si>
  <si>
    <t>All focused authentication tests pass</t>
  </si>
  <si>
    <t>Auth API</t>
  </si>
  <si>
    <t>Verify current port-5000 backend</t>
  </si>
  <si>
    <t>Open http://127.0.0.1:5000/docs; verify /health, /auth/login, /auth/me, /admin/students, and /admin/email/status.</t>
  </si>
  <si>
    <t>Current FastAPI routes respond and role protection is enforced</t>
  </si>
  <si>
    <t>Account JSON</t>
  </si>
  <si>
    <t>Verify manual cohort synchronization</t>
  </si>
  <si>
    <t>Edit ignored backend\data\study_accounts.json; sign in as instructor; Student Accounts &gt; Import study_accounts.json; inspect the report.</t>
  </si>
  <si>
    <t>Valid changes synchronize and temporary passwords are cleared</t>
  </si>
  <si>
    <t>Email QA</t>
  </si>
  <si>
    <t>Verify real SMTP delivery</t>
  </si>
  <si>
    <t>Add provider SMTP values to ignored backend\.env; restart backend; Student Accounts &gt; Send test; use a controlled recipient.</t>
  </si>
  <si>
    <t>Status shows configured and the real test email arrives</t>
  </si>
  <si>
    <t>v4-live</t>
  </si>
  <si>
    <t>Codex SQA</t>
  </si>
  <si>
    <t>https://robotics-programming-lab-api.onrender.com</t>
  </si>
  <si>
    <t>Chrome / Flutter Web</t>
  </si>
  <si>
    <t>Intentionally disabled or unnecessary for the controlled v4 professor demo.</t>
  </si>
  <si>
    <t>Preserved for a future broader study release where applicable.</t>
  </si>
  <si>
    <t>32 Flutter tests passed; live Chrome student catalog showed four ordered assignments.</t>
  </si>
  <si>
    <t>Flutter tests passed; live Assignment 1 workspace, starter code, instructions, image, and results rendered.</t>
  </si>
  <si>
    <t>Backend security/authorization tests passed and live student responses excluded private grader/solution fields.</t>
  </si>
  <si>
    <t>AI remained off by default; deterministic no-AI execution completed; maintained tutor safety tests passed.</t>
  </si>
  <si>
    <t>AI provider behavior was intentionally excluded from this SQA cycle by project decision.</t>
  </si>
  <si>
    <t>Flutter progress persistence/state tests and backend submission ownership/version tests passed.</t>
  </si>
  <si>
    <t>Backend instructor validation/version tests passed; live instructor studio and student-account screens loaded.</t>
  </si>
  <si>
    <t>Assignment repository/content tests passed; four stable, versioned, published assignments loaded live.</t>
  </si>
  <si>
    <t>Flutter responsive/error-state tests passed; live desktop workflow completed with no warning/error console entries.</t>
  </si>
  <si>
    <t>Vercel/Render/Neon live checks passed; GitHub CI and release web build passed at the recorded v4 commit.</t>
  </si>
  <si>
    <t>Fresh local backend/frontend gates passed; GitHub v4 verification and Vercel deployment succeeded.</t>
  </si>
  <si>
    <t>Authentication tests passed; live invalid/student/instructor/session/logout/admin checks passed.</t>
  </si>
  <si>
    <t>Four published versioned assignments passed repository/grader validation.</t>
  </si>
  <si>
    <t>Assignments 1-4 official solutions passed modular graders.</t>
  </si>
  <si>
    <t>Live Chrome desktop passed; responsive widget tests passed; independent device/accessibility audit remains.</t>
  </si>
  <si>
    <t>Live studio/accounts read paths passed; mutation paths passed automated tests but were not executed against production data.</t>
  </si>
  <si>
    <t>Student/instructor/invalid/session/logout/role/admin checks passed; self-service email reset is out of scope.</t>
  </si>
  <si>
    <t>No tracked environments or real credentials; one synthetic migration-test URL matched the scanner.</t>
  </si>
  <si>
    <t>No new product defect was found in this SQA cycle.</t>
  </si>
  <si>
    <t>Enter the first real v4 defect here. No new product defect was found in the 2026-08-04 SQA run.</t>
  </si>
  <si>
    <t>V4 Live</t>
  </si>
  <si>
    <t>Verify live health</t>
  </si>
  <si>
    <t>Invoke-RestMethod https://robotics-programming-lab-api.onrender.com/health</t>
  </si>
  <si>
    <t>HTTP 200; status ok; API 4.0.0</t>
  </si>
  <si>
    <t>Verify login-first entry</t>
  </si>
  <si>
    <t>Open https://robotics-programming-lab.vercel.app/ in a browser with a prior session</t>
  </si>
  <si>
    <t>The public root shows login and does not display credentials</t>
  </si>
  <si>
    <t>Verify authenticated refresh</t>
  </si>
  <si>
    <t>Sign in, confirm /app, then refresh the page</t>
  </si>
  <si>
    <t>Session restores on /app; assignment catalog remains visible</t>
  </si>
  <si>
    <t>V4 Release</t>
  </si>
  <si>
    <t>Verify hosted CI</t>
  </si>
  <si>
    <t>Review the latest v4-live GitHub Actions run and Vercel deployment</t>
  </si>
  <si>
    <t>Backend/frontend CI and production deployment are successful</t>
  </si>
  <si>
    <t>Robotics Programming Lab - v4 SQA Verification Report</t>
  </si>
  <si>
    <t>Frontend</t>
  </si>
  <si>
    <t>https://robotics-programming-lab.vercel.app/</t>
  </si>
  <si>
    <t>Non-Pass / Open</t>
  </si>
  <si>
    <t>Not Run / Deferred</t>
  </si>
  <si>
    <t>Area / Feature</t>
  </si>
  <si>
    <t>Result</t>
  </si>
  <si>
    <t>Limitation / Next Step</t>
  </si>
  <si>
    <t>V4-SQA-001</t>
  </si>
  <si>
    <t>Source and tracked-secret audit</t>
  </si>
  <si>
    <t>Local repository</t>
  </si>
  <si>
    <t>Clean tracked source; venv ignored; one synthetic migration URL scanner match.</t>
  </si>
  <si>
    <t>No real credential detected in tracked files.</t>
  </si>
  <si>
    <t>V4-SQA-002</t>
  </si>
  <si>
    <t>Backend automated tests</t>
  </si>
  <si>
    <t>Local</t>
  </si>
  <si>
    <t>V4-SQA-003</t>
  </si>
  <si>
    <t>pip check: no broken requirements.</t>
  </si>
  <si>
    <t>Fresh Python 3.11 venv created from backend requirements.</t>
  </si>
  <si>
    <t>V4-SQA-004</t>
  </si>
  <si>
    <t>compileall completed without error.</t>
  </si>
  <si>
    <t>Backend modules compile.</t>
  </si>
  <si>
    <t>V4-SQA-005</t>
  </si>
  <si>
    <t>Flutter static analysis</t>
  </si>
  <si>
    <t>flutter analyze: no issues found.</t>
  </si>
  <si>
    <t>Current v4 source.</t>
  </si>
  <si>
    <t>V4-SQA-006</t>
  </si>
  <si>
    <t>Flutter automated tests</t>
  </si>
  <si>
    <t>V4-SQA-007</t>
  </si>
  <si>
    <t>Flutter release web build</t>
  </si>
  <si>
    <t>Production web build completed in .flutter_build/web.</t>
  </si>
  <si>
    <t>Built with the live Render API URL.</t>
  </si>
  <si>
    <t>V4-SQA-008</t>
  </si>
  <si>
    <t>Hosted CI and deployment</t>
  </si>
  <si>
    <t>GitHub/Vercel</t>
  </si>
  <si>
    <t>Latest v4 verification and Vercel deployment succeeded.</t>
  </si>
  <si>
    <t>V4-SQA-009</t>
  </si>
  <si>
    <t>Live health and exact-origin CORS</t>
  </si>
  <si>
    <t>Render</t>
  </si>
  <si>
    <t>Health API 4.0.0; exact Vercel origin allowed.</t>
  </si>
  <si>
    <t>Live API checks passed.</t>
  </si>
  <si>
    <t>V4-SQA-010</t>
  </si>
  <si>
    <t>Login-first shared URL</t>
  </si>
  <si>
    <t>Live Chrome</t>
  </si>
  <si>
    <t>Public root displayed login despite prior saved session.</t>
  </si>
  <si>
    <t>Demo credentials were not shown on the page.</t>
  </si>
  <si>
    <t>V4-SQA-011</t>
  </si>
  <si>
    <t>Invalid login handling</t>
  </si>
  <si>
    <t>Live Chrome/API</t>
  </si>
  <si>
    <t>Invalid credential returned a clear error and remained on login.</t>
  </si>
  <si>
    <t>No endless spinner or crash.</t>
  </si>
  <si>
    <t>V4-SQA-012</t>
  </si>
  <si>
    <t>Student authentication/session/logout</t>
  </si>
  <si>
    <t>Student login, /app session, auth/me, and token revocation passed.</t>
  </si>
  <si>
    <t>Anonymous assignment access returned 401.</t>
  </si>
  <si>
    <t>V4-SQA-013</t>
  </si>
  <si>
    <t>Student catalog and navigation</t>
  </si>
  <si>
    <t>Exactly four assignment cards loaded in order.</t>
  </si>
  <si>
    <t>Assignment 1 opened successfully.</t>
  </si>
  <si>
    <t>V4-SQA-014</t>
  </si>
  <si>
    <t>Assignment workspace and image</t>
  </si>
  <si>
    <t>Starter code, instructions, scenario image, and results panel loaded.</t>
  </si>
  <si>
    <t>Image endpoint returned image/png.</t>
  </si>
  <si>
    <t>V4-SQA-015</t>
  </si>
  <si>
    <t>Run tests completion</t>
  </si>
  <si>
    <t>Starter run returned structured evidence and UI stopped running.</t>
  </si>
  <si>
    <t>Expected starter score was 0%; this is not a product failure.</t>
  </si>
  <si>
    <t>V4-SQA-016</t>
  </si>
  <si>
    <t>AI default and no-AI path</t>
  </si>
  <si>
    <t>AI toggle was off and no-AI run completed.</t>
  </si>
  <si>
    <t>OpenAI provider behavior intentionally not exercised.</t>
  </si>
  <si>
    <t>V4-SQA-017</t>
  </si>
  <si>
    <t>Instructor login and assignment studio</t>
  </si>
  <si>
    <t>Instructor role loaded four published assignments and management controls.</t>
  </si>
  <si>
    <t>Role-protected admin API passed.</t>
  </si>
  <si>
    <t>V4-SQA-018</t>
  </si>
  <si>
    <t>Instructor student-account view</t>
  </si>
  <si>
    <t>One active demo student loaded; create/manage controls rendered.</t>
  </si>
  <si>
    <t>No production account mutation performed.</t>
  </si>
  <si>
    <t>V4-SQA-019</t>
  </si>
  <si>
    <t>Hidden grader and solution protection</t>
  </si>
  <si>
    <t>Automated/live API</t>
  </si>
  <si>
    <t>Student responses excluded hidden_tests, official_solution, and reference_solution.</t>
  </si>
  <si>
    <t>Ownership and authorization tests passed.</t>
  </si>
  <si>
    <t>V4-SQA-020</t>
  </si>
  <si>
    <t>Official solutions for assignments 1-4</t>
  </si>
  <si>
    <t>All four official solutions passed modular graders.</t>
  </si>
  <si>
    <t>Assignment versions 3, 2, 3, and 2 verified.</t>
  </si>
  <si>
    <t>V4-SQA-021</t>
  </si>
  <si>
    <t>Neon persistence</t>
  </si>
  <si>
    <t>Live backend</t>
  </si>
  <si>
    <t>Live PostgreSQL-backed auth, assignments, submission, and admin reads succeeded.</t>
  </si>
  <si>
    <t>A restart/restore persistence drill was not performed in this run.</t>
  </si>
  <si>
    <t>V4-SQA-022</t>
  </si>
  <si>
    <t>Responsive and accessibility coverage</t>
  </si>
  <si>
    <t>Automated/live Chrome</t>
  </si>
  <si>
    <t>Responsive widget and narrow-result tests passed; desktop Chrome passed.</t>
  </si>
  <si>
    <t>Independent mobile-device, keyboard, text-scale, and accessibility audit remain.</t>
  </si>
  <si>
    <t>V4-SQA-023</t>
  </si>
  <si>
    <t>AI provider-on behavior</t>
  </si>
  <si>
    <t>Not run by project decision.</t>
  </si>
  <si>
    <t>Validate later with quota, timeout, injection, and hidden-data tests.</t>
  </si>
  <si>
    <t>V4-SQA-024</t>
  </si>
  <si>
    <t>Password reset and email</t>
  </si>
  <si>
    <t>Professor demo</t>
  </si>
  <si>
    <t>Feature intentionally disabled for v4 professor demo.</t>
  </si>
  <si>
    <t>Instructor-managed credentials remain available.</t>
  </si>
  <si>
    <t>V4-SQA-025</t>
  </si>
  <si>
    <t>Destructive instructor mutations</t>
  </si>
  <si>
    <t>Live production</t>
  </si>
  <si>
    <t>Create/edit/publish/archive/student mutation not performed against production data.</t>
  </si>
  <si>
    <t>Equivalent maintained backend tests passed.</t>
  </si>
  <si>
    <t>V4-SQA-026</t>
  </si>
  <si>
    <t>V4-SQA-027</t>
  </si>
  <si>
    <t>Restart, backup, restore, and rollback drill</t>
  </si>
  <si>
    <t>Hosting operations</t>
  </si>
  <si>
    <t>No provider restart or database restore drill performed.</t>
  </si>
  <si>
    <t>Complete before a formal study release.</t>
  </si>
  <si>
    <t>V4-SQA-028</t>
  </si>
  <si>
    <t>Combined</t>
  </si>
  <si>
    <t>v4 Classroom Security Candidate</t>
  </si>
  <si>
    <t>Working tree - not committed</t>
  </si>
  <si>
    <t>76 pytest checks passed in 27.38 seconds.</t>
  </si>
  <si>
    <t>Includes auth, assignment, grader, migration, rate-limit, remote-sandbox, and sandbox-service tests.</t>
  </si>
  <si>
    <t>33 tests passed.</t>
  </si>
  <si>
    <t>Includes login entry, session policy, responsive UI, progress, execution state, and secure-grader loading.</t>
  </si>
  <si>
    <t>Existing hosted baseline passed; new classroom-security working tree is not yet pushed or deployed.</t>
  </si>
  <si>
    <t>Dedicated sandbox service implementation</t>
  </si>
  <si>
    <t>Local architecture/smoke</t>
  </si>
  <si>
    <t>Separate authenticated execution service passed local contract and two-process smoke; it receives no database/OpenAI secrets.</t>
  </si>
  <si>
    <t>Render Docker image and live sandbox deployment are not yet verified.</t>
  </si>
  <si>
    <t>Overall classroom release assessment</t>
  </si>
  <si>
    <t>Local classroom-security implementation and retained live professor-demo paths pass.</t>
  </si>
  <si>
    <t>Do not distribute to students until the sandbox image, live deployment, persistence restart, and restore gates pass.</t>
  </si>
  <si>
    <t>V4-SQA-029</t>
  </si>
  <si>
    <t>Remote sandbox client and service contract</t>
  </si>
  <si>
    <t>Local automated</t>
  </si>
  <si>
    <t>Authenticated requests, response validation, capacity controls, unsafe API rejection, and safe failures passed.</t>
  </si>
  <si>
    <t>Covered by the 76-test backend suite.</t>
  </si>
  <si>
    <t>V4-SQA-030</t>
  </si>
  <si>
    <t>Separate-process secure grading smoke</t>
  </si>
  <si>
    <t>Local API + sandbox services</t>
  </si>
  <si>
    <t>Both health checks passed; four assignments loaded; Assignment 2 passed through remote grading; import os was rejected.</t>
  </si>
  <si>
    <t>Processes were stopped after the smoke test.</t>
  </si>
  <si>
    <t>V4-SQA-031</t>
  </si>
  <si>
    <t>Sandbox secret exclusion</t>
  </si>
  <si>
    <t>Local security test</t>
  </si>
  <si>
    <t>OPENAI_API_KEY, DATABASE_URL, and SANDBOX_API_TOKEN were absent from the student worker environment.</t>
  </si>
  <si>
    <t>The sandbox service itself has no database or OpenAI environment variables.</t>
  </si>
  <si>
    <t>V4-SQA-032</t>
  </si>
  <si>
    <t>Production isolation configuration</t>
  </si>
  <si>
    <t>Local configuration</t>
  </si>
  <si>
    <t>Production rejects subprocess mode and incomplete remote configuration; Render YAML parses two services.</t>
  </si>
  <si>
    <t>Render Blueprint sync and image build remain unverified.</t>
  </si>
  <si>
    <t>V4-SQA-033</t>
  </si>
  <si>
    <t>Password hashing and account lifecycle</t>
  </si>
  <si>
    <t>Instructor-created password is stored only as a recommended Argon2 hash; deactivation revokes sessions and preserves records.</t>
  </si>
  <si>
    <t>Instructor manages unique student IDs and shared credentials.</t>
  </si>
  <si>
    <t>V4-SQA-034</t>
  </si>
  <si>
    <t>Cross-student submission isolation</t>
  </si>
  <si>
    <t>A second student received 404/403 for another student's hint and solution requests.</t>
  </si>
  <si>
    <t>Submission owner identity is derived from the authenticated session.</t>
  </si>
  <si>
    <t>V4-SQA-035</t>
  </si>
  <si>
    <t>Execution quota bypass protection</t>
  </si>
  <si>
    <t>Execution quotas follow the authenticated account; changing X-Forwarded-For does not bypass the limit.</t>
  </si>
  <si>
    <t>Single-instance in-memory limiter is acceptable for the free classroom deployment; reassess before scaling.</t>
  </si>
  <si>
    <t>V4-SQA-036</t>
  </si>
  <si>
    <t>Secure grader bounded UI</t>
  </si>
  <si>
    <t>Local Flutter</t>
  </si>
  <si>
    <t>Execution waits at most 90 seconds, explains free-tier wake-up, stops on error, and permits retry; analyzer and 33 tests pass.</t>
  </si>
  <si>
    <t>The first free-tier run may still take about one minute.</t>
  </si>
  <si>
    <t>V4-SQA-037</t>
  </si>
  <si>
    <t>Sandbox image and live deployment</t>
  </si>
  <si>
    <t>Docker / Render</t>
  </si>
  <si>
    <t>Docker CLI is unavailable locally and the new sandbox service has not been deployed.</t>
  </si>
  <si>
    <t>Build on Render or Docker CI, set SANDBOX_URL, then repeat live correct/unsafe/restart checks before students use the URL.</t>
  </si>
  <si>
    <t>Local security + retained live baseline</t>
  </si>
  <si>
    <t>Dedicated sandbox implementation passes locally. Live sandbox image/deploy, Neon restart/restore, destructive production mutations, independent accessibility, and AI-on remain open.</t>
  </si>
  <si>
    <t>Malformed remote responses, authentication failures, and unavailable-service errors return controlled messages without backend crashes.</t>
  </si>
  <si>
    <t>Remote sandbox negative tests pass.</t>
  </si>
  <si>
    <t>Linux worker CPU/memory/file/process/output limits are implemented and capacity tests pass; Docker/live stress proof remains open.</t>
  </si>
  <si>
    <t>Build and stress the deployed image before student distribution.</t>
  </si>
  <si>
    <t>Socket/network imports are blocked by the assignment AST policy; OS-level egress-denial proof on the live container remains open.</t>
  </si>
  <si>
    <t>Controlled classroom use only until live penetration evidence exists.</t>
  </si>
  <si>
    <t>Dedicated service has no repository/database/OpenAI secrets and file APIs/imports are blocked; live Docker host-path probe remains open.</t>
  </si>
  <si>
    <t>Do not approve anonymous public execution.</t>
  </si>
  <si>
    <t>Remote sandbox failures redact provider details and secret scans pass; database/tutor failure-log review remains open.</t>
  </si>
  <si>
    <t>Complete the remaining failure classes before sign-off.</t>
  </si>
  <si>
    <t>Structured unsafe-import execution error returned through the remote sandbox; UI execution-error and bounded retry tests pass.</t>
  </si>
  <si>
    <t>Automated and separate-process smoke evidence.</t>
  </si>
  <si>
    <t>76 backend tests passed; live API health/auth/CORS/assignment/image checks passed 13/13.</t>
  </si>
  <si>
    <t>76 backend tests passed, including all four official solutions; live Run tests completed with structured evidence.</t>
  </si>
  <si>
    <t>Fresh v4 local setup/install plus Flutter analyzer, 33 tests, and release web build passed on 2026-08-04.</t>
  </si>
  <si>
    <t>76 backend tests; all official solutions; 32 Flutter tests; live API/browser smoke.</t>
  </si>
  <si>
    <t>76 pytest checks passed; pip check and compileall passed.</t>
  </si>
  <si>
    <t>Analyzer clean; 33 tests passed; release web build passed.</t>
  </si>
  <si>
    <t>Dedicated authenticated sandbox service passes local automated and two-process checks; Render image build and live penetration/resource evidence remain open.</t>
  </si>
  <si>
    <t>V4 Sandbox</t>
  </si>
  <si>
    <t>Create/sync secure grader service</t>
  </si>
  <si>
    <t>Sync render.yaml; confirm robotics-programming-lab-sandbox uses backend/Dockerfile.sandbox-service and a generated SANDBOX_API_TOKEN.</t>
  </si>
  <si>
    <t>Sandbox /health returns status ok; no database or OpenAI variables exist on the service.</t>
  </si>
  <si>
    <t>Connect API to secure grader</t>
  </si>
  <si>
    <t>Set API SANDBOX_URL to the sandbox public HTTPS URL; confirm SANDBOX_BACKEND=remote and the shared token reference; redeploy API.</t>
  </si>
  <si>
    <t>API starts successfully; production refuses subprocess or incomplete remote configuration.</t>
  </si>
  <si>
    <t>V4 Sandbox QA</t>
  </si>
  <si>
    <t>Verify live execution boundary</t>
  </si>
  <si>
    <t>Log in as a controlled student; submit one official solution and one import os probe; inspect both service logs without recording code or secrets.</t>
  </si>
  <si>
    <t>Correct solution passes once; unsafe import fails safely; UI stops; no secret or stack trace is returned.</t>
  </si>
  <si>
    <t>staging main</t>
  </si>
  <si>
    <t>Verified local staging workflow plus classroom-security implementation. Private staging repository created; production repository remains unchanged. Hosted staging CI and live sandbox deployment remain open.</t>
  </si>
  <si>
    <t>V4-SQA-038</t>
  </si>
  <si>
    <t>Occupied-port collision protection</t>
  </si>
  <si>
    <t>Local PowerShell</t>
  </si>
  <si>
    <t>Default launch refused existing v3 listeners on ports 5000 and 8080 and identified the owning PIDs.</t>
  </si>
  <si>
    <t>The launcher cannot silently attach to an older backend or frontend.</t>
  </si>
  <si>
    <t>V4-SQA-039</t>
  </si>
  <si>
    <t>One-command local service orchestration</t>
  </si>
  <si>
    <t>run-local.ps1 started dedicated sandbox, API, and OneDrive-safe Flutter web on isolated ports.</t>
  </si>
  <si>
    <t>AI is off by default and the local staging database is isolated.</t>
  </si>
  <si>
    <t>V4-SQA-040</t>
  </si>
  <si>
    <t>Local authentication and catalog smoke</t>
  </si>
  <si>
    <t>Local API smoke</t>
  </si>
  <si>
    <t>Demo student login returned 200 and the authenticated catalog returned all four assignments.</t>
  </si>
  <si>
    <t>Credentials remain absent from the login page.</t>
  </si>
  <si>
    <t>V4-SQA-041</t>
  </si>
  <si>
    <t>Local execution boundary smoke</t>
  </si>
  <si>
    <t>Local API/sandbox</t>
  </si>
  <si>
    <t>API reported sandbox=remote; sandbox reported dedicated-service; import os failed with structured evidence.</t>
  </si>
  <si>
    <t>The smoke used the same separate-process contract planned for production.</t>
  </si>
  <si>
    <t>V4-SQA-042</t>
  </si>
  <si>
    <t>Managed local cleanup</t>
  </si>
  <si>
    <t>stop-local.ps1 stopped frontend, sandbox, and backend process trees; zero managed listeners remained.</t>
  </si>
  <si>
    <t>Only PIDs recorded by the staging launcher are targeted.</t>
  </si>
  <si>
    <t>V4-SQA-043</t>
  </si>
  <si>
    <t>Complete local release gate</t>
  </si>
  <si>
    <t>76 backend tests, pip check, compileall, Flutter analyzer, 33 Flutter tests, and release web build passed.</t>
  </si>
  <si>
    <t>Release build used the production API URL define in a clean LocalAppData copy.</t>
  </si>
  <si>
    <t>V4-SQA-044</t>
  </si>
  <si>
    <t>Separate private staging repository</t>
  </si>
  <si>
    <t>GitHub/local Git</t>
  </si>
  <si>
    <t>CS-Ponkoj/Robotics-Programming-Lab-Staging was created private; origin points to staging and production points to the live repository.</t>
  </si>
  <si>
    <t>The retired IUSE repository remains archive-only.</t>
  </si>
  <si>
    <t>V4-SQA-045</t>
  </si>
  <si>
    <t>Exact-commit production promotion guard</t>
  </si>
  <si>
    <t>Local source review</t>
  </si>
  <si>
    <t>Promotion script requires clean staging main, matching origin SHA, fast-forward ancestry, fresh release tag, full SQA, and an atomic push.</t>
  </si>
  <si>
    <t>The script has not been executed; production is unchanged.</t>
  </si>
  <si>
    <t>V4-SQA-046</t>
  </si>
  <si>
    <t>Hosted staging CI</t>
  </si>
  <si>
    <t>GitHub Actions</t>
  </si>
  <si>
    <t>CI now includes repository safety, PostgreSQL migration, backend, Flutter, and sandbox Docker image smoke jobs.</t>
  </si>
  <si>
    <t>Run and verify after the initial staging main push.</t>
  </si>
  <si>
    <t>Staging</t>
  </si>
  <si>
    <t>Start complete local application</t>
  </si>
  <si>
    <t>.\scripts\run-local.ps1</t>
  </si>
  <si>
    <t>Sandbox, backend, and Flutter become healthy; AI is off by default</t>
  </si>
  <si>
    <t>Start on alternate ports when v3 is running</t>
  </si>
  <si>
    <t>.\scripts\run-local.ps1 -FrontendPort 18080 -BackendPort 15000 -SandboxPort 15001</t>
  </si>
  <si>
    <t>The staging instance runs without attaching to the older project</t>
  </si>
  <si>
    <t>Stop managed local application</t>
  </si>
  <si>
    <t>.\scripts\stop-local.ps1</t>
  </si>
  <si>
    <t>Only recorded staging process trees stop and their listeners close</t>
  </si>
  <si>
    <t>Staging QA</t>
  </si>
  <si>
    <t>Run complete automated gate</t>
  </si>
  <si>
    <t>.\scripts\verify-local.ps1</t>
  </si>
  <si>
    <t>Backend, dependencies, compilation, Flutter analysis/tests, and release build pass</t>
  </si>
  <si>
    <t>Release QA</t>
  </si>
  <si>
    <t>Verify clean candidate source</t>
  </si>
  <si>
    <t>.\scripts\check-release.ps1</t>
  </si>
  <si>
    <t>Working tree, generated-file audit, remotes, and candidate SHA pass</t>
  </si>
  <si>
    <t>Git</t>
  </si>
  <si>
    <t>Confirm remote separation</t>
  </si>
  <si>
    <t>git remote -v</t>
  </si>
  <si>
    <t>origin is staging; production is Robotics-Programming-Lab; IUSE is archive-only</t>
  </si>
  <si>
    <t>Production</t>
  </si>
  <si>
    <t>Promote an approved immutable release</t>
  </si>
  <si>
    <t>.\scripts\promote-release.ps1 -ReleaseTag v4.0.0 -ConfirmProduction</t>
  </si>
  <si>
    <t>After explicit approval, the exact staging SHA and tag reach production atomically</t>
  </si>
  <si>
    <t>Initial staging candidate; SHA recorded in Git/GitHub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</si>
</sst>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rgb="FF203B5A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203B5A"/>
      <name val="Aptos"/>
      <family val="2"/>
    </font>
    <font>
      <u/>
      <sz val="10"/>
      <color theme="10"/>
      <name val="Aptos"/>
      <family val="2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34A6B"/>
        <bgColor indexed="64"/>
      </patternFill>
    </fill>
    <fill>
      <patternFill patternType="solid">
        <fgColor rgb="FF265272"/>
        <bgColor indexed="64"/>
      </patternFill>
    </fill>
    <fill>
      <patternFill patternType="solid">
        <fgColor rgb="FFF8F3E7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9E8"/>
        <bgColor indexed="64"/>
      </patternFill>
    </fill>
    <fill>
      <patternFill patternType="solid">
        <fgColor rgb="FFBDD7EE"/>
        <bgColor indexed="64"/>
      </patternFill>
    </fill>
  </fills>
  <borders count="12">
    <border>
      <left/>
      <right/>
      <top/>
      <bottom/>
      <diagonal/>
    </border>
    <border>
      <left style="thin">
        <color rgb="FFF3E2D9"/>
      </left>
      <right style="thin">
        <color rgb="FFF3E2D9"/>
      </right>
      <top style="thin">
        <color rgb="FFF3E2D9"/>
      </top>
      <bottom style="thin">
        <color rgb="FFF3E2D9"/>
      </bottom>
      <diagonal/>
    </border>
    <border>
      <left style="thin">
        <color rgb="FFF3E2D9"/>
      </left>
      <right/>
      <top style="thin">
        <color rgb="FFF3E2D9"/>
      </top>
      <bottom style="thin">
        <color rgb="FFF3E2D9"/>
      </bottom>
      <diagonal/>
    </border>
    <border>
      <left/>
      <right style="thin">
        <color rgb="FFF3E2D9"/>
      </right>
      <top style="thin">
        <color rgb="FFF3E2D9"/>
      </top>
      <bottom style="thin">
        <color rgb="FFF3E2D9"/>
      </bottom>
      <diagonal/>
    </border>
    <border>
      <left style="thin">
        <color rgb="FFF3E2D9"/>
      </left>
      <right style="thin">
        <color rgb="FFF3E2D9"/>
      </right>
      <top/>
      <bottom style="thin">
        <color rgb="FFF3E2D9"/>
      </bottom>
      <diagonal/>
    </border>
    <border>
      <left style="thin">
        <color rgb="FFF3E2D9"/>
      </left>
      <right style="thin">
        <color rgb="FFF3E2D9"/>
      </right>
      <top style="thin">
        <color rgb="FFF3E2D9"/>
      </top>
      <bottom/>
      <diagonal/>
    </border>
    <border>
      <left/>
      <right style="thin">
        <color rgb="FFF3E2D9"/>
      </right>
      <top/>
      <bottom style="thin">
        <color rgb="FFF3E2D9"/>
      </bottom>
      <diagonal/>
    </border>
    <border>
      <left/>
      <right style="thin">
        <color rgb="FFF3E2D9"/>
      </right>
      <top style="thin">
        <color rgb="FFF3E2D9"/>
      </top>
      <bottom/>
      <diagonal/>
    </border>
    <border>
      <left style="thin">
        <color rgb="FFF3E2D9"/>
      </left>
      <right/>
      <top/>
      <bottom style="thin">
        <color rgb="FFF3E2D9"/>
      </bottom>
      <diagonal/>
    </border>
    <border>
      <left style="thin">
        <color rgb="FFF3E2D9"/>
      </left>
      <right/>
      <top style="thin">
        <color rgb="FFF3E2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5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164" fontId="4" fillId="0" borderId="5" xfId="0" applyNumberFormat="1" applyFont="1" applyBorder="1" applyAlignment="1">
      <alignment vertical="top" wrapText="1"/>
    </xf>
    <xf numFmtId="0" fontId="2" fillId="2" borderId="6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1" xfId="0" applyFont="1" applyBorder="1"/>
    <xf numFmtId="164" fontId="4" fillId="0" borderId="1" xfId="0" applyNumberFormat="1" applyFont="1" applyBorder="1"/>
    <xf numFmtId="0" fontId="5" fillId="6" borderId="1" xfId="0" applyFont="1" applyFill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4" fillId="0" borderId="3" xfId="0" applyFont="1" applyBorder="1" applyAlignment="1">
      <alignment vertical="center" wrapText="1"/>
    </xf>
    <xf numFmtId="9" fontId="4" fillId="0" borderId="2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8" fillId="9" borderId="10" xfId="0" applyFont="1" applyFill="1" applyBorder="1" applyAlignment="1">
      <alignment vertical="center" wrapText="1"/>
    </xf>
    <xf numFmtId="0" fontId="0" fillId="9" borderId="10" xfId="0" applyFill="1" applyBorder="1" applyAlignment="1">
      <alignment vertical="center" wrapText="1"/>
    </xf>
    <xf numFmtId="164" fontId="0" fillId="9" borderId="10" xfId="0" applyNumberFormat="1" applyFill="1" applyBorder="1" applyAlignment="1">
      <alignment vertical="center" wrapText="1"/>
    </xf>
    <xf numFmtId="0" fontId="8" fillId="10" borderId="11" xfId="0" applyFont="1" applyFill="1" applyBorder="1" applyAlignment="1">
      <alignment vertical="center" wrapText="1"/>
    </xf>
    <xf numFmtId="9" fontId="8" fillId="10" borderId="11" xfId="0" applyNumberFormat="1" applyFont="1" applyFill="1" applyBorder="1" applyAlignment="1">
      <alignment vertical="center" wrapText="1"/>
    </xf>
    <xf numFmtId="0" fontId="0" fillId="10" borderId="11" xfId="0" applyFill="1" applyBorder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0" fillId="9" borderId="10" xfId="0" applyFill="1" applyBorder="1" applyAlignment="1">
      <alignment vertical="center" wrapText="1"/>
    </xf>
    <xf numFmtId="0" fontId="0" fillId="10" borderId="11" xfId="0" applyFill="1" applyBorder="1" applyAlignment="1">
      <alignment vertical="center" wrapText="1"/>
    </xf>
    <xf numFmtId="0" fontId="8" fillId="10" borderId="11" xfId="0" applyFont="1" applyFill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wrapText="1"/>
    </xf>
    <xf numFmtId="0" fontId="5" fillId="6" borderId="1" xfId="0" applyFont="1" applyFill="1" applyBorder="1"/>
  </cellXfs>
  <cellStyles count="2">
    <cellStyle name="Hyperlink" xfId="1" builtinId="8"/>
    <cellStyle name="Normal" xfId="0" builtinId="0"/>
  </cellStyles>
  <dxfs count="182"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ont>
        <color rgb="FF00607F"/>
      </font>
      <fill>
        <patternFill>
          <bgColor rgb="FFCCF2FF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777777"/>
      </font>
      <fill>
        <patternFill>
          <bgColor rgb="FFF2F2F2"/>
        </patternFill>
      </fill>
    </dxf>
    <dxf>
      <font>
        <color rgb="FF1D7638"/>
      </font>
      <fill>
        <patternFill>
          <bgColor rgb="FFD3EAD9"/>
        </patternFill>
      </fill>
    </dxf>
    <dxf>
      <font>
        <color rgb="FF666666"/>
      </font>
      <fill>
        <patternFill>
          <bgColor rgb="FFE6E6E7"/>
        </patternFill>
      </fill>
    </dxf>
    <dxf>
      <font>
        <color rgb="FF6B9C00"/>
      </font>
      <fill>
        <patternFill>
          <bgColor rgb="FFFFEB9C"/>
        </patternFill>
      </fill>
    </dxf>
    <dxf>
      <font>
        <color rgb="FF9C0000"/>
      </font>
      <fill>
        <patternFill>
          <bgColor rgb="FFFFCEC7"/>
        </patternFill>
      </fill>
    </dxf>
    <dxf>
      <font>
        <color rgb="FF006100"/>
      </font>
      <fill>
        <patternFill>
          <bgColor rgb="FFCEEFC6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/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34A6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/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64" formatCode="yyyy\-mm\-dd"/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64" formatCode="yyyy\-mm\-dd"/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34A6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/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64" formatCode="yyyy\-mm\-dd"/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border outline="0">
        <top style="thin">
          <color rgb="FFF3E2D9"/>
        </top>
      </border>
    </dxf>
    <dxf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F3E2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34A6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/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64" formatCode="yyyy\-mm\-dd"/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border outline="0">
        <top style="thin">
          <color rgb="FFF3E2D9"/>
        </top>
      </border>
    </dxf>
    <dxf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F3E2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34A6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/>
        <bottom/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/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rgb="FFF3E2D9"/>
        </right>
        <top style="thin">
          <color rgb="FFF3E2D9"/>
        </top>
        <bottom style="thin">
          <color rgb="FFF3E2D9"/>
        </bottom>
      </border>
    </dxf>
    <dxf>
      <font>
        <strike val="0"/>
        <outline val="0"/>
        <shadow val="0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34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3E2D9"/>
        </left>
        <right style="thin">
          <color rgb="FFF3E2D9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7B0FA5-A9A9-47C1-A4F2-AA863A2D1168}" name="V4SqaResults" displayName="V4SqaResults" ref="A12:F58" totalsRowShown="0" headerRowDxfId="181" dataDxfId="180">
  <autoFilter ref="A12:F58" xr:uid="{507B0FA5-A9A9-47C1-A4F2-AA863A2D1168}"/>
  <tableColumns count="6">
    <tableColumn id="1" xr3:uid="{5A157798-6261-46BB-8891-36F24F07078D}" name="Check ID" dataDxfId="179"/>
    <tableColumn id="2" xr3:uid="{390D0DD6-719C-4C7F-9D46-297C1DC561D9}" name="Area / Feature" dataDxfId="178"/>
    <tableColumn id="3" xr3:uid="{8E8C7BE4-8867-4EE5-B404-BE0471109516}" name="Result" dataDxfId="177"/>
    <tableColumn id="4" xr3:uid="{FE92DFBC-8D4B-45EF-B308-38B28F1261C5}" name="Environment" dataDxfId="176"/>
    <tableColumn id="5" xr3:uid="{68CC0378-6B6E-4FAA-AF1D-F3E68581AE49}" name="Evidence" dataDxfId="175"/>
    <tableColumn id="6" xr3:uid="{3C1A2F3E-4973-4B4E-8B47-19122DF10D94}" name="Limitation / Next Step" dataDxfId="1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13CFB0-9AB3-438A-8BFB-6BC9174C3B5C}" name="CategoryCoverage" displayName="CategoryCoverage" ref="A15:H29" totalsRowShown="0" headerRowDxfId="173" dataDxfId="172">
  <autoFilter ref="A15:H29" xr:uid="{5713CFB0-9AB3-438A-8BFB-6BC9174C3B5C}"/>
  <tableColumns count="8">
    <tableColumn id="1" xr3:uid="{514DDA2A-AF5A-482D-B3F3-604ED034E28A}" name="Category" dataDxfId="171"/>
    <tableColumn id="2" xr3:uid="{94DB1C21-2052-488E-8CB9-CC3A4F680D74}" name="Total" dataDxfId="170"/>
    <tableColumn id="3" xr3:uid="{F1D09797-5718-45AE-8D3B-B5C77DF64302}" name="Pass" dataDxfId="169"/>
    <tableColumn id="4" xr3:uid="{22CCFF31-FA57-4E7F-9872-BFF1DCD4EAE0}" name="Fail" dataDxfId="168"/>
    <tableColumn id="5" xr3:uid="{2F0D6804-E1C4-4ABC-8693-960F61D98815}" name="Blocked" dataDxfId="167"/>
    <tableColumn id="6" xr3:uid="{78D91AB6-027C-4D06-8742-DABE2AE2977D}" name="Not Run" dataDxfId="166"/>
    <tableColumn id="7" xr3:uid="{8E778F6C-0C24-47C0-8755-CA03C7B5D8FE}" name="N/A" dataDxfId="165"/>
    <tableColumn id="8" xr3:uid="{4F2E865E-15BF-4430-B821-7ADDCCF4E35D}" name="Progress" dataDxfId="164">
      <calculatedColumnFormula>IF(B16=0,0,(C16+D16+E16+G16)/B16)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636AA-C830-4BD5-9E15-432EDF0BB51F}" name="SqaMasterChecklist" displayName="SqaMasterChecklist" ref="A1:S204" totalsRowShown="0" headerRowDxfId="163" dataDxfId="161" headerRowBorderDxfId="162" tableBorderDxfId="160" totalsRowBorderDxfId="159">
  <autoFilter ref="A1:S204" xr:uid="{297636AA-C830-4BD5-9E15-432EDF0BB51F}"/>
  <tableColumns count="19">
    <tableColumn id="1" xr3:uid="{36235B70-5B6F-4505-B76A-6A13A96E732C}" name="Checked?" dataDxfId="158"/>
    <tableColumn id="2" xr3:uid="{B17FBB37-E205-4738-AD87-279329BB9D86}" name="Check ID" dataDxfId="157"/>
    <tableColumn id="3" xr3:uid="{42F62881-8CA4-4576-8829-8D3B23C4C056}" name="Scope" dataDxfId="156"/>
    <tableColumn id="4" xr3:uid="{6377E820-0060-4A72-875B-4367FE70DE97}" name="Category" dataDxfId="155"/>
    <tableColumn id="5" xr3:uid="{6B0C1DF2-686F-4165-A6F6-59D300A43DC9}" name="Feature / Requirement" dataDxfId="154"/>
    <tableColumn id="6" xr3:uid="{88184B07-5760-43E2-B822-DE6E0D2D5393}" name="Preconditions" dataDxfId="153"/>
    <tableColumn id="7" xr3:uid="{F6FF52F9-0C1F-4F6B-9476-6EC9D6F0F219}" name="Test Steps" dataDxfId="152"/>
    <tableColumn id="8" xr3:uid="{9A5E8B9D-5159-4A81-9337-8864932C114B}" name="Expected Result" dataDxfId="151"/>
    <tableColumn id="9" xr3:uid="{95CE83E7-D35D-417A-A482-393B00789156}" name="Priority" dataDxfId="150"/>
    <tableColumn id="10" xr3:uid="{24CD785E-6C01-4860-9727-E637CF8B86BF}" name="Test Type" dataDxfId="149"/>
    <tableColumn id="11" xr3:uid="{0E21C099-8446-40C3-8472-BDDC363363FD}" name="Platform" dataDxfId="148"/>
    <tableColumn id="12" xr3:uid="{8A28A315-419F-40BB-9736-233E2CB5EA0C}" name="Automated?" dataDxfId="147"/>
    <tableColumn id="13" xr3:uid="{637B1301-9145-405F-BC80-5B7F72770CCB}" name="Status" dataDxfId="146"/>
    <tableColumn id="14" xr3:uid="{40A4B16F-3D5C-4F18-8BA1-1AAC12DACF9C}" name="Defect ID" dataDxfId="145"/>
    <tableColumn id="15" xr3:uid="{8E7E2613-4579-4C40-9AD1-D6EE25F4D54D}" name="Actual Result / Evidence" dataDxfId="144"/>
    <tableColumn id="16" xr3:uid="{4DAF0C8B-86EB-4A4C-9F0C-346F415BFEAD}" name="Tester" dataDxfId="143"/>
    <tableColumn id="17" xr3:uid="{AF2EFB87-52FE-4A0E-8613-92D5963C12C4}" name="Test Date" dataDxfId="142"/>
    <tableColumn id="18" xr3:uid="{FF28FD74-3B26-455A-87E1-942B71C86660}" name="Retest Status" dataDxfId="141"/>
    <tableColumn id="19" xr3:uid="{E8E48263-4820-49CD-B96B-54C63DE7FFB2}" name="Notes" dataDxfId="1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250E4-4F02-4BB7-B7FC-0190BE70F7DD}" name="AssignmentVerificationMatrix" displayName="AssignmentVerificationMatrix" ref="A1:S5" totalsRowShown="0" headerRowDxfId="139" dataDxfId="137" headerRowBorderDxfId="138" tableBorderDxfId="136" totalsRowBorderDxfId="135">
  <autoFilter ref="A1:S5" xr:uid="{0C9250E4-4F02-4BB7-B7FC-0190BE70F7DD}"/>
  <tableColumns count="19">
    <tableColumn id="1" xr3:uid="{9B5AE3BD-8983-4EC2-B4FB-8F1922892248}" name="Checked?" dataDxfId="134"/>
    <tableColumn id="2" xr3:uid="{A61EE116-CDA4-4021-A0F3-66DB49A50DA6}" name="Assignment ID" dataDxfId="133"/>
    <tableColumn id="3" xr3:uid="{9E8C471B-3F01-4F6C-BEF4-AA92E600AB02}" name="Stable ID" dataDxfId="132"/>
    <tableColumn id="4" xr3:uid="{34A49317-1099-4E8F-91B3-860A7F45CF8F}" name="Version" dataDxfId="131"/>
    <tableColumn id="5" xr3:uid="{5033C135-34AD-4479-82A8-89329705DA84}" name="Title" dataDxfId="130"/>
    <tableColumn id="6" xr3:uid="{2CBE6358-55A4-4D3E-A80F-4D02D462D225}" name="Published" dataDxfId="129"/>
    <tableColumn id="7" xr3:uid="{5A6367BD-CE71-4369-9160-75488E35F536}" name="Detail Loads" dataDxfId="128"/>
    <tableColumn id="8" xr3:uid="{54D0D69C-05B3-479E-8D72-C910839E656B}" name="Starter Compiles" dataDxfId="127"/>
    <tableColumn id="9" xr3:uid="{E6465C04-8C75-457E-B5B7-05AE9491E681}" name="Starter Executes" dataDxfId="126"/>
    <tableColumn id="10" xr3:uid="{A1B17551-6FA5-42CB-A641-45731DF8AF7D}" name="Official Solution" dataDxfId="125"/>
    <tableColumn id="11" xr3:uid="{175B0CD2-843A-48C6-A3C8-8FCE73C25C7C}" name="Public Run" dataDxfId="124"/>
    <tableColumn id="12" xr3:uid="{EB95292D-47DA-4942-9486-DBC0893D8E97}" name="Hidden Grading" dataDxfId="123"/>
    <tableColumn id="13" xr3:uid="{66816C58-CCFD-4907-A23F-8A67D85980A5}" name="Evidence UI" dataDxfId="122"/>
    <tableColumn id="14" xr3:uid="{885637C5-0EEB-4823-A013-02BFF3B46E43}" name="Solution Protection" dataDxfId="121"/>
    <tableColumn id="15" xr3:uid="{60E96EE9-1D95-4C14-9251-8E73EB468EF4}" name="Hint Policy" dataDxfId="120"/>
    <tableColumn id="16" xr3:uid="{121812F3-5B95-4EF7-8C22-E90A93734876}" name="Simulation Config" dataDxfId="119"/>
    <tableColumn id="17" xr3:uid="{10998442-6968-4B25-AF97-E4414DF56949}" name="Last Verified" dataDxfId="118"/>
    <tableColumn id="18" xr3:uid="{A8DB5F0D-DDD4-4F87-887D-8AA65A1830E9}" name="Evidence" dataDxfId="117"/>
    <tableColumn id="19" xr3:uid="{2C713A16-14E3-4498-9A05-053E615FD293}" name="Notes" dataDxfId="1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2282BA-C94A-4379-878A-CDD40B0FD573}" name="SqaDefectLog" displayName="SqaDefectLog" ref="A1:P2" totalsRowShown="0" headerRowDxfId="115" dataDxfId="114">
  <autoFilter ref="A1:P2" xr:uid="{9A2282BA-C94A-4379-878A-CDD40B0FD573}"/>
  <tableColumns count="16">
    <tableColumn id="1" xr3:uid="{3FFD6D5B-4B19-40A0-BA0C-FF6EB8EE70FF}" name="Defect ID" dataDxfId="113"/>
    <tableColumn id="2" xr3:uid="{405F9D76-9879-4584-A039-4FB0D85D26EA}" name="Title" dataDxfId="112"/>
    <tableColumn id="3" xr3:uid="{E0DFE216-CDB5-47D1-90C3-898F356C7D77}" name="Severity" dataDxfId="111"/>
    <tableColumn id="4" xr3:uid="{1F4AF10F-47E1-4C91-9690-0362562BA213}" name="Category" dataDxfId="110"/>
    <tableColumn id="5" xr3:uid="{FD9A5184-1ED6-42B9-86BE-816A5CF18B57}" name="Environment" dataDxfId="109"/>
    <tableColumn id="6" xr3:uid="{68A6433C-E793-4172-855C-F805371364A8}" name="Steps to Reproduce" dataDxfId="108"/>
    <tableColumn id="7" xr3:uid="{DC61AACE-227A-40AA-B10A-C1F5728704FE}" name="Expected" dataDxfId="107"/>
    <tableColumn id="8" xr3:uid="{12B573E6-ED14-4BED-995C-B551C7EFA9C2}" name="Actual" dataDxfId="106"/>
    <tableColumn id="9" xr3:uid="{A464A843-B701-4777-8E38-24FC5609C78B}" name="Status" dataDxfId="105"/>
    <tableColumn id="10" xr3:uid="{DC1B2681-FCE6-4DD8-8851-71F982929B57}" name="Owner" dataDxfId="104"/>
    <tableColumn id="11" xr3:uid="{6CDC8AA6-1414-4984-A688-2EAF4850504A}" name="Found Date" dataDxfId="103"/>
    <tableColumn id="12" xr3:uid="{BBBE1F02-AEA7-428D-AA78-7512A652A582}" name="Fix Version / Commit" dataDxfId="102"/>
    <tableColumn id="13" xr3:uid="{12679DBB-7D67-4837-BC2A-086A5E6C10EC}" name="Retest Result" dataDxfId="101"/>
    <tableColumn id="14" xr3:uid="{70AEEE13-E79E-453E-9D96-E845C17D0F90}" name="Retest Date" dataDxfId="100"/>
    <tableColumn id="15" xr3:uid="{D6C9CC70-C258-4588-B3F0-53497174EE4A}" name="Evidence Link / Path" dataDxfId="99"/>
    <tableColumn id="16" xr3:uid="{51ABC737-2BE3-45AD-BFB8-167BEA7FC4A0}" name="Notes" dataDxfId="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F7316-8182-44B7-A194-6F06F09E1DEA}" name="SqaRunbook" displayName="SqaRunbook" ref="A4:D43" totalsRowShown="0" headerRowDxfId="97" dataDxfId="96">
  <autoFilter ref="A4:D43" xr:uid="{E70F7316-8182-44B7-A194-6F06F09E1DEA}"/>
  <tableColumns count="4">
    <tableColumn id="1" xr3:uid="{048B8B22-29F1-498A-942A-CE2D40DA729F}" name="Section" dataDxfId="95"/>
    <tableColumn id="2" xr3:uid="{0258A226-78E0-482D-B42F-9C49DB5DE0E3}" name="Purpose" dataDxfId="94"/>
    <tableColumn id="3" xr3:uid="{9330B9B0-5EA6-436C-A363-64EB787B8066}" name="Command / Procedure" dataDxfId="93"/>
    <tableColumn id="4" xr3:uid="{FCEBAD45-6B93-4F5F-B1B4-216A239A0C29}" name="Expected Result" dataDxfId="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PROJECT_VISION_ARCHITECTURE_AND_DELIVERY_PLAN.m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4698-9EAD-4079-8D0C-923EC10C1564}">
  <dimension ref="A1:F58"/>
  <sheetViews>
    <sheetView showGridLines="0" tabSelected="1" workbookViewId="0">
      <pane ySplit="11" topLeftCell="A12" activePane="bottomLeft" state="frozen"/>
      <selection pane="bottomLeft" activeCell="A12" sqref="A12"/>
    </sheetView>
  </sheetViews>
  <sheetFormatPr defaultRowHeight="15" x14ac:dyDescent="0.25"/>
  <cols>
    <col min="1" max="1" width="15.7109375" customWidth="1"/>
    <col min="2" max="2" width="34.7109375" customWidth="1"/>
    <col min="3" max="3" width="14.7109375" customWidth="1"/>
    <col min="4" max="4" width="20.7109375" customWidth="1"/>
    <col min="5" max="6" width="55.7109375" customWidth="1"/>
  </cols>
  <sheetData>
    <row r="1" spans="1:6" ht="30" customHeight="1" x14ac:dyDescent="0.25">
      <c r="A1" s="39" t="s">
        <v>1253</v>
      </c>
      <c r="B1" s="39"/>
      <c r="C1" s="39"/>
      <c r="D1" s="39"/>
      <c r="E1" s="39"/>
      <c r="F1" s="39"/>
    </row>
    <row r="2" spans="1:6" x14ac:dyDescent="0.25">
      <c r="A2" s="32"/>
      <c r="B2" s="32"/>
      <c r="C2" s="32"/>
      <c r="D2" s="32"/>
      <c r="E2" s="32"/>
      <c r="F2" s="32"/>
    </row>
    <row r="3" spans="1:6" ht="33.950000000000003" customHeight="1" x14ac:dyDescent="0.25">
      <c r="A3" s="33" t="s">
        <v>1047</v>
      </c>
      <c r="B3" s="34" t="s">
        <v>1373</v>
      </c>
      <c r="C3" s="33" t="s">
        <v>923</v>
      </c>
      <c r="D3" s="34" t="s">
        <v>1461</v>
      </c>
      <c r="E3" s="33" t="s">
        <v>61</v>
      </c>
      <c r="F3" s="35">
        <v>46238</v>
      </c>
    </row>
    <row r="4" spans="1:6" ht="33.950000000000003" customHeight="1" x14ac:dyDescent="0.25">
      <c r="A4" s="33" t="s">
        <v>924</v>
      </c>
      <c r="B4" s="34" t="s">
        <v>1531</v>
      </c>
      <c r="C4" s="33" t="s">
        <v>1254</v>
      </c>
      <c r="D4" s="34" t="s">
        <v>1255</v>
      </c>
      <c r="E4" s="33" t="s">
        <v>90</v>
      </c>
      <c r="F4" s="34" t="s">
        <v>1215</v>
      </c>
    </row>
    <row r="5" spans="1:6" ht="33.950000000000003" customHeight="1" x14ac:dyDescent="0.25">
      <c r="A5" s="33" t="s">
        <v>8</v>
      </c>
      <c r="B5" s="40" t="s">
        <v>1462</v>
      </c>
      <c r="C5" s="40"/>
      <c r="D5" s="40"/>
      <c r="E5" s="40"/>
      <c r="F5" s="40"/>
    </row>
    <row r="6" spans="1:6" x14ac:dyDescent="0.25">
      <c r="A6" s="32"/>
      <c r="B6" s="32"/>
      <c r="C6" s="32"/>
      <c r="D6" s="32"/>
      <c r="E6" s="32"/>
      <c r="F6" s="32"/>
    </row>
    <row r="7" spans="1:6" ht="27.95" customHeight="1" x14ac:dyDescent="0.25">
      <c r="A7" s="36" t="s">
        <v>932</v>
      </c>
      <c r="B7" s="38">
        <f>COUNTA(A13:A58)</f>
        <v>46</v>
      </c>
      <c r="C7" s="36" t="s">
        <v>934</v>
      </c>
      <c r="D7" s="38">
        <f>COUNTIF(C13:C58,"Pass")</f>
        <v>36</v>
      </c>
      <c r="E7" s="36" t="s">
        <v>1256</v>
      </c>
      <c r="F7" s="36">
        <f>B7-D7</f>
        <v>10</v>
      </c>
    </row>
    <row r="8" spans="1:6" ht="27.95" customHeight="1" x14ac:dyDescent="0.25">
      <c r="A8" s="36" t="s">
        <v>937</v>
      </c>
      <c r="B8" s="37">
        <f>IF(B7=0,0,D7/B7)</f>
        <v>0.78260869565217395</v>
      </c>
      <c r="C8" s="36" t="s">
        <v>36</v>
      </c>
      <c r="D8" s="38">
        <f>COUNTIF(C13:C58,"Blocked")</f>
        <v>0</v>
      </c>
      <c r="E8" s="36" t="s">
        <v>1257</v>
      </c>
      <c r="F8" s="38">
        <f>COUNTIF(C13:C58,"Not Run")+COUNTIF(C13:C58,"Deferred")</f>
        <v>5</v>
      </c>
    </row>
    <row r="9" spans="1:6" ht="27.95" customHeight="1" x14ac:dyDescent="0.25">
      <c r="A9" s="36" t="s">
        <v>7</v>
      </c>
      <c r="B9" s="41" t="str">
        <f>IF(COUNTIF(C13:C58,"Fail")&gt;0,"DO NOT RELEASE",IF(COUNTIF(C13:C58,"Blocked")&gt;0,"DO NOT RELEASE",IF(COUNTIF(C13:C58,"Not Run")+COUNTIF(C13:C58,"Partial")&gt;0,"CLASSROOM CANDIDATE - LIVE GATES OPEN","READY")))</f>
        <v>CLASSROOM CANDIDATE - LIVE GATES OPEN</v>
      </c>
      <c r="C9" s="42"/>
      <c r="D9" s="42"/>
      <c r="E9" s="42"/>
      <c r="F9" s="42"/>
    </row>
    <row r="12" spans="1:6" x14ac:dyDescent="0.25">
      <c r="A12" s="31" t="s">
        <v>50</v>
      </c>
      <c r="B12" s="31" t="s">
        <v>1258</v>
      </c>
      <c r="C12" s="31" t="s">
        <v>1259</v>
      </c>
      <c r="D12" s="31" t="s">
        <v>910</v>
      </c>
      <c r="E12" s="31" t="s">
        <v>897</v>
      </c>
      <c r="F12" s="31" t="s">
        <v>1260</v>
      </c>
    </row>
    <row r="13" spans="1:6" ht="30" x14ac:dyDescent="0.25">
      <c r="A13" s="31" t="s">
        <v>1261</v>
      </c>
      <c r="B13" s="31" t="s">
        <v>1262</v>
      </c>
      <c r="C13" s="31" t="s">
        <v>20</v>
      </c>
      <c r="D13" s="31" t="s">
        <v>1263</v>
      </c>
      <c r="E13" s="31" t="s">
        <v>1264</v>
      </c>
      <c r="F13" s="31" t="s">
        <v>1265</v>
      </c>
    </row>
    <row r="14" spans="1:6" ht="30" x14ac:dyDescent="0.25">
      <c r="A14" s="31" t="s">
        <v>1266</v>
      </c>
      <c r="B14" s="31" t="s">
        <v>1267</v>
      </c>
      <c r="C14" s="31" t="s">
        <v>20</v>
      </c>
      <c r="D14" s="31" t="s">
        <v>1268</v>
      </c>
      <c r="E14" s="31" t="s">
        <v>1375</v>
      </c>
      <c r="F14" s="31" t="s">
        <v>1376</v>
      </c>
    </row>
    <row r="15" spans="1:6" x14ac:dyDescent="0.25">
      <c r="A15" s="31" t="s">
        <v>1269</v>
      </c>
      <c r="B15" s="31" t="s">
        <v>87</v>
      </c>
      <c r="C15" s="31" t="s">
        <v>20</v>
      </c>
      <c r="D15" s="31" t="s">
        <v>1268</v>
      </c>
      <c r="E15" s="31" t="s">
        <v>1270</v>
      </c>
      <c r="F15" s="31" t="s">
        <v>1271</v>
      </c>
    </row>
    <row r="16" spans="1:6" x14ac:dyDescent="0.25">
      <c r="A16" s="31" t="s">
        <v>1272</v>
      </c>
      <c r="B16" s="31" t="s">
        <v>774</v>
      </c>
      <c r="C16" s="31" t="s">
        <v>20</v>
      </c>
      <c r="D16" s="31" t="s">
        <v>1268</v>
      </c>
      <c r="E16" s="31" t="s">
        <v>1273</v>
      </c>
      <c r="F16" s="31" t="s">
        <v>1274</v>
      </c>
    </row>
    <row r="17" spans="1:6" x14ac:dyDescent="0.25">
      <c r="A17" s="31" t="s">
        <v>1275</v>
      </c>
      <c r="B17" s="31" t="s">
        <v>1276</v>
      </c>
      <c r="C17" s="31" t="s">
        <v>20</v>
      </c>
      <c r="D17" s="31" t="s">
        <v>1268</v>
      </c>
      <c r="E17" s="31" t="s">
        <v>1277</v>
      </c>
      <c r="F17" s="31" t="s">
        <v>1278</v>
      </c>
    </row>
    <row r="18" spans="1:6" ht="30" x14ac:dyDescent="0.25">
      <c r="A18" s="31" t="s">
        <v>1279</v>
      </c>
      <c r="B18" s="31" t="s">
        <v>1280</v>
      </c>
      <c r="C18" s="31" t="s">
        <v>20</v>
      </c>
      <c r="D18" s="31" t="s">
        <v>1268</v>
      </c>
      <c r="E18" s="31" t="s">
        <v>1377</v>
      </c>
      <c r="F18" s="31" t="s">
        <v>1378</v>
      </c>
    </row>
    <row r="19" spans="1:6" x14ac:dyDescent="0.25">
      <c r="A19" s="31" t="s">
        <v>1281</v>
      </c>
      <c r="B19" s="31" t="s">
        <v>1282</v>
      </c>
      <c r="C19" s="31" t="s">
        <v>20</v>
      </c>
      <c r="D19" s="31" t="s">
        <v>1268</v>
      </c>
      <c r="E19" s="31" t="s">
        <v>1283</v>
      </c>
      <c r="F19" s="31" t="s">
        <v>1284</v>
      </c>
    </row>
    <row r="20" spans="1:6" ht="30" x14ac:dyDescent="0.25">
      <c r="A20" s="31" t="s">
        <v>1285</v>
      </c>
      <c r="B20" s="31" t="s">
        <v>1286</v>
      </c>
      <c r="C20" s="31" t="s">
        <v>20</v>
      </c>
      <c r="D20" s="31" t="s">
        <v>1287</v>
      </c>
      <c r="E20" s="31" t="s">
        <v>1288</v>
      </c>
      <c r="F20" s="31" t="s">
        <v>1379</v>
      </c>
    </row>
    <row r="21" spans="1:6" x14ac:dyDescent="0.25">
      <c r="A21" s="31" t="s">
        <v>1289</v>
      </c>
      <c r="B21" s="31" t="s">
        <v>1290</v>
      </c>
      <c r="C21" s="31" t="s">
        <v>20</v>
      </c>
      <c r="D21" s="31" t="s">
        <v>1291</v>
      </c>
      <c r="E21" s="31" t="s">
        <v>1292</v>
      </c>
      <c r="F21" s="31" t="s">
        <v>1293</v>
      </c>
    </row>
    <row r="22" spans="1:6" x14ac:dyDescent="0.25">
      <c r="A22" s="31" t="s">
        <v>1294</v>
      </c>
      <c r="B22" s="31" t="s">
        <v>1295</v>
      </c>
      <c r="C22" s="31" t="s">
        <v>20</v>
      </c>
      <c r="D22" s="31" t="s">
        <v>1296</v>
      </c>
      <c r="E22" s="31" t="s">
        <v>1297</v>
      </c>
      <c r="F22" s="31" t="s">
        <v>1298</v>
      </c>
    </row>
    <row r="23" spans="1:6" ht="30" x14ac:dyDescent="0.25">
      <c r="A23" s="31" t="s">
        <v>1299</v>
      </c>
      <c r="B23" s="31" t="s">
        <v>1300</v>
      </c>
      <c r="C23" s="31" t="s">
        <v>20</v>
      </c>
      <c r="D23" s="31" t="s">
        <v>1301</v>
      </c>
      <c r="E23" s="31" t="s">
        <v>1302</v>
      </c>
      <c r="F23" s="31" t="s">
        <v>1303</v>
      </c>
    </row>
    <row r="24" spans="1:6" ht="30" x14ac:dyDescent="0.25">
      <c r="A24" s="31" t="s">
        <v>1304</v>
      </c>
      <c r="B24" s="31" t="s">
        <v>1305</v>
      </c>
      <c r="C24" s="31" t="s">
        <v>20</v>
      </c>
      <c r="D24" s="31" t="s">
        <v>1301</v>
      </c>
      <c r="E24" s="31" t="s">
        <v>1306</v>
      </c>
      <c r="F24" s="31" t="s">
        <v>1307</v>
      </c>
    </row>
    <row r="25" spans="1:6" x14ac:dyDescent="0.25">
      <c r="A25" s="31" t="s">
        <v>1308</v>
      </c>
      <c r="B25" s="31" t="s">
        <v>1309</v>
      </c>
      <c r="C25" s="31" t="s">
        <v>20</v>
      </c>
      <c r="D25" s="31" t="s">
        <v>1296</v>
      </c>
      <c r="E25" s="31" t="s">
        <v>1310</v>
      </c>
      <c r="F25" s="31" t="s">
        <v>1311</v>
      </c>
    </row>
    <row r="26" spans="1:6" ht="30" x14ac:dyDescent="0.25">
      <c r="A26" s="31" t="s">
        <v>1312</v>
      </c>
      <c r="B26" s="31" t="s">
        <v>1313</v>
      </c>
      <c r="C26" s="31" t="s">
        <v>20</v>
      </c>
      <c r="D26" s="31" t="s">
        <v>1301</v>
      </c>
      <c r="E26" s="31" t="s">
        <v>1314</v>
      </c>
      <c r="F26" s="31" t="s">
        <v>1315</v>
      </c>
    </row>
    <row r="27" spans="1:6" ht="30" x14ac:dyDescent="0.25">
      <c r="A27" s="31" t="s">
        <v>1316</v>
      </c>
      <c r="B27" s="31" t="s">
        <v>1317</v>
      </c>
      <c r="C27" s="31" t="s">
        <v>20</v>
      </c>
      <c r="D27" s="31" t="s">
        <v>1301</v>
      </c>
      <c r="E27" s="31" t="s">
        <v>1318</v>
      </c>
      <c r="F27" s="31" t="s">
        <v>1319</v>
      </c>
    </row>
    <row r="28" spans="1:6" x14ac:dyDescent="0.25">
      <c r="A28" s="31" t="s">
        <v>1320</v>
      </c>
      <c r="B28" s="31" t="s">
        <v>1321</v>
      </c>
      <c r="C28" s="31" t="s">
        <v>20</v>
      </c>
      <c r="D28" s="31" t="s">
        <v>1301</v>
      </c>
      <c r="E28" s="31" t="s">
        <v>1322</v>
      </c>
      <c r="F28" s="31" t="s">
        <v>1323</v>
      </c>
    </row>
    <row r="29" spans="1:6" ht="30" x14ac:dyDescent="0.25">
      <c r="A29" s="31" t="s">
        <v>1324</v>
      </c>
      <c r="B29" s="31" t="s">
        <v>1325</v>
      </c>
      <c r="C29" s="31" t="s">
        <v>20</v>
      </c>
      <c r="D29" s="31" t="s">
        <v>1301</v>
      </c>
      <c r="E29" s="31" t="s">
        <v>1326</v>
      </c>
      <c r="F29" s="31" t="s">
        <v>1327</v>
      </c>
    </row>
    <row r="30" spans="1:6" ht="30" x14ac:dyDescent="0.25">
      <c r="A30" s="31" t="s">
        <v>1328</v>
      </c>
      <c r="B30" s="31" t="s">
        <v>1329</v>
      </c>
      <c r="C30" s="31" t="s">
        <v>20</v>
      </c>
      <c r="D30" s="31" t="s">
        <v>1301</v>
      </c>
      <c r="E30" s="31" t="s">
        <v>1330</v>
      </c>
      <c r="F30" s="31" t="s">
        <v>1331</v>
      </c>
    </row>
    <row r="31" spans="1:6" ht="30" x14ac:dyDescent="0.25">
      <c r="A31" s="31" t="s">
        <v>1332</v>
      </c>
      <c r="B31" s="31" t="s">
        <v>1333</v>
      </c>
      <c r="C31" s="31" t="s">
        <v>20</v>
      </c>
      <c r="D31" s="31" t="s">
        <v>1334</v>
      </c>
      <c r="E31" s="31" t="s">
        <v>1335</v>
      </c>
      <c r="F31" s="31" t="s">
        <v>1336</v>
      </c>
    </row>
    <row r="32" spans="1:6" x14ac:dyDescent="0.25">
      <c r="A32" s="31" t="s">
        <v>1337</v>
      </c>
      <c r="B32" s="31" t="s">
        <v>1338</v>
      </c>
      <c r="C32" s="31" t="s">
        <v>20</v>
      </c>
      <c r="D32" s="31" t="s">
        <v>19</v>
      </c>
      <c r="E32" s="31" t="s">
        <v>1339</v>
      </c>
      <c r="F32" s="31" t="s">
        <v>1340</v>
      </c>
    </row>
    <row r="33" spans="1:6" ht="30" x14ac:dyDescent="0.25">
      <c r="A33" s="31" t="s">
        <v>1341</v>
      </c>
      <c r="B33" s="31" t="s">
        <v>1342</v>
      </c>
      <c r="C33" s="31" t="s">
        <v>22</v>
      </c>
      <c r="D33" s="31" t="s">
        <v>1343</v>
      </c>
      <c r="E33" s="31" t="s">
        <v>1344</v>
      </c>
      <c r="F33" s="31" t="s">
        <v>1345</v>
      </c>
    </row>
    <row r="34" spans="1:6" ht="30" x14ac:dyDescent="0.25">
      <c r="A34" s="31" t="s">
        <v>1346</v>
      </c>
      <c r="B34" s="31" t="s">
        <v>1347</v>
      </c>
      <c r="C34" s="31" t="s">
        <v>22</v>
      </c>
      <c r="D34" s="31" t="s">
        <v>1348</v>
      </c>
      <c r="E34" s="31" t="s">
        <v>1349</v>
      </c>
      <c r="F34" s="31" t="s">
        <v>1350</v>
      </c>
    </row>
    <row r="35" spans="1:6" ht="30" x14ac:dyDescent="0.25">
      <c r="A35" s="31" t="s">
        <v>1351</v>
      </c>
      <c r="B35" s="31" t="s">
        <v>1352</v>
      </c>
      <c r="C35" s="31" t="s">
        <v>43</v>
      </c>
      <c r="D35" s="31" t="s">
        <v>1343</v>
      </c>
      <c r="E35" s="31" t="s">
        <v>1353</v>
      </c>
      <c r="F35" s="31" t="s">
        <v>1354</v>
      </c>
    </row>
    <row r="36" spans="1:6" x14ac:dyDescent="0.25">
      <c r="A36" s="31" t="s">
        <v>1355</v>
      </c>
      <c r="B36" s="31" t="s">
        <v>1356</v>
      </c>
      <c r="C36" s="31" t="s">
        <v>42</v>
      </c>
      <c r="D36" s="31" t="s">
        <v>1357</v>
      </c>
      <c r="E36" s="31" t="s">
        <v>1358</v>
      </c>
      <c r="F36" s="31" t="s">
        <v>1359</v>
      </c>
    </row>
    <row r="37" spans="1:6" ht="30" x14ac:dyDescent="0.25">
      <c r="A37" s="31" t="s">
        <v>1360</v>
      </c>
      <c r="B37" s="31" t="s">
        <v>1361</v>
      </c>
      <c r="C37" s="31" t="s">
        <v>10</v>
      </c>
      <c r="D37" s="31" t="s">
        <v>1362</v>
      </c>
      <c r="E37" s="31" t="s">
        <v>1363</v>
      </c>
      <c r="F37" s="31" t="s">
        <v>1364</v>
      </c>
    </row>
    <row r="38" spans="1:6" ht="45" x14ac:dyDescent="0.25">
      <c r="A38" s="31" t="s">
        <v>1365</v>
      </c>
      <c r="B38" s="31" t="s">
        <v>1380</v>
      </c>
      <c r="C38" s="31" t="s">
        <v>22</v>
      </c>
      <c r="D38" s="31" t="s">
        <v>1381</v>
      </c>
      <c r="E38" s="31" t="s">
        <v>1382</v>
      </c>
      <c r="F38" s="31" t="s">
        <v>1383</v>
      </c>
    </row>
    <row r="39" spans="1:6" ht="30" x14ac:dyDescent="0.25">
      <c r="A39" s="31" t="s">
        <v>1366</v>
      </c>
      <c r="B39" s="31" t="s">
        <v>1367</v>
      </c>
      <c r="C39" s="31" t="s">
        <v>10</v>
      </c>
      <c r="D39" s="31" t="s">
        <v>1368</v>
      </c>
      <c r="E39" s="31" t="s">
        <v>1369</v>
      </c>
      <c r="F39" s="31" t="s">
        <v>1370</v>
      </c>
    </row>
    <row r="40" spans="1:6" ht="30" x14ac:dyDescent="0.25">
      <c r="A40" s="31" t="s">
        <v>1371</v>
      </c>
      <c r="B40" s="31" t="s">
        <v>1384</v>
      </c>
      <c r="C40" s="31" t="s">
        <v>22</v>
      </c>
      <c r="D40" s="31" t="s">
        <v>1372</v>
      </c>
      <c r="E40" s="31" t="s">
        <v>1385</v>
      </c>
      <c r="F40" s="31" t="s">
        <v>1386</v>
      </c>
    </row>
    <row r="41" spans="1:6" ht="48" customHeight="1" x14ac:dyDescent="0.25">
      <c r="A41" s="31" t="s">
        <v>1387</v>
      </c>
      <c r="B41" s="31" t="s">
        <v>1388</v>
      </c>
      <c r="C41" s="31" t="s">
        <v>20</v>
      </c>
      <c r="D41" s="31" t="s">
        <v>1389</v>
      </c>
      <c r="E41" s="31" t="s">
        <v>1390</v>
      </c>
      <c r="F41" s="31" t="s">
        <v>1391</v>
      </c>
    </row>
    <row r="42" spans="1:6" ht="48" customHeight="1" x14ac:dyDescent="0.25">
      <c r="A42" s="31" t="s">
        <v>1392</v>
      </c>
      <c r="B42" s="31" t="s">
        <v>1393</v>
      </c>
      <c r="C42" s="31" t="s">
        <v>20</v>
      </c>
      <c r="D42" s="31" t="s">
        <v>1394</v>
      </c>
      <c r="E42" s="31" t="s">
        <v>1395</v>
      </c>
      <c r="F42" s="31" t="s">
        <v>1396</v>
      </c>
    </row>
    <row r="43" spans="1:6" ht="48" customHeight="1" x14ac:dyDescent="0.25">
      <c r="A43" s="31" t="s">
        <v>1397</v>
      </c>
      <c r="B43" s="31" t="s">
        <v>1398</v>
      </c>
      <c r="C43" s="31" t="s">
        <v>20</v>
      </c>
      <c r="D43" s="31" t="s">
        <v>1399</v>
      </c>
      <c r="E43" s="31" t="s">
        <v>1400</v>
      </c>
      <c r="F43" s="31" t="s">
        <v>1401</v>
      </c>
    </row>
    <row r="44" spans="1:6" ht="48" customHeight="1" x14ac:dyDescent="0.25">
      <c r="A44" s="31" t="s">
        <v>1402</v>
      </c>
      <c r="B44" s="31" t="s">
        <v>1403</v>
      </c>
      <c r="C44" s="31" t="s">
        <v>20</v>
      </c>
      <c r="D44" s="31" t="s">
        <v>1404</v>
      </c>
      <c r="E44" s="31" t="s">
        <v>1405</v>
      </c>
      <c r="F44" s="31" t="s">
        <v>1406</v>
      </c>
    </row>
    <row r="45" spans="1:6" ht="48" customHeight="1" x14ac:dyDescent="0.25">
      <c r="A45" s="31" t="s">
        <v>1407</v>
      </c>
      <c r="B45" s="31" t="s">
        <v>1408</v>
      </c>
      <c r="C45" s="31" t="s">
        <v>20</v>
      </c>
      <c r="D45" s="31" t="s">
        <v>1389</v>
      </c>
      <c r="E45" s="31" t="s">
        <v>1409</v>
      </c>
      <c r="F45" s="31" t="s">
        <v>1410</v>
      </c>
    </row>
    <row r="46" spans="1:6" ht="48" customHeight="1" x14ac:dyDescent="0.25">
      <c r="A46" s="31" t="s">
        <v>1411</v>
      </c>
      <c r="B46" s="31" t="s">
        <v>1412</v>
      </c>
      <c r="C46" s="31" t="s">
        <v>20</v>
      </c>
      <c r="D46" s="31" t="s">
        <v>1389</v>
      </c>
      <c r="E46" s="31" t="s">
        <v>1413</v>
      </c>
      <c r="F46" s="31" t="s">
        <v>1414</v>
      </c>
    </row>
    <row r="47" spans="1:6" ht="48" customHeight="1" x14ac:dyDescent="0.25">
      <c r="A47" s="31" t="s">
        <v>1415</v>
      </c>
      <c r="B47" s="31" t="s">
        <v>1416</v>
      </c>
      <c r="C47" s="31" t="s">
        <v>20</v>
      </c>
      <c r="D47" s="31" t="s">
        <v>1389</v>
      </c>
      <c r="E47" s="31" t="s">
        <v>1417</v>
      </c>
      <c r="F47" s="31" t="s">
        <v>1418</v>
      </c>
    </row>
    <row r="48" spans="1:6" ht="48" customHeight="1" x14ac:dyDescent="0.25">
      <c r="A48" s="31" t="s">
        <v>1419</v>
      </c>
      <c r="B48" s="31" t="s">
        <v>1420</v>
      </c>
      <c r="C48" s="31" t="s">
        <v>20</v>
      </c>
      <c r="D48" s="31" t="s">
        <v>1421</v>
      </c>
      <c r="E48" s="31" t="s">
        <v>1422</v>
      </c>
      <c r="F48" s="31" t="s">
        <v>1423</v>
      </c>
    </row>
    <row r="49" spans="1:6" ht="48" customHeight="1" x14ac:dyDescent="0.25">
      <c r="A49" s="31" t="s">
        <v>1424</v>
      </c>
      <c r="B49" s="31" t="s">
        <v>1425</v>
      </c>
      <c r="C49" s="31" t="s">
        <v>10</v>
      </c>
      <c r="D49" s="31" t="s">
        <v>1426</v>
      </c>
      <c r="E49" s="31" t="s">
        <v>1427</v>
      </c>
      <c r="F49" s="31" t="s">
        <v>1428</v>
      </c>
    </row>
    <row r="50" spans="1:6" ht="42" customHeight="1" x14ac:dyDescent="0.25">
      <c r="A50" s="31" t="s">
        <v>1463</v>
      </c>
      <c r="B50" s="31" t="s">
        <v>1464</v>
      </c>
      <c r="C50" s="31" t="s">
        <v>20</v>
      </c>
      <c r="D50" s="31" t="s">
        <v>1465</v>
      </c>
      <c r="E50" s="31" t="s">
        <v>1466</v>
      </c>
      <c r="F50" s="31" t="s">
        <v>1467</v>
      </c>
    </row>
    <row r="51" spans="1:6" ht="42" customHeight="1" x14ac:dyDescent="0.25">
      <c r="A51" s="31" t="s">
        <v>1468</v>
      </c>
      <c r="B51" s="31" t="s">
        <v>1469</v>
      </c>
      <c r="C51" s="31" t="s">
        <v>20</v>
      </c>
      <c r="D51" s="31" t="s">
        <v>1465</v>
      </c>
      <c r="E51" s="31" t="s">
        <v>1470</v>
      </c>
      <c r="F51" s="31" t="s">
        <v>1471</v>
      </c>
    </row>
    <row r="52" spans="1:6" ht="42" customHeight="1" x14ac:dyDescent="0.25">
      <c r="A52" s="31" t="s">
        <v>1472</v>
      </c>
      <c r="B52" s="31" t="s">
        <v>1473</v>
      </c>
      <c r="C52" s="31" t="s">
        <v>20</v>
      </c>
      <c r="D52" s="31" t="s">
        <v>1474</v>
      </c>
      <c r="E52" s="31" t="s">
        <v>1475</v>
      </c>
      <c r="F52" s="31" t="s">
        <v>1476</v>
      </c>
    </row>
    <row r="53" spans="1:6" ht="42" customHeight="1" x14ac:dyDescent="0.25">
      <c r="A53" s="31" t="s">
        <v>1477</v>
      </c>
      <c r="B53" s="31" t="s">
        <v>1478</v>
      </c>
      <c r="C53" s="31" t="s">
        <v>20</v>
      </c>
      <c r="D53" s="31" t="s">
        <v>1479</v>
      </c>
      <c r="E53" s="31" t="s">
        <v>1480</v>
      </c>
      <c r="F53" s="31" t="s">
        <v>1481</v>
      </c>
    </row>
    <row r="54" spans="1:6" ht="42" customHeight="1" x14ac:dyDescent="0.25">
      <c r="A54" s="31" t="s">
        <v>1482</v>
      </c>
      <c r="B54" s="31" t="s">
        <v>1483</v>
      </c>
      <c r="C54" s="31" t="s">
        <v>20</v>
      </c>
      <c r="D54" s="31" t="s">
        <v>1465</v>
      </c>
      <c r="E54" s="31" t="s">
        <v>1484</v>
      </c>
      <c r="F54" s="31" t="s">
        <v>1485</v>
      </c>
    </row>
    <row r="55" spans="1:6" ht="42" customHeight="1" x14ac:dyDescent="0.25">
      <c r="A55" s="31" t="s">
        <v>1486</v>
      </c>
      <c r="B55" s="31" t="s">
        <v>1487</v>
      </c>
      <c r="C55" s="31" t="s">
        <v>20</v>
      </c>
      <c r="D55" s="31" t="s">
        <v>1389</v>
      </c>
      <c r="E55" s="31" t="s">
        <v>1488</v>
      </c>
      <c r="F55" s="31" t="s">
        <v>1489</v>
      </c>
    </row>
    <row r="56" spans="1:6" ht="42" customHeight="1" x14ac:dyDescent="0.25">
      <c r="A56" s="31" t="s">
        <v>1490</v>
      </c>
      <c r="B56" s="31" t="s">
        <v>1491</v>
      </c>
      <c r="C56" s="31" t="s">
        <v>20</v>
      </c>
      <c r="D56" s="31" t="s">
        <v>1492</v>
      </c>
      <c r="E56" s="31" t="s">
        <v>1493</v>
      </c>
      <c r="F56" s="31" t="s">
        <v>1494</v>
      </c>
    </row>
    <row r="57" spans="1:6" ht="42" customHeight="1" x14ac:dyDescent="0.25">
      <c r="A57" s="31" t="s">
        <v>1495</v>
      </c>
      <c r="B57" s="31" t="s">
        <v>1496</v>
      </c>
      <c r="C57" s="31" t="s">
        <v>20</v>
      </c>
      <c r="D57" s="31" t="s">
        <v>1497</v>
      </c>
      <c r="E57" s="31" t="s">
        <v>1498</v>
      </c>
      <c r="F57" s="31" t="s">
        <v>1499</v>
      </c>
    </row>
    <row r="58" spans="1:6" ht="42" customHeight="1" x14ac:dyDescent="0.25">
      <c r="A58" s="31" t="s">
        <v>1500</v>
      </c>
      <c r="B58" s="31" t="s">
        <v>1501</v>
      </c>
      <c r="C58" s="31" t="s">
        <v>10</v>
      </c>
      <c r="D58" s="31" t="s">
        <v>1502</v>
      </c>
      <c r="E58" s="31" t="s">
        <v>1503</v>
      </c>
      <c r="F58" s="31" t="s">
        <v>1504</v>
      </c>
    </row>
  </sheetData>
  <mergeCells count="3">
    <mergeCell ref="A1:F1"/>
    <mergeCell ref="B5:F5"/>
    <mergeCell ref="B9:F9"/>
  </mergeCells>
  <conditionalFormatting sqref="C40:C58">
    <cfRule type="expression" dxfId="91" priority="1" stopIfTrue="1">
      <formula>C13="Pass"</formula>
    </cfRule>
    <cfRule type="expression" dxfId="90" priority="2" stopIfTrue="1">
      <formula>C13="Partial"</formula>
    </cfRule>
    <cfRule type="expression" dxfId="89" priority="3" stopIfTrue="1">
      <formula>C13="Blocked"</formula>
    </cfRule>
    <cfRule type="expression" dxfId="88" priority="4" stopIfTrue="1">
      <formula>OR(C13="Deferred",C13="Not Run",C13="N/A")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DF92-A740-4630-9559-49BC9D7096AC}">
  <sheetPr>
    <tabColor rgb="FF265272"/>
  </sheetPr>
  <dimension ref="A1:H61"/>
  <sheetViews>
    <sheetView showGridLines="0" zoomScale="90" zoomScaleNormal="90" workbookViewId="0">
      <pane ySplit="2" topLeftCell="A3" activePane="bottomLeft" state="frozenSplit"/>
      <selection pane="bottomLeft" sqref="A1:H1"/>
    </sheetView>
  </sheetViews>
  <sheetFormatPr defaultRowHeight="15" x14ac:dyDescent="0.25"/>
  <cols>
    <col min="1" max="1" width="31.7109375" customWidth="1"/>
    <col min="2" max="2" width="14.7109375" customWidth="1"/>
    <col min="3" max="3" width="18.7109375" customWidth="1"/>
    <col min="4" max="4" width="14.7109375" customWidth="1"/>
    <col min="5" max="5" width="22.7109375" customWidth="1"/>
    <col min="6" max="6" width="16.7109375" customWidth="1"/>
    <col min="7" max="7" width="22.7109375" customWidth="1"/>
    <col min="8" max="8" width="24.7109375" customWidth="1"/>
  </cols>
  <sheetData>
    <row r="1" spans="1:8" ht="33.950000000000003" customHeight="1" x14ac:dyDescent="0.25">
      <c r="A1" s="45" t="s">
        <v>920</v>
      </c>
      <c r="B1" s="45"/>
      <c r="C1" s="45"/>
      <c r="D1" s="45"/>
      <c r="E1" s="45"/>
      <c r="F1" s="45"/>
      <c r="G1" s="45"/>
      <c r="H1" s="45"/>
    </row>
    <row r="2" spans="1:8" ht="38.1" customHeight="1" x14ac:dyDescent="0.25">
      <c r="A2" s="46" t="s">
        <v>921</v>
      </c>
      <c r="B2" s="46"/>
      <c r="C2" s="46"/>
      <c r="D2" s="46"/>
      <c r="E2" s="46"/>
      <c r="F2" s="46"/>
      <c r="G2" s="46"/>
      <c r="H2" s="46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40.5" x14ac:dyDescent="0.25">
      <c r="A4" s="1" t="s">
        <v>922</v>
      </c>
      <c r="B4" s="2" t="s">
        <v>1373</v>
      </c>
      <c r="C4" s="1" t="s">
        <v>923</v>
      </c>
      <c r="D4" s="2" t="s">
        <v>1213</v>
      </c>
      <c r="E4" s="1" t="s">
        <v>924</v>
      </c>
      <c r="F4" s="2" t="s">
        <v>1374</v>
      </c>
      <c r="G4" s="1" t="s">
        <v>61</v>
      </c>
      <c r="H4" s="30">
        <v>46238</v>
      </c>
    </row>
    <row r="5" spans="1:8" ht="40.5" x14ac:dyDescent="0.25">
      <c r="A5" s="1" t="s">
        <v>925</v>
      </c>
      <c r="B5" s="2" t="s">
        <v>1214</v>
      </c>
      <c r="C5" s="1" t="s">
        <v>910</v>
      </c>
      <c r="D5" s="2" t="s">
        <v>1429</v>
      </c>
      <c r="E5" s="1" t="s">
        <v>926</v>
      </c>
      <c r="F5" s="2" t="s">
        <v>1215</v>
      </c>
      <c r="G5" s="1" t="s">
        <v>927</v>
      </c>
      <c r="H5" s="2" t="s">
        <v>1216</v>
      </c>
    </row>
    <row r="6" spans="1:8" x14ac:dyDescent="0.25">
      <c r="A6" s="1" t="s">
        <v>928</v>
      </c>
      <c r="B6" s="44" t="s">
        <v>1430</v>
      </c>
      <c r="C6" s="44"/>
      <c r="D6" s="44"/>
      <c r="E6" s="44"/>
      <c r="F6" s="44"/>
      <c r="G6" s="44"/>
      <c r="H6" s="44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47" t="s">
        <v>929</v>
      </c>
      <c r="B8" s="47"/>
      <c r="C8" s="47"/>
      <c r="D8" s="47"/>
      <c r="E8" s="47"/>
      <c r="F8" s="47"/>
      <c r="G8" s="47"/>
      <c r="H8" s="47"/>
    </row>
    <row r="9" spans="1:8" ht="33.950000000000003" customHeight="1" x14ac:dyDescent="0.25">
      <c r="A9" s="6" t="s">
        <v>930</v>
      </c>
      <c r="B9" s="6" t="s">
        <v>931</v>
      </c>
      <c r="C9" s="6" t="s">
        <v>930</v>
      </c>
      <c r="D9" s="6" t="s">
        <v>931</v>
      </c>
      <c r="E9" s="6" t="s">
        <v>930</v>
      </c>
      <c r="F9" s="6" t="s">
        <v>931</v>
      </c>
      <c r="G9" s="6" t="s">
        <v>930</v>
      </c>
      <c r="H9" s="6" t="s">
        <v>931</v>
      </c>
    </row>
    <row r="10" spans="1:8" x14ac:dyDescent="0.25">
      <c r="A10" s="3" t="s">
        <v>932</v>
      </c>
      <c r="B10" s="2">
        <f>COUNTA('Master Checklist'!B2:B204)</f>
        <v>203</v>
      </c>
      <c r="C10" s="3" t="s">
        <v>933</v>
      </c>
      <c r="D10" s="2">
        <f>COUNTIF('Master Checklist'!C2:C204,"Current")</f>
        <v>191</v>
      </c>
      <c r="E10" s="3" t="s">
        <v>934</v>
      </c>
      <c r="F10" s="2">
        <f>COUNTIF('Master Checklist'!M2:M204,"Pass")</f>
        <v>134</v>
      </c>
      <c r="G10" s="3" t="s">
        <v>935</v>
      </c>
      <c r="H10" s="2">
        <f>COUNTIF('Master Checklist'!M2:M204,"Fail")</f>
        <v>0</v>
      </c>
    </row>
    <row r="11" spans="1:8" x14ac:dyDescent="0.25">
      <c r="A11" s="3" t="s">
        <v>36</v>
      </c>
      <c r="B11" s="2">
        <f>COUNTIF('Master Checklist'!M2:M204,"Blocked")</f>
        <v>0</v>
      </c>
      <c r="C11" s="3" t="s">
        <v>10</v>
      </c>
      <c r="D11" s="2">
        <f>COUNTIF('Master Checklist'!M2:M204,"Not Run")</f>
        <v>46</v>
      </c>
      <c r="E11" s="3" t="s">
        <v>43</v>
      </c>
      <c r="F11" s="2">
        <f>COUNTIF('Master Checklist'!M2:M204,"Deferred")</f>
        <v>14</v>
      </c>
      <c r="G11" s="3" t="s">
        <v>42</v>
      </c>
      <c r="H11" s="2">
        <f>COUNTIF('Master Checklist'!M2:M204,"N/A")</f>
        <v>5</v>
      </c>
    </row>
    <row r="12" spans="1:8" ht="27" x14ac:dyDescent="0.25">
      <c r="A12" s="3" t="s">
        <v>936</v>
      </c>
      <c r="B12" s="4">
        <f>IF(D10=0,0,(F10+H10+B11+H11)/D10)</f>
        <v>0.72774869109947649</v>
      </c>
      <c r="C12" s="3" t="s">
        <v>937</v>
      </c>
      <c r="D12" s="4">
        <f>IF((F10+H10)=0,0,F10/(F10+H10))</f>
        <v>1</v>
      </c>
      <c r="E12" s="3" t="s">
        <v>938</v>
      </c>
      <c r="F12" s="2">
        <f>COUNTIFS('Master Checklist'!I2:I204,"Release Gate",'Master Checklist'!M2:M204,"Fail")+COUNTIFS('Master Checklist'!I2:I204,"Release Gate",'Master Checklist'!M2:M204,"Blocked")</f>
        <v>0</v>
      </c>
      <c r="G12" s="3" t="s">
        <v>7</v>
      </c>
      <c r="H12" s="5" t="str">
        <f>IF(F12&gt;0,"DO NOT RELEASE",IF(D11&gt;0,"TESTING INCOMPLETE","READY FOR SIGN-OFF"))</f>
        <v>TESTING INCOMPLETE</v>
      </c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47" t="s">
        <v>939</v>
      </c>
      <c r="B14" s="47"/>
      <c r="C14" s="47"/>
      <c r="D14" s="47"/>
      <c r="E14" s="47"/>
      <c r="F14" s="47"/>
      <c r="G14" s="47"/>
      <c r="H14" s="47"/>
    </row>
    <row r="15" spans="1:8" ht="33.950000000000003" customHeight="1" x14ac:dyDescent="0.25">
      <c r="A15" s="6" t="s">
        <v>51</v>
      </c>
      <c r="B15" s="6" t="s">
        <v>940</v>
      </c>
      <c r="C15" s="6" t="s">
        <v>20</v>
      </c>
      <c r="D15" s="6" t="s">
        <v>29</v>
      </c>
      <c r="E15" s="6" t="s">
        <v>36</v>
      </c>
      <c r="F15" s="6" t="s">
        <v>10</v>
      </c>
      <c r="G15" s="6" t="s">
        <v>42</v>
      </c>
      <c r="H15" s="6" t="s">
        <v>941</v>
      </c>
    </row>
    <row r="16" spans="1:8" x14ac:dyDescent="0.25">
      <c r="A16" s="2" t="s">
        <v>65</v>
      </c>
      <c r="B16" s="2">
        <f>COUNTIF('Master Checklist'!D2:D204,A16)</f>
        <v>11</v>
      </c>
      <c r="C16" s="2">
        <f>COUNTIFS('Master Checklist'!D2:D204,A16,'Master Checklist'!M2:M204,"Pass")</f>
        <v>8</v>
      </c>
      <c r="D16" s="2">
        <f>COUNTIFS('Master Checklist'!D2:D204,A16,'Master Checklist'!M2:M204,"Fail")</f>
        <v>0</v>
      </c>
      <c r="E16" s="2">
        <f>COUNTIFS('Master Checklist'!D2:D204,A16,'Master Checklist'!M2:M204,"Blocked")</f>
        <v>0</v>
      </c>
      <c r="F16" s="2">
        <f>COUNTIFS('Master Checklist'!D2:D204,A16,'Master Checklist'!M2:M204,"Not Run")</f>
        <v>3</v>
      </c>
      <c r="G16" s="2">
        <f>COUNTIFS('Master Checklist'!D2:D204,A16,'Master Checklist'!M2:M204,"N/A")</f>
        <v>0</v>
      </c>
      <c r="H16" s="4">
        <f t="shared" ref="H16:H29" si="0">IF(B16=0,0,(C16+D16+E16+G16)/B16)</f>
        <v>0.72727272727272729</v>
      </c>
    </row>
    <row r="17" spans="1:8" x14ac:dyDescent="0.25">
      <c r="A17" s="2" t="s">
        <v>122</v>
      </c>
      <c r="B17" s="2">
        <f>COUNTIF('Master Checklist'!D2:D204,A17)</f>
        <v>11</v>
      </c>
      <c r="C17" s="2">
        <f>COUNTIFS('Master Checklist'!D2:D204,A17,'Master Checklist'!M2:M204,"Pass")</f>
        <v>9</v>
      </c>
      <c r="D17" s="2">
        <f>COUNTIFS('Master Checklist'!D2:D204,A17,'Master Checklist'!M2:M204,"Fail")</f>
        <v>0</v>
      </c>
      <c r="E17" s="2">
        <f>COUNTIFS('Master Checklist'!D2:D204,A17,'Master Checklist'!M2:M204,"Blocked")</f>
        <v>0</v>
      </c>
      <c r="F17" s="2">
        <f>COUNTIFS('Master Checklist'!D2:D204,A17,'Master Checklist'!M2:M204,"Not Run")</f>
        <v>1</v>
      </c>
      <c r="G17" s="2">
        <f>COUNTIFS('Master Checklist'!D2:D204,A17,'Master Checklist'!M2:M204,"N/A")</f>
        <v>1</v>
      </c>
      <c r="H17" s="4">
        <f t="shared" si="0"/>
        <v>0.90909090909090906</v>
      </c>
    </row>
    <row r="18" spans="1:8" x14ac:dyDescent="0.25">
      <c r="A18" s="2" t="s">
        <v>170</v>
      </c>
      <c r="B18" s="2">
        <f>COUNTIF('Master Checklist'!D2:D204,A18)</f>
        <v>10</v>
      </c>
      <c r="C18" s="2">
        <f>COUNTIFS('Master Checklist'!D2:D204,A18,'Master Checklist'!M2:M204,"Pass")</f>
        <v>10</v>
      </c>
      <c r="D18" s="2">
        <f>COUNTIFS('Master Checklist'!D2:D204,A18,'Master Checklist'!M2:M204,"Fail")</f>
        <v>0</v>
      </c>
      <c r="E18" s="2">
        <f>COUNTIFS('Master Checklist'!D2:D204,A18,'Master Checklist'!M2:M204,"Blocked")</f>
        <v>0</v>
      </c>
      <c r="F18" s="2">
        <f>COUNTIFS('Master Checklist'!D2:D204,A18,'Master Checklist'!M2:M204,"Not Run")</f>
        <v>0</v>
      </c>
      <c r="G18" s="2">
        <f>COUNTIFS('Master Checklist'!D2:D204,A18,'Master Checklist'!M2:M204,"N/A")</f>
        <v>0</v>
      </c>
      <c r="H18" s="4">
        <f t="shared" si="0"/>
        <v>1</v>
      </c>
    </row>
    <row r="19" spans="1:8" x14ac:dyDescent="0.25">
      <c r="A19" s="2" t="s">
        <v>217</v>
      </c>
      <c r="B19" s="2">
        <f>COUNTIF('Master Checklist'!D2:D204,A19)</f>
        <v>16</v>
      </c>
      <c r="C19" s="2">
        <f>COUNTIFS('Master Checklist'!D2:D204,A19,'Master Checklist'!M2:M204,"Pass")</f>
        <v>11</v>
      </c>
      <c r="D19" s="2">
        <f>COUNTIFS('Master Checklist'!D2:D204,A19,'Master Checklist'!M2:M204,"Fail")</f>
        <v>0</v>
      </c>
      <c r="E19" s="2">
        <f>COUNTIFS('Master Checklist'!D2:D204,A19,'Master Checklist'!M2:M204,"Blocked")</f>
        <v>0</v>
      </c>
      <c r="F19" s="2">
        <f>COUNTIFS('Master Checklist'!D2:D204,A19,'Master Checklist'!M2:M204,"Not Run")</f>
        <v>5</v>
      </c>
      <c r="G19" s="2">
        <f>COUNTIFS('Master Checklist'!D2:D204,A19,'Master Checklist'!M2:M204,"N/A")</f>
        <v>0</v>
      </c>
      <c r="H19" s="4">
        <f t="shared" si="0"/>
        <v>0.6875</v>
      </c>
    </row>
    <row r="20" spans="1:8" x14ac:dyDescent="0.25">
      <c r="A20" s="2" t="s">
        <v>290</v>
      </c>
      <c r="B20" s="2">
        <f>COUNTIF('Master Checklist'!D2:D204,A20)</f>
        <v>18</v>
      </c>
      <c r="C20" s="2">
        <f>COUNTIFS('Master Checklist'!D2:D204,A20,'Master Checklist'!M2:M204,"Pass")</f>
        <v>18</v>
      </c>
      <c r="D20" s="2">
        <f>COUNTIFS('Master Checklist'!D2:D204,A20,'Master Checklist'!M2:M204,"Fail")</f>
        <v>0</v>
      </c>
      <c r="E20" s="2">
        <f>COUNTIFS('Master Checklist'!D2:D204,A20,'Master Checklist'!M2:M204,"Blocked")</f>
        <v>0</v>
      </c>
      <c r="F20" s="2">
        <f>COUNTIFS('Master Checklist'!D2:D204,A20,'Master Checklist'!M2:M204,"Not Run")</f>
        <v>0</v>
      </c>
      <c r="G20" s="2">
        <f>COUNTIFS('Master Checklist'!D2:D204,A20,'Master Checklist'!M2:M204,"N/A")</f>
        <v>0</v>
      </c>
      <c r="H20" s="4">
        <f t="shared" si="0"/>
        <v>1</v>
      </c>
    </row>
    <row r="21" spans="1:8" x14ac:dyDescent="0.25">
      <c r="A21" s="2" t="s">
        <v>366</v>
      </c>
      <c r="B21" s="2">
        <f>COUNTIF('Master Checklist'!D2:D204,A21)</f>
        <v>15</v>
      </c>
      <c r="C21" s="2">
        <f>COUNTIFS('Master Checklist'!D2:D204,A21,'Master Checklist'!M2:M204,"Pass")</f>
        <v>8</v>
      </c>
      <c r="D21" s="2">
        <f>COUNTIFS('Master Checklist'!D2:D204,A21,'Master Checklist'!M2:M204,"Fail")</f>
        <v>0</v>
      </c>
      <c r="E21" s="2">
        <f>COUNTIFS('Master Checklist'!D2:D204,A21,'Master Checklist'!M2:M204,"Blocked")</f>
        <v>0</v>
      </c>
      <c r="F21" s="2">
        <f>COUNTIFS('Master Checklist'!D2:D204,A21,'Master Checklist'!M2:M204,"Not Run")</f>
        <v>3</v>
      </c>
      <c r="G21" s="2">
        <f>COUNTIFS('Master Checklist'!D2:D204,A21,'Master Checklist'!M2:M204,"N/A")</f>
        <v>0</v>
      </c>
      <c r="H21" s="4">
        <f t="shared" si="0"/>
        <v>0.53333333333333333</v>
      </c>
    </row>
    <row r="22" spans="1:8" x14ac:dyDescent="0.25">
      <c r="A22" s="2" t="s">
        <v>435</v>
      </c>
      <c r="B22" s="2">
        <f>COUNTIF('Master Checklist'!D2:D204,A22)</f>
        <v>13</v>
      </c>
      <c r="C22" s="2">
        <f>COUNTIFS('Master Checklist'!D2:D204,A22,'Master Checklist'!M2:M204,"Pass")</f>
        <v>9</v>
      </c>
      <c r="D22" s="2">
        <f>COUNTIFS('Master Checklist'!D2:D204,A22,'Master Checklist'!M2:M204,"Fail")</f>
        <v>0</v>
      </c>
      <c r="E22" s="2">
        <f>COUNTIFS('Master Checklist'!D2:D204,A22,'Master Checklist'!M2:M204,"Blocked")</f>
        <v>0</v>
      </c>
      <c r="F22" s="2">
        <f>COUNTIFS('Master Checklist'!D2:D204,A22,'Master Checklist'!M2:M204,"Not Run")</f>
        <v>2</v>
      </c>
      <c r="G22" s="2">
        <f>COUNTIFS('Master Checklist'!D2:D204,A22,'Master Checklist'!M2:M204,"N/A")</f>
        <v>0</v>
      </c>
      <c r="H22" s="4">
        <f t="shared" si="0"/>
        <v>0.69230769230769229</v>
      </c>
    </row>
    <row r="23" spans="1:8" x14ac:dyDescent="0.25">
      <c r="A23" s="2" t="s">
        <v>493</v>
      </c>
      <c r="B23" s="2">
        <f>COUNTIF('Master Checklist'!D2:D204,A23)</f>
        <v>12</v>
      </c>
      <c r="C23" s="2">
        <f>COUNTIFS('Master Checklist'!D2:D204,A23,'Master Checklist'!M2:M204,"Pass")</f>
        <v>8</v>
      </c>
      <c r="D23" s="2">
        <f>COUNTIFS('Master Checklist'!D2:D204,A23,'Master Checklist'!M2:M204,"Fail")</f>
        <v>0</v>
      </c>
      <c r="E23" s="2">
        <f>COUNTIFS('Master Checklist'!D2:D204,A23,'Master Checklist'!M2:M204,"Blocked")</f>
        <v>0</v>
      </c>
      <c r="F23" s="2">
        <f>COUNTIFS('Master Checklist'!D2:D204,A23,'Master Checklist'!M2:M204,"Not Run")</f>
        <v>4</v>
      </c>
      <c r="G23" s="2">
        <f>COUNTIFS('Master Checklist'!D2:D204,A23,'Master Checklist'!M2:M204,"N/A")</f>
        <v>0</v>
      </c>
      <c r="H23" s="4">
        <f t="shared" si="0"/>
        <v>0.66666666666666663</v>
      </c>
    </row>
    <row r="24" spans="1:8" x14ac:dyDescent="0.25">
      <c r="A24" s="2" t="s">
        <v>546</v>
      </c>
      <c r="B24" s="2">
        <f>COUNTIF('Master Checklist'!D2:D204,A24)</f>
        <v>17</v>
      </c>
      <c r="C24" s="2">
        <f>COUNTIFS('Master Checklist'!D2:D204,A24,'Master Checklist'!M2:M204,"Pass")</f>
        <v>8</v>
      </c>
      <c r="D24" s="2">
        <f>COUNTIFS('Master Checklist'!D2:D204,A24,'Master Checklist'!M2:M204,"Fail")</f>
        <v>0</v>
      </c>
      <c r="E24" s="2">
        <f>COUNTIFS('Master Checklist'!D2:D204,A24,'Master Checklist'!M2:M204,"Blocked")</f>
        <v>0</v>
      </c>
      <c r="F24" s="2">
        <f>COUNTIFS('Master Checklist'!D2:D204,A24,'Master Checklist'!M2:M204,"Not Run")</f>
        <v>9</v>
      </c>
      <c r="G24" s="2">
        <f>COUNTIFS('Master Checklist'!D2:D204,A24,'Master Checklist'!M2:M204,"N/A")</f>
        <v>0</v>
      </c>
      <c r="H24" s="4">
        <f t="shared" si="0"/>
        <v>0.47058823529411764</v>
      </c>
    </row>
    <row r="25" spans="1:8" ht="27" x14ac:dyDescent="0.25">
      <c r="A25" s="28" t="s">
        <v>1099</v>
      </c>
      <c r="B25" s="2">
        <f>COUNTIF('Master Checklist'!D2:D204,A25)</f>
        <v>22</v>
      </c>
      <c r="C25" s="2">
        <f>COUNTIFS('Master Checklist'!D2:D204,A25,'Master Checklist'!M2:M204,"Pass")</f>
        <v>18</v>
      </c>
      <c r="D25" s="2">
        <f>COUNTIFS('Master Checklist'!D2:D204,A25,'Master Checklist'!M2:M204,"Fail")</f>
        <v>0</v>
      </c>
      <c r="E25" s="2">
        <f>COUNTIFS('Master Checklist'!D2:D204,A25,'Master Checklist'!M2:M204,"Blocked")</f>
        <v>0</v>
      </c>
      <c r="F25" s="2">
        <f>COUNTIFS('Master Checklist'!D2:D204,A25,'Master Checklist'!M2:M204,"Not Run")</f>
        <v>1</v>
      </c>
      <c r="G25" s="2">
        <f>COUNTIFS('Master Checklist'!D2:D204,A25,'Master Checklist'!M2:M204,"N/A")</f>
        <v>3</v>
      </c>
      <c r="H25" s="29">
        <f t="shared" si="0"/>
        <v>0.95454545454545459</v>
      </c>
    </row>
    <row r="26" spans="1:8" x14ac:dyDescent="0.25">
      <c r="A26" s="2" t="s">
        <v>611</v>
      </c>
      <c r="B26" s="2">
        <f>COUNTIF('Master Checklist'!D2:D204,A26)</f>
        <v>10</v>
      </c>
      <c r="C26" s="2">
        <f>COUNTIFS('Master Checklist'!D2:D204,A26,'Master Checklist'!M2:M204,"Pass")</f>
        <v>6</v>
      </c>
      <c r="D26" s="2">
        <f>COUNTIFS('Master Checklist'!D2:D204,A26,'Master Checklist'!M2:M204,"Fail")</f>
        <v>0</v>
      </c>
      <c r="E26" s="2">
        <f>COUNTIFS('Master Checklist'!D2:D204,A26,'Master Checklist'!M2:M204,"Blocked")</f>
        <v>0</v>
      </c>
      <c r="F26" s="2">
        <f>COUNTIFS('Master Checklist'!D2:D204,A26,'Master Checklist'!M2:M204,"Not Run")</f>
        <v>4</v>
      </c>
      <c r="G26" s="2">
        <f>COUNTIFS('Master Checklist'!D2:D204,A26,'Master Checklist'!M2:M204,"N/A")</f>
        <v>0</v>
      </c>
      <c r="H26" s="4">
        <f t="shared" si="0"/>
        <v>0.6</v>
      </c>
    </row>
    <row r="27" spans="1:8" x14ac:dyDescent="0.25">
      <c r="A27" s="2" t="s">
        <v>658</v>
      </c>
      <c r="B27" s="2">
        <f>COUNTIF('Master Checklist'!D2:D204,A27)</f>
        <v>10</v>
      </c>
      <c r="C27" s="2">
        <f>COUNTIFS('Master Checklist'!D2:D204,A27,'Master Checklist'!M2:M204,"Pass")</f>
        <v>6</v>
      </c>
      <c r="D27" s="2">
        <f>COUNTIFS('Master Checklist'!D2:D204,A27,'Master Checklist'!M2:M204,"Fail")</f>
        <v>0</v>
      </c>
      <c r="E27" s="2">
        <f>COUNTIFS('Master Checklist'!D2:D204,A27,'Master Checklist'!M2:M204,"Blocked")</f>
        <v>0</v>
      </c>
      <c r="F27" s="2">
        <f>COUNTIFS('Master Checklist'!D2:D204,A27,'Master Checklist'!M2:M204,"Not Run")</f>
        <v>4</v>
      </c>
      <c r="G27" s="2">
        <f>COUNTIFS('Master Checklist'!D2:D204,A27,'Master Checklist'!M2:M204,"N/A")</f>
        <v>0</v>
      </c>
      <c r="H27" s="4">
        <f t="shared" si="0"/>
        <v>0.6</v>
      </c>
    </row>
    <row r="28" spans="1:8" x14ac:dyDescent="0.25">
      <c r="A28" s="2" t="s">
        <v>701</v>
      </c>
      <c r="B28" s="2">
        <f>COUNTIF('Master Checklist'!D2:D204,A28)</f>
        <v>14</v>
      </c>
      <c r="C28" s="2">
        <f>COUNTIFS('Master Checklist'!D2:D204,A28,'Master Checklist'!M2:M204,"Pass")</f>
        <v>5</v>
      </c>
      <c r="D28" s="2">
        <f>COUNTIFS('Master Checklist'!D2:D204,A28,'Master Checklist'!M2:M204,"Fail")</f>
        <v>0</v>
      </c>
      <c r="E28" s="2">
        <f>COUNTIFS('Master Checklist'!D2:D204,A28,'Master Checklist'!M2:M204,"Blocked")</f>
        <v>0</v>
      </c>
      <c r="F28" s="2">
        <f>COUNTIFS('Master Checklist'!D2:D204,A28,'Master Checklist'!M2:M204,"Not Run")</f>
        <v>8</v>
      </c>
      <c r="G28" s="2">
        <f>COUNTIFS('Master Checklist'!D2:D204,A28,'Master Checklist'!M2:M204,"N/A")</f>
        <v>1</v>
      </c>
      <c r="H28" s="4">
        <f t="shared" si="0"/>
        <v>0.42857142857142855</v>
      </c>
    </row>
    <row r="29" spans="1:8" x14ac:dyDescent="0.25">
      <c r="A29" s="2" t="s">
        <v>769</v>
      </c>
      <c r="B29" s="2">
        <f>COUNTIF('Master Checklist'!D2:D204,A29)</f>
        <v>12</v>
      </c>
      <c r="C29" s="2">
        <f>COUNTIFS('Master Checklist'!D2:D204,A29,'Master Checklist'!M2:M204,"Pass")</f>
        <v>10</v>
      </c>
      <c r="D29" s="2">
        <f>COUNTIFS('Master Checklist'!D2:D204,A29,'Master Checklist'!M2:M204,"Fail")</f>
        <v>0</v>
      </c>
      <c r="E29" s="2">
        <f>COUNTIFS('Master Checklist'!D2:D204,A29,'Master Checklist'!M2:M204,"Blocked")</f>
        <v>0</v>
      </c>
      <c r="F29" s="2">
        <f>COUNTIFS('Master Checklist'!D2:D204,A29,'Master Checklist'!M2:M204,"Not Run")</f>
        <v>2</v>
      </c>
      <c r="G29" s="2">
        <f>COUNTIFS('Master Checklist'!D2:D204,A29,'Master Checklist'!M2:M204,"N/A")</f>
        <v>0</v>
      </c>
      <c r="H29" s="4">
        <f t="shared" si="0"/>
        <v>0.83333333333333337</v>
      </c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43" t="s">
        <v>942</v>
      </c>
      <c r="B32" s="44"/>
      <c r="C32" s="44"/>
      <c r="D32" s="44"/>
      <c r="E32" s="44"/>
      <c r="F32" s="44"/>
      <c r="G32" s="44"/>
      <c r="H32" s="44"/>
    </row>
    <row r="33" spans="1:8" x14ac:dyDescent="0.25">
      <c r="A33" s="44"/>
      <c r="B33" s="44"/>
      <c r="C33" s="44"/>
      <c r="D33" s="44"/>
      <c r="E33" s="44"/>
      <c r="F33" s="44"/>
      <c r="G33" s="44"/>
      <c r="H33" s="44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</sheetData>
  <mergeCells count="6">
    <mergeCell ref="A32:H33"/>
    <mergeCell ref="A1:H1"/>
    <mergeCell ref="A2:H2"/>
    <mergeCell ref="B6:H6"/>
    <mergeCell ref="A8:H8"/>
    <mergeCell ref="A14:H14"/>
  </mergeCells>
  <conditionalFormatting sqref="H12">
    <cfRule type="cellIs" dxfId="87" priority="1" stopIfTrue="1" operator="equal">
      <formula>"Pass"</formula>
    </cfRule>
    <cfRule type="cellIs" dxfId="86" priority="2" stopIfTrue="1" operator="equal">
      <formula>"Fail"</formula>
    </cfRule>
    <cfRule type="cellIs" dxfId="85" priority="3" stopIfTrue="1" operator="equal">
      <formula>"Blocked"</formula>
    </cfRule>
    <cfRule type="cellIs" dxfId="84" priority="4" stopIfTrue="1" operator="equal">
      <formula>"Not Run"</formula>
    </cfRule>
    <cfRule type="cellIs" dxfId="83" priority="5" stopIfTrue="1" operator="equal">
      <formula>"Deferred"</formula>
    </cfRule>
    <cfRule type="cellIs" dxfId="82" priority="6" stopIfTrue="1" operator="equal">
      <formula>"N/A"</formula>
    </cfRule>
  </conditionalFormatting>
  <hyperlinks>
    <hyperlink ref="A32" r:id="rId1" tooltip="Open the product vision, architecture, and delivery plan" xr:uid="{50B27D19-F1A0-4B7D-9911-DCDC508F35E9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1689-B5B8-4D31-90EC-44258F4EF600}">
  <sheetPr>
    <tabColor rgb="FF265272"/>
  </sheetPr>
  <dimension ref="A1:S204"/>
  <sheetViews>
    <sheetView showGridLines="0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1" width="12.140625" customWidth="1"/>
    <col min="2" max="2" width="12.7109375" customWidth="1"/>
    <col min="3" max="3" width="10.7109375" customWidth="1"/>
    <col min="4" max="4" width="28.7109375" customWidth="1"/>
    <col min="5" max="5" width="38.7109375" customWidth="1"/>
    <col min="6" max="6" width="34.7109375" customWidth="1"/>
    <col min="7" max="7" width="50.7109375" customWidth="1"/>
    <col min="8" max="8" width="48.7109375" customWidth="1"/>
    <col min="9" max="9" width="14.7109375" customWidth="1"/>
    <col min="10" max="11" width="18.7109375" customWidth="1"/>
    <col min="12" max="12" width="14" customWidth="1"/>
    <col min="13" max="14" width="13.7109375" customWidth="1"/>
    <col min="15" max="15" width="42.7109375" customWidth="1"/>
    <col min="16" max="16" width="18.7109375" customWidth="1"/>
    <col min="17" max="17" width="13.7109375" customWidth="1"/>
    <col min="18" max="18" width="16.7109375" customWidth="1"/>
    <col min="19" max="19" width="32.7109375" customWidth="1"/>
  </cols>
  <sheetData>
    <row r="1" spans="1:19" ht="33.950000000000003" customHeight="1" x14ac:dyDescent="0.25">
      <c r="A1" s="15" t="s">
        <v>49</v>
      </c>
      <c r="B1" s="11" t="s">
        <v>50</v>
      </c>
      <c r="C1" s="11" t="s">
        <v>8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1</v>
      </c>
      <c r="J1" s="11" t="s">
        <v>9</v>
      </c>
      <c r="K1" s="11" t="s">
        <v>56</v>
      </c>
      <c r="L1" s="11" t="s">
        <v>57</v>
      </c>
      <c r="M1" s="11" t="s">
        <v>0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8" t="s">
        <v>63</v>
      </c>
    </row>
    <row r="2" spans="1:19" ht="54" customHeight="1" x14ac:dyDescent="0.25">
      <c r="A2" s="16" t="s">
        <v>23</v>
      </c>
      <c r="B2" s="9" t="s">
        <v>64</v>
      </c>
      <c r="C2" s="9" t="s">
        <v>18</v>
      </c>
      <c r="D2" s="9" t="s">
        <v>65</v>
      </c>
      <c r="E2" s="9" t="s">
        <v>66</v>
      </c>
      <c r="F2" s="9" t="s">
        <v>67</v>
      </c>
      <c r="G2" s="9" t="s">
        <v>68</v>
      </c>
      <c r="H2" s="9" t="s">
        <v>69</v>
      </c>
      <c r="I2" s="8" t="s">
        <v>11</v>
      </c>
      <c r="J2" s="8" t="s">
        <v>70</v>
      </c>
      <c r="K2" s="8" t="s">
        <v>71</v>
      </c>
      <c r="L2" s="8" t="s">
        <v>22</v>
      </c>
      <c r="M2" s="8" t="s">
        <v>20</v>
      </c>
      <c r="N2" s="8"/>
      <c r="O2" s="9" t="s">
        <v>1445</v>
      </c>
      <c r="P2" s="9" t="s">
        <v>1214</v>
      </c>
      <c r="Q2" s="10">
        <v>46238</v>
      </c>
      <c r="R2" s="9" t="s">
        <v>14</v>
      </c>
      <c r="S2" s="19"/>
    </row>
    <row r="3" spans="1:19" ht="54" customHeight="1" x14ac:dyDescent="0.25">
      <c r="A3" s="16" t="s">
        <v>23</v>
      </c>
      <c r="B3" s="9" t="s">
        <v>72</v>
      </c>
      <c r="C3" s="9" t="s">
        <v>18</v>
      </c>
      <c r="D3" s="9" t="s">
        <v>65</v>
      </c>
      <c r="E3" s="9" t="s">
        <v>73</v>
      </c>
      <c r="F3" s="9" t="s">
        <v>67</v>
      </c>
      <c r="G3" s="9" t="s">
        <v>74</v>
      </c>
      <c r="H3" s="9" t="s">
        <v>75</v>
      </c>
      <c r="I3" s="8" t="s">
        <v>11</v>
      </c>
      <c r="J3" s="8" t="s">
        <v>44</v>
      </c>
      <c r="K3" s="8" t="s">
        <v>71</v>
      </c>
      <c r="L3" s="8" t="s">
        <v>22</v>
      </c>
      <c r="M3" s="8" t="s">
        <v>20</v>
      </c>
      <c r="N3" s="8"/>
      <c r="O3" s="9" t="s">
        <v>1445</v>
      </c>
      <c r="P3" s="9" t="s">
        <v>1214</v>
      </c>
      <c r="Q3" s="10">
        <v>46238</v>
      </c>
      <c r="R3" s="9" t="s">
        <v>14</v>
      </c>
      <c r="S3" s="19"/>
    </row>
    <row r="4" spans="1:19" ht="54" customHeight="1" x14ac:dyDescent="0.25">
      <c r="A4" s="16" t="s">
        <v>23</v>
      </c>
      <c r="B4" s="9" t="s">
        <v>76</v>
      </c>
      <c r="C4" s="9" t="s">
        <v>18</v>
      </c>
      <c r="D4" s="9" t="s">
        <v>65</v>
      </c>
      <c r="E4" s="9" t="s">
        <v>77</v>
      </c>
      <c r="F4" s="9" t="s">
        <v>67</v>
      </c>
      <c r="G4" s="9" t="s">
        <v>78</v>
      </c>
      <c r="H4" s="9" t="s">
        <v>79</v>
      </c>
      <c r="I4" s="8" t="s">
        <v>30</v>
      </c>
      <c r="J4" s="8" t="s">
        <v>80</v>
      </c>
      <c r="K4" s="8" t="s">
        <v>81</v>
      </c>
      <c r="L4" s="8" t="s">
        <v>31</v>
      </c>
      <c r="M4" s="8" t="s">
        <v>20</v>
      </c>
      <c r="N4" s="8"/>
      <c r="O4" s="9" t="s">
        <v>1445</v>
      </c>
      <c r="P4" s="9" t="s">
        <v>1214</v>
      </c>
      <c r="Q4" s="10">
        <v>46238</v>
      </c>
      <c r="R4" s="9" t="s">
        <v>14</v>
      </c>
      <c r="S4" s="19"/>
    </row>
    <row r="5" spans="1:19" ht="54" customHeight="1" x14ac:dyDescent="0.25">
      <c r="A5" s="16" t="s">
        <v>23</v>
      </c>
      <c r="B5" s="9" t="s">
        <v>82</v>
      </c>
      <c r="C5" s="9" t="s">
        <v>18</v>
      </c>
      <c r="D5" s="9" t="s">
        <v>65</v>
      </c>
      <c r="E5" s="9" t="s">
        <v>83</v>
      </c>
      <c r="F5" s="9" t="s">
        <v>67</v>
      </c>
      <c r="G5" s="9" t="s">
        <v>84</v>
      </c>
      <c r="H5" s="9" t="s">
        <v>85</v>
      </c>
      <c r="I5" s="8" t="s">
        <v>11</v>
      </c>
      <c r="J5" s="8" t="s">
        <v>80</v>
      </c>
      <c r="K5" s="8" t="s">
        <v>81</v>
      </c>
      <c r="L5" s="8" t="s">
        <v>31</v>
      </c>
      <c r="M5" s="8" t="s">
        <v>20</v>
      </c>
      <c r="N5" s="8"/>
      <c r="O5" s="9" t="s">
        <v>1445</v>
      </c>
      <c r="P5" s="9" t="s">
        <v>1214</v>
      </c>
      <c r="Q5" s="10">
        <v>46238</v>
      </c>
      <c r="R5" s="9" t="s">
        <v>14</v>
      </c>
      <c r="S5" s="19"/>
    </row>
    <row r="6" spans="1:19" ht="54" customHeight="1" x14ac:dyDescent="0.25">
      <c r="A6" s="16" t="s">
        <v>23</v>
      </c>
      <c r="B6" s="9" t="s">
        <v>86</v>
      </c>
      <c r="C6" s="9" t="s">
        <v>18</v>
      </c>
      <c r="D6" s="9" t="s">
        <v>65</v>
      </c>
      <c r="E6" s="9" t="s">
        <v>87</v>
      </c>
      <c r="F6" s="9" t="s">
        <v>67</v>
      </c>
      <c r="G6" s="9" t="s">
        <v>88</v>
      </c>
      <c r="H6" s="9" t="s">
        <v>89</v>
      </c>
      <c r="I6" s="8" t="s">
        <v>11</v>
      </c>
      <c r="J6" s="8" t="s">
        <v>19</v>
      </c>
      <c r="K6" s="8" t="s">
        <v>90</v>
      </c>
      <c r="L6" s="8" t="s">
        <v>12</v>
      </c>
      <c r="M6" s="8" t="s">
        <v>20</v>
      </c>
      <c r="N6" s="8"/>
      <c r="O6" s="9" t="s">
        <v>1445</v>
      </c>
      <c r="P6" s="9" t="s">
        <v>1214</v>
      </c>
      <c r="Q6" s="10">
        <v>46238</v>
      </c>
      <c r="R6" s="9" t="s">
        <v>14</v>
      </c>
      <c r="S6" s="19"/>
    </row>
    <row r="7" spans="1:19" ht="54" customHeight="1" x14ac:dyDescent="0.25">
      <c r="A7" s="16" t="s">
        <v>23</v>
      </c>
      <c r="B7" s="9" t="s">
        <v>91</v>
      </c>
      <c r="C7" s="9" t="s">
        <v>18</v>
      </c>
      <c r="D7" s="9" t="s">
        <v>65</v>
      </c>
      <c r="E7" s="9" t="s">
        <v>92</v>
      </c>
      <c r="F7" s="9" t="s">
        <v>67</v>
      </c>
      <c r="G7" s="9" t="s">
        <v>93</v>
      </c>
      <c r="H7" s="9" t="s">
        <v>94</v>
      </c>
      <c r="I7" s="8" t="s">
        <v>11</v>
      </c>
      <c r="J7" s="8" t="s">
        <v>80</v>
      </c>
      <c r="K7" s="8" t="s">
        <v>95</v>
      </c>
      <c r="L7" s="8" t="s">
        <v>31</v>
      </c>
      <c r="M7" s="8" t="s">
        <v>20</v>
      </c>
      <c r="N7" s="8"/>
      <c r="O7" s="9" t="s">
        <v>1445</v>
      </c>
      <c r="P7" s="9" t="s">
        <v>1214</v>
      </c>
      <c r="Q7" s="10">
        <v>46238</v>
      </c>
      <c r="R7" s="9" t="s">
        <v>14</v>
      </c>
      <c r="S7" s="19"/>
    </row>
    <row r="8" spans="1:19" ht="54" customHeight="1" x14ac:dyDescent="0.25">
      <c r="A8" s="16" t="s">
        <v>13</v>
      </c>
      <c r="B8" s="9" t="s">
        <v>96</v>
      </c>
      <c r="C8" s="9" t="s">
        <v>18</v>
      </c>
      <c r="D8" s="9" t="s">
        <v>65</v>
      </c>
      <c r="E8" s="9" t="s">
        <v>97</v>
      </c>
      <c r="F8" s="9" t="s">
        <v>67</v>
      </c>
      <c r="G8" s="9" t="s">
        <v>98</v>
      </c>
      <c r="H8" s="9" t="s">
        <v>99</v>
      </c>
      <c r="I8" s="8" t="s">
        <v>11</v>
      </c>
      <c r="J8" s="8" t="s">
        <v>100</v>
      </c>
      <c r="K8" s="8" t="s">
        <v>90</v>
      </c>
      <c r="L8" s="8" t="s">
        <v>31</v>
      </c>
      <c r="M8" s="8" t="s">
        <v>10</v>
      </c>
      <c r="N8" s="8"/>
      <c r="O8" s="9"/>
      <c r="P8" s="9"/>
      <c r="Q8" s="10"/>
      <c r="R8" s="9" t="s">
        <v>14</v>
      </c>
      <c r="S8" s="19"/>
    </row>
    <row r="9" spans="1:19" ht="54" customHeight="1" x14ac:dyDescent="0.25">
      <c r="A9" s="16" t="s">
        <v>13</v>
      </c>
      <c r="B9" s="9" t="s">
        <v>101</v>
      </c>
      <c r="C9" s="9" t="s">
        <v>18</v>
      </c>
      <c r="D9" s="9" t="s">
        <v>65</v>
      </c>
      <c r="E9" s="9" t="s">
        <v>102</v>
      </c>
      <c r="F9" s="9" t="s">
        <v>67</v>
      </c>
      <c r="G9" s="9" t="s">
        <v>103</v>
      </c>
      <c r="H9" s="9" t="s">
        <v>104</v>
      </c>
      <c r="I9" s="8" t="s">
        <v>11</v>
      </c>
      <c r="J9" s="8" t="s">
        <v>100</v>
      </c>
      <c r="K9" s="8" t="s">
        <v>105</v>
      </c>
      <c r="L9" s="8" t="s">
        <v>31</v>
      </c>
      <c r="M9" s="8" t="s">
        <v>10</v>
      </c>
      <c r="N9" s="8"/>
      <c r="O9" s="9"/>
      <c r="P9" s="9"/>
      <c r="Q9" s="10"/>
      <c r="R9" s="9" t="s">
        <v>14</v>
      </c>
      <c r="S9" s="19"/>
    </row>
    <row r="10" spans="1:19" ht="54" customHeight="1" x14ac:dyDescent="0.25">
      <c r="A10" s="16" t="s">
        <v>23</v>
      </c>
      <c r="B10" s="9" t="s">
        <v>106</v>
      </c>
      <c r="C10" s="9" t="s">
        <v>18</v>
      </c>
      <c r="D10" s="9" t="s">
        <v>65</v>
      </c>
      <c r="E10" s="9" t="s">
        <v>107</v>
      </c>
      <c r="F10" s="9" t="s">
        <v>67</v>
      </c>
      <c r="G10" s="9" t="s">
        <v>108</v>
      </c>
      <c r="H10" s="9" t="s">
        <v>109</v>
      </c>
      <c r="I10" s="8" t="s">
        <v>30</v>
      </c>
      <c r="J10" s="8" t="s">
        <v>110</v>
      </c>
      <c r="K10" s="8" t="s">
        <v>111</v>
      </c>
      <c r="L10" s="8" t="s">
        <v>22</v>
      </c>
      <c r="M10" s="8" t="s">
        <v>20</v>
      </c>
      <c r="N10" s="8"/>
      <c r="O10" s="9" t="s">
        <v>1445</v>
      </c>
      <c r="P10" s="9" t="s">
        <v>1214</v>
      </c>
      <c r="Q10" s="10">
        <v>46238</v>
      </c>
      <c r="R10" s="9" t="s">
        <v>14</v>
      </c>
      <c r="S10" s="19"/>
    </row>
    <row r="11" spans="1:19" ht="54" customHeight="1" x14ac:dyDescent="0.25">
      <c r="A11" s="16" t="s">
        <v>23</v>
      </c>
      <c r="B11" s="9" t="s">
        <v>112</v>
      </c>
      <c r="C11" s="9" t="s">
        <v>18</v>
      </c>
      <c r="D11" s="9" t="s">
        <v>65</v>
      </c>
      <c r="E11" s="9" t="s">
        <v>113</v>
      </c>
      <c r="F11" s="9" t="s">
        <v>67</v>
      </c>
      <c r="G11" s="9" t="s">
        <v>114</v>
      </c>
      <c r="H11" s="9" t="s">
        <v>115</v>
      </c>
      <c r="I11" s="8" t="s">
        <v>30</v>
      </c>
      <c r="J11" s="8" t="s">
        <v>116</v>
      </c>
      <c r="K11" s="8" t="s">
        <v>95</v>
      </c>
      <c r="L11" s="8" t="s">
        <v>22</v>
      </c>
      <c r="M11" s="8" t="s">
        <v>20</v>
      </c>
      <c r="N11" s="8"/>
      <c r="O11" s="9" t="s">
        <v>1445</v>
      </c>
      <c r="P11" s="9" t="s">
        <v>1214</v>
      </c>
      <c r="Q11" s="10">
        <v>46238</v>
      </c>
      <c r="R11" s="9" t="s">
        <v>14</v>
      </c>
      <c r="S11" s="19"/>
    </row>
    <row r="12" spans="1:19" ht="54" customHeight="1" x14ac:dyDescent="0.25">
      <c r="A12" s="16" t="s">
        <v>13</v>
      </c>
      <c r="B12" s="9" t="s">
        <v>117</v>
      </c>
      <c r="C12" s="9" t="s">
        <v>18</v>
      </c>
      <c r="D12" s="9" t="s">
        <v>65</v>
      </c>
      <c r="E12" s="9" t="s">
        <v>118</v>
      </c>
      <c r="F12" s="9" t="s">
        <v>67</v>
      </c>
      <c r="G12" s="9" t="s">
        <v>119</v>
      </c>
      <c r="H12" s="9" t="s">
        <v>120</v>
      </c>
      <c r="I12" s="8" t="s">
        <v>30</v>
      </c>
      <c r="J12" s="8" t="s">
        <v>116</v>
      </c>
      <c r="K12" s="8" t="s">
        <v>90</v>
      </c>
      <c r="L12" s="8" t="s">
        <v>22</v>
      </c>
      <c r="M12" s="8" t="s">
        <v>10</v>
      </c>
      <c r="N12" s="8"/>
      <c r="O12" s="9"/>
      <c r="P12" s="9"/>
      <c r="Q12" s="10"/>
      <c r="R12" s="9" t="s">
        <v>14</v>
      </c>
      <c r="S12" s="19"/>
    </row>
    <row r="13" spans="1:19" ht="54" customHeight="1" x14ac:dyDescent="0.25">
      <c r="A13" s="16" t="s">
        <v>23</v>
      </c>
      <c r="B13" s="9" t="s">
        <v>121</v>
      </c>
      <c r="C13" s="9" t="s">
        <v>18</v>
      </c>
      <c r="D13" s="9" t="s">
        <v>122</v>
      </c>
      <c r="E13" s="9" t="s">
        <v>123</v>
      </c>
      <c r="F13" s="9" t="s">
        <v>67</v>
      </c>
      <c r="G13" s="9" t="s">
        <v>124</v>
      </c>
      <c r="H13" s="9" t="s">
        <v>125</v>
      </c>
      <c r="I13" s="8" t="s">
        <v>11</v>
      </c>
      <c r="J13" s="8" t="s">
        <v>28</v>
      </c>
      <c r="K13" s="8" t="s">
        <v>90</v>
      </c>
      <c r="L13" s="8" t="s">
        <v>12</v>
      </c>
      <c r="M13" s="8" t="s">
        <v>20</v>
      </c>
      <c r="N13" s="8"/>
      <c r="O13" s="9" t="s">
        <v>1443</v>
      </c>
      <c r="P13" s="9" t="s">
        <v>1214</v>
      </c>
      <c r="Q13" s="10">
        <v>46238</v>
      </c>
      <c r="R13" s="9" t="s">
        <v>14</v>
      </c>
      <c r="S13" s="19"/>
    </row>
    <row r="14" spans="1:19" ht="54" customHeight="1" x14ac:dyDescent="0.25">
      <c r="A14" s="16" t="s">
        <v>23</v>
      </c>
      <c r="B14" s="9" t="s">
        <v>126</v>
      </c>
      <c r="C14" s="9" t="s">
        <v>18</v>
      </c>
      <c r="D14" s="9" t="s">
        <v>122</v>
      </c>
      <c r="E14" s="9" t="s">
        <v>127</v>
      </c>
      <c r="F14" s="9" t="s">
        <v>67</v>
      </c>
      <c r="G14" s="9" t="s">
        <v>128</v>
      </c>
      <c r="H14" s="9" t="s">
        <v>129</v>
      </c>
      <c r="I14" s="8" t="s">
        <v>30</v>
      </c>
      <c r="J14" s="8" t="s">
        <v>28</v>
      </c>
      <c r="K14" s="8" t="s">
        <v>90</v>
      </c>
      <c r="L14" s="8" t="s">
        <v>31</v>
      </c>
      <c r="M14" s="8" t="s">
        <v>42</v>
      </c>
      <c r="N14" s="8"/>
      <c r="O14" s="9" t="s">
        <v>1217</v>
      </c>
      <c r="P14" s="9" t="s">
        <v>1214</v>
      </c>
      <c r="Q14" s="10">
        <v>46238</v>
      </c>
      <c r="R14" s="9" t="s">
        <v>14</v>
      </c>
      <c r="S14" s="19" t="s">
        <v>1218</v>
      </c>
    </row>
    <row r="15" spans="1:19" ht="54" customHeight="1" x14ac:dyDescent="0.25">
      <c r="A15" s="16" t="s">
        <v>23</v>
      </c>
      <c r="B15" s="9" t="s">
        <v>130</v>
      </c>
      <c r="C15" s="9" t="s">
        <v>18</v>
      </c>
      <c r="D15" s="9" t="s">
        <v>122</v>
      </c>
      <c r="E15" s="9" t="s">
        <v>131</v>
      </c>
      <c r="F15" s="9" t="s">
        <v>67</v>
      </c>
      <c r="G15" s="9" t="s">
        <v>132</v>
      </c>
      <c r="H15" s="9" t="s">
        <v>133</v>
      </c>
      <c r="I15" s="8" t="s">
        <v>11</v>
      </c>
      <c r="J15" s="8" t="s">
        <v>28</v>
      </c>
      <c r="K15" s="8" t="s">
        <v>90</v>
      </c>
      <c r="L15" s="8" t="s">
        <v>12</v>
      </c>
      <c r="M15" s="8" t="s">
        <v>20</v>
      </c>
      <c r="N15" s="8"/>
      <c r="O15" s="9" t="s">
        <v>1443</v>
      </c>
      <c r="P15" s="9" t="s">
        <v>1214</v>
      </c>
      <c r="Q15" s="10">
        <v>46238</v>
      </c>
      <c r="R15" s="9" t="s">
        <v>14</v>
      </c>
      <c r="S15" s="19"/>
    </row>
    <row r="16" spans="1:19" ht="54" customHeight="1" x14ac:dyDescent="0.25">
      <c r="A16" s="16" t="s">
        <v>23</v>
      </c>
      <c r="B16" s="9" t="s">
        <v>134</v>
      </c>
      <c r="C16" s="9" t="s">
        <v>18</v>
      </c>
      <c r="D16" s="9" t="s">
        <v>122</v>
      </c>
      <c r="E16" s="9" t="s">
        <v>135</v>
      </c>
      <c r="F16" s="9" t="s">
        <v>67</v>
      </c>
      <c r="G16" s="9" t="s">
        <v>136</v>
      </c>
      <c r="H16" s="9" t="s">
        <v>137</v>
      </c>
      <c r="I16" s="8" t="s">
        <v>11</v>
      </c>
      <c r="J16" s="8" t="s">
        <v>28</v>
      </c>
      <c r="K16" s="8" t="s">
        <v>90</v>
      </c>
      <c r="L16" s="8" t="s">
        <v>12</v>
      </c>
      <c r="M16" s="8" t="s">
        <v>20</v>
      </c>
      <c r="N16" s="8"/>
      <c r="O16" s="9" t="s">
        <v>1443</v>
      </c>
      <c r="P16" s="9" t="s">
        <v>1214</v>
      </c>
      <c r="Q16" s="10">
        <v>46238</v>
      </c>
      <c r="R16" s="9" t="s">
        <v>14</v>
      </c>
      <c r="S16" s="19"/>
    </row>
    <row r="17" spans="1:19" ht="54" customHeight="1" x14ac:dyDescent="0.25">
      <c r="A17" s="16" t="s">
        <v>23</v>
      </c>
      <c r="B17" s="9" t="s">
        <v>138</v>
      </c>
      <c r="C17" s="9" t="s">
        <v>18</v>
      </c>
      <c r="D17" s="9" t="s">
        <v>122</v>
      </c>
      <c r="E17" s="9" t="s">
        <v>139</v>
      </c>
      <c r="F17" s="9" t="s">
        <v>67</v>
      </c>
      <c r="G17" s="9" t="s">
        <v>140</v>
      </c>
      <c r="H17" s="9" t="s">
        <v>141</v>
      </c>
      <c r="I17" s="8" t="s">
        <v>30</v>
      </c>
      <c r="J17" s="8" t="s">
        <v>142</v>
      </c>
      <c r="K17" s="8" t="s">
        <v>90</v>
      </c>
      <c r="L17" s="8" t="s">
        <v>12</v>
      </c>
      <c r="M17" s="8" t="s">
        <v>20</v>
      </c>
      <c r="N17" s="8"/>
      <c r="O17" s="9" t="s">
        <v>1443</v>
      </c>
      <c r="P17" s="9" t="s">
        <v>1214</v>
      </c>
      <c r="Q17" s="10">
        <v>46238</v>
      </c>
      <c r="R17" s="9" t="s">
        <v>14</v>
      </c>
      <c r="S17" s="19"/>
    </row>
    <row r="18" spans="1:19" ht="54" customHeight="1" x14ac:dyDescent="0.25">
      <c r="A18" s="16" t="s">
        <v>23</v>
      </c>
      <c r="B18" s="9" t="s">
        <v>143</v>
      </c>
      <c r="C18" s="9" t="s">
        <v>18</v>
      </c>
      <c r="D18" s="9" t="s">
        <v>122</v>
      </c>
      <c r="E18" s="9" t="s">
        <v>144</v>
      </c>
      <c r="F18" s="9" t="s">
        <v>67</v>
      </c>
      <c r="G18" s="9" t="s">
        <v>145</v>
      </c>
      <c r="H18" s="9" t="s">
        <v>146</v>
      </c>
      <c r="I18" s="8" t="s">
        <v>30</v>
      </c>
      <c r="J18" s="8" t="s">
        <v>28</v>
      </c>
      <c r="K18" s="8" t="s">
        <v>90</v>
      </c>
      <c r="L18" s="8" t="s">
        <v>12</v>
      </c>
      <c r="M18" s="8" t="s">
        <v>20</v>
      </c>
      <c r="N18" s="8"/>
      <c r="O18" s="9" t="s">
        <v>1443</v>
      </c>
      <c r="P18" s="9" t="s">
        <v>1214</v>
      </c>
      <c r="Q18" s="10">
        <v>46238</v>
      </c>
      <c r="R18" s="9" t="s">
        <v>14</v>
      </c>
      <c r="S18" s="19"/>
    </row>
    <row r="19" spans="1:19" ht="54" customHeight="1" x14ac:dyDescent="0.25">
      <c r="A19" s="16" t="s">
        <v>23</v>
      </c>
      <c r="B19" s="9" t="s">
        <v>147</v>
      </c>
      <c r="C19" s="9" t="s">
        <v>18</v>
      </c>
      <c r="D19" s="9" t="s">
        <v>122</v>
      </c>
      <c r="E19" s="9" t="s">
        <v>148</v>
      </c>
      <c r="F19" s="9" t="s">
        <v>67</v>
      </c>
      <c r="G19" s="9" t="s">
        <v>149</v>
      </c>
      <c r="H19" s="9" t="s">
        <v>141</v>
      </c>
      <c r="I19" s="8" t="s">
        <v>37</v>
      </c>
      <c r="J19" s="8" t="s">
        <v>142</v>
      </c>
      <c r="K19" s="8" t="s">
        <v>90</v>
      </c>
      <c r="L19" s="8" t="s">
        <v>12</v>
      </c>
      <c r="M19" s="8" t="s">
        <v>20</v>
      </c>
      <c r="N19" s="8"/>
      <c r="O19" s="9" t="s">
        <v>1443</v>
      </c>
      <c r="P19" s="9" t="s">
        <v>1214</v>
      </c>
      <c r="Q19" s="10">
        <v>46238</v>
      </c>
      <c r="R19" s="9" t="s">
        <v>14</v>
      </c>
      <c r="S19" s="19"/>
    </row>
    <row r="20" spans="1:19" ht="54" customHeight="1" x14ac:dyDescent="0.25">
      <c r="A20" s="16" t="s">
        <v>23</v>
      </c>
      <c r="B20" s="9" t="s">
        <v>150</v>
      </c>
      <c r="C20" s="9" t="s">
        <v>18</v>
      </c>
      <c r="D20" s="9" t="s">
        <v>122</v>
      </c>
      <c r="E20" s="9" t="s">
        <v>151</v>
      </c>
      <c r="F20" s="9" t="s">
        <v>67</v>
      </c>
      <c r="G20" s="9" t="s">
        <v>152</v>
      </c>
      <c r="H20" s="9" t="s">
        <v>153</v>
      </c>
      <c r="I20" s="8" t="s">
        <v>30</v>
      </c>
      <c r="J20" s="8" t="s">
        <v>154</v>
      </c>
      <c r="K20" s="8" t="s">
        <v>90</v>
      </c>
      <c r="L20" s="8" t="s">
        <v>12</v>
      </c>
      <c r="M20" s="8" t="s">
        <v>20</v>
      </c>
      <c r="N20" s="8"/>
      <c r="O20" s="9" t="s">
        <v>1443</v>
      </c>
      <c r="P20" s="9" t="s">
        <v>1214</v>
      </c>
      <c r="Q20" s="10">
        <v>46238</v>
      </c>
      <c r="R20" s="9" t="s">
        <v>14</v>
      </c>
      <c r="S20" s="19"/>
    </row>
    <row r="21" spans="1:19" ht="54" customHeight="1" x14ac:dyDescent="0.25">
      <c r="A21" s="16" t="s">
        <v>23</v>
      </c>
      <c r="B21" s="9" t="s">
        <v>155</v>
      </c>
      <c r="C21" s="9" t="s">
        <v>18</v>
      </c>
      <c r="D21" s="9" t="s">
        <v>122</v>
      </c>
      <c r="E21" s="9" t="s">
        <v>156</v>
      </c>
      <c r="F21" s="9" t="s">
        <v>67</v>
      </c>
      <c r="G21" s="9" t="s">
        <v>157</v>
      </c>
      <c r="H21" s="9" t="s">
        <v>158</v>
      </c>
      <c r="I21" s="8" t="s">
        <v>30</v>
      </c>
      <c r="J21" s="8" t="s">
        <v>35</v>
      </c>
      <c r="K21" s="8" t="s">
        <v>159</v>
      </c>
      <c r="L21" s="8" t="s">
        <v>22</v>
      </c>
      <c r="M21" s="8" t="s">
        <v>20</v>
      </c>
      <c r="N21" s="8"/>
      <c r="O21" s="9" t="s">
        <v>1443</v>
      </c>
      <c r="P21" s="9" t="s">
        <v>1214</v>
      </c>
      <c r="Q21" s="10">
        <v>46238</v>
      </c>
      <c r="R21" s="9" t="s">
        <v>14</v>
      </c>
      <c r="S21" s="19"/>
    </row>
    <row r="22" spans="1:19" ht="54" customHeight="1" x14ac:dyDescent="0.25">
      <c r="A22" s="16" t="s">
        <v>23</v>
      </c>
      <c r="B22" s="9" t="s">
        <v>160</v>
      </c>
      <c r="C22" s="9" t="s">
        <v>18</v>
      </c>
      <c r="D22" s="9" t="s">
        <v>122</v>
      </c>
      <c r="E22" s="9" t="s">
        <v>161</v>
      </c>
      <c r="F22" s="9" t="s">
        <v>67</v>
      </c>
      <c r="G22" s="9" t="s">
        <v>162</v>
      </c>
      <c r="H22" s="9" t="s">
        <v>163</v>
      </c>
      <c r="I22" s="8" t="s">
        <v>30</v>
      </c>
      <c r="J22" s="8" t="s">
        <v>142</v>
      </c>
      <c r="K22" s="8" t="s">
        <v>90</v>
      </c>
      <c r="L22" s="8" t="s">
        <v>12</v>
      </c>
      <c r="M22" s="8" t="s">
        <v>20</v>
      </c>
      <c r="N22" s="8"/>
      <c r="O22" s="9" t="s">
        <v>1443</v>
      </c>
      <c r="P22" s="9" t="s">
        <v>1214</v>
      </c>
      <c r="Q22" s="10">
        <v>46238</v>
      </c>
      <c r="R22" s="9" t="s">
        <v>14</v>
      </c>
      <c r="S22" s="19"/>
    </row>
    <row r="23" spans="1:19" ht="54" customHeight="1" x14ac:dyDescent="0.25">
      <c r="A23" s="16" t="s">
        <v>13</v>
      </c>
      <c r="B23" s="9" t="s">
        <v>164</v>
      </c>
      <c r="C23" s="9" t="s">
        <v>18</v>
      </c>
      <c r="D23" s="9" t="s">
        <v>122</v>
      </c>
      <c r="E23" s="9" t="s">
        <v>165</v>
      </c>
      <c r="F23" s="9" t="s">
        <v>67</v>
      </c>
      <c r="G23" s="9" t="s">
        <v>166</v>
      </c>
      <c r="H23" s="9" t="s">
        <v>167</v>
      </c>
      <c r="I23" s="8" t="s">
        <v>30</v>
      </c>
      <c r="J23" s="8" t="s">
        <v>168</v>
      </c>
      <c r="K23" s="8" t="s">
        <v>95</v>
      </c>
      <c r="L23" s="8" t="s">
        <v>22</v>
      </c>
      <c r="M23" s="8" t="s">
        <v>10</v>
      </c>
      <c r="N23" s="8"/>
      <c r="O23" s="9"/>
      <c r="P23" s="9"/>
      <c r="Q23" s="10"/>
      <c r="R23" s="9" t="s">
        <v>14</v>
      </c>
      <c r="S23" s="19"/>
    </row>
    <row r="24" spans="1:19" ht="54" customHeight="1" x14ac:dyDescent="0.25">
      <c r="A24" s="16" t="s">
        <v>23</v>
      </c>
      <c r="B24" s="9" t="s">
        <v>169</v>
      </c>
      <c r="C24" s="9" t="s">
        <v>18</v>
      </c>
      <c r="D24" s="9" t="s">
        <v>170</v>
      </c>
      <c r="E24" s="9" t="s">
        <v>171</v>
      </c>
      <c r="F24" s="9" t="s">
        <v>67</v>
      </c>
      <c r="G24" s="9" t="s">
        <v>172</v>
      </c>
      <c r="H24" s="9" t="s">
        <v>173</v>
      </c>
      <c r="I24" s="8" t="s">
        <v>37</v>
      </c>
      <c r="J24" s="8" t="s">
        <v>174</v>
      </c>
      <c r="K24" s="8" t="s">
        <v>175</v>
      </c>
      <c r="L24" s="8" t="s">
        <v>12</v>
      </c>
      <c r="M24" s="8" t="s">
        <v>20</v>
      </c>
      <c r="N24" s="8"/>
      <c r="O24" s="9" t="s">
        <v>1219</v>
      </c>
      <c r="P24" s="9" t="s">
        <v>1214</v>
      </c>
      <c r="Q24" s="10">
        <v>46238</v>
      </c>
      <c r="R24" s="9" t="s">
        <v>14</v>
      </c>
      <c r="S24" s="19"/>
    </row>
    <row r="25" spans="1:19" ht="54" customHeight="1" x14ac:dyDescent="0.25">
      <c r="A25" s="16" t="s">
        <v>23</v>
      </c>
      <c r="B25" s="9" t="s">
        <v>176</v>
      </c>
      <c r="C25" s="9" t="s">
        <v>18</v>
      </c>
      <c r="D25" s="9" t="s">
        <v>170</v>
      </c>
      <c r="E25" s="9" t="s">
        <v>177</v>
      </c>
      <c r="F25" s="9" t="s">
        <v>67</v>
      </c>
      <c r="G25" s="9" t="s">
        <v>178</v>
      </c>
      <c r="H25" s="9" t="s">
        <v>179</v>
      </c>
      <c r="I25" s="8" t="s">
        <v>11</v>
      </c>
      <c r="J25" s="8" t="s">
        <v>180</v>
      </c>
      <c r="K25" s="8" t="s">
        <v>175</v>
      </c>
      <c r="L25" s="8" t="s">
        <v>22</v>
      </c>
      <c r="M25" s="8" t="s">
        <v>20</v>
      </c>
      <c r="N25" s="8"/>
      <c r="O25" s="9" t="s">
        <v>1219</v>
      </c>
      <c r="P25" s="9" t="s">
        <v>1214</v>
      </c>
      <c r="Q25" s="10">
        <v>46238</v>
      </c>
      <c r="R25" s="9" t="s">
        <v>14</v>
      </c>
      <c r="S25" s="19"/>
    </row>
    <row r="26" spans="1:19" ht="54" customHeight="1" x14ac:dyDescent="0.25">
      <c r="A26" s="16" t="s">
        <v>23</v>
      </c>
      <c r="B26" s="9" t="s">
        <v>181</v>
      </c>
      <c r="C26" s="9" t="s">
        <v>18</v>
      </c>
      <c r="D26" s="9" t="s">
        <v>170</v>
      </c>
      <c r="E26" s="9" t="s">
        <v>182</v>
      </c>
      <c r="F26" s="9" t="s">
        <v>67</v>
      </c>
      <c r="G26" s="9" t="s">
        <v>183</v>
      </c>
      <c r="H26" s="9" t="s">
        <v>184</v>
      </c>
      <c r="I26" s="8" t="s">
        <v>30</v>
      </c>
      <c r="J26" s="8" t="s">
        <v>174</v>
      </c>
      <c r="K26" s="8" t="s">
        <v>175</v>
      </c>
      <c r="L26" s="8" t="s">
        <v>12</v>
      </c>
      <c r="M26" s="8" t="s">
        <v>20</v>
      </c>
      <c r="N26" s="8"/>
      <c r="O26" s="9" t="s">
        <v>1219</v>
      </c>
      <c r="P26" s="9" t="s">
        <v>1214</v>
      </c>
      <c r="Q26" s="10">
        <v>46238</v>
      </c>
      <c r="R26" s="9" t="s">
        <v>14</v>
      </c>
      <c r="S26" s="19"/>
    </row>
    <row r="27" spans="1:19" ht="54" customHeight="1" x14ac:dyDescent="0.25">
      <c r="A27" s="16" t="s">
        <v>23</v>
      </c>
      <c r="B27" s="9" t="s">
        <v>185</v>
      </c>
      <c r="C27" s="9" t="s">
        <v>18</v>
      </c>
      <c r="D27" s="9" t="s">
        <v>170</v>
      </c>
      <c r="E27" s="9" t="s">
        <v>186</v>
      </c>
      <c r="F27" s="9" t="s">
        <v>67</v>
      </c>
      <c r="G27" s="9" t="s">
        <v>187</v>
      </c>
      <c r="H27" s="9" t="s">
        <v>188</v>
      </c>
      <c r="I27" s="8" t="s">
        <v>30</v>
      </c>
      <c r="J27" s="8" t="s">
        <v>189</v>
      </c>
      <c r="K27" s="8" t="s">
        <v>175</v>
      </c>
      <c r="L27" s="8" t="s">
        <v>12</v>
      </c>
      <c r="M27" s="8" t="s">
        <v>20</v>
      </c>
      <c r="N27" s="8"/>
      <c r="O27" s="9" t="s">
        <v>1219</v>
      </c>
      <c r="P27" s="9" t="s">
        <v>1214</v>
      </c>
      <c r="Q27" s="10">
        <v>46238</v>
      </c>
      <c r="R27" s="9" t="s">
        <v>14</v>
      </c>
      <c r="S27" s="19"/>
    </row>
    <row r="28" spans="1:19" ht="54" customHeight="1" x14ac:dyDescent="0.25">
      <c r="A28" s="16" t="s">
        <v>23</v>
      </c>
      <c r="B28" s="9" t="s">
        <v>190</v>
      </c>
      <c r="C28" s="9" t="s">
        <v>18</v>
      </c>
      <c r="D28" s="9" t="s">
        <v>170</v>
      </c>
      <c r="E28" s="9" t="s">
        <v>191</v>
      </c>
      <c r="F28" s="9" t="s">
        <v>67</v>
      </c>
      <c r="G28" s="9" t="s">
        <v>192</v>
      </c>
      <c r="H28" s="9" t="s">
        <v>193</v>
      </c>
      <c r="I28" s="8" t="s">
        <v>30</v>
      </c>
      <c r="J28" s="8" t="s">
        <v>189</v>
      </c>
      <c r="K28" s="8" t="s">
        <v>175</v>
      </c>
      <c r="L28" s="8" t="s">
        <v>12</v>
      </c>
      <c r="M28" s="8" t="s">
        <v>20</v>
      </c>
      <c r="N28" s="8"/>
      <c r="O28" s="9" t="s">
        <v>1219</v>
      </c>
      <c r="P28" s="9" t="s">
        <v>1214</v>
      </c>
      <c r="Q28" s="10">
        <v>46238</v>
      </c>
      <c r="R28" s="9" t="s">
        <v>14</v>
      </c>
      <c r="S28" s="19"/>
    </row>
    <row r="29" spans="1:19" ht="54" customHeight="1" x14ac:dyDescent="0.25">
      <c r="A29" s="16" t="s">
        <v>23</v>
      </c>
      <c r="B29" s="9" t="s">
        <v>194</v>
      </c>
      <c r="C29" s="9" t="s">
        <v>18</v>
      </c>
      <c r="D29" s="9" t="s">
        <v>170</v>
      </c>
      <c r="E29" s="9" t="s">
        <v>195</v>
      </c>
      <c r="F29" s="9" t="s">
        <v>67</v>
      </c>
      <c r="G29" s="9" t="s">
        <v>196</v>
      </c>
      <c r="H29" s="9" t="s">
        <v>197</v>
      </c>
      <c r="I29" s="8" t="s">
        <v>11</v>
      </c>
      <c r="J29" s="8" t="s">
        <v>198</v>
      </c>
      <c r="K29" s="8" t="s">
        <v>175</v>
      </c>
      <c r="L29" s="8" t="s">
        <v>22</v>
      </c>
      <c r="M29" s="8" t="s">
        <v>20</v>
      </c>
      <c r="N29" s="8"/>
      <c r="O29" s="9" t="s">
        <v>1219</v>
      </c>
      <c r="P29" s="9" t="s">
        <v>1214</v>
      </c>
      <c r="Q29" s="10">
        <v>46238</v>
      </c>
      <c r="R29" s="9" t="s">
        <v>14</v>
      </c>
      <c r="S29" s="19"/>
    </row>
    <row r="30" spans="1:19" ht="54" customHeight="1" x14ac:dyDescent="0.25">
      <c r="A30" s="16" t="s">
        <v>23</v>
      </c>
      <c r="B30" s="9" t="s">
        <v>199</v>
      </c>
      <c r="C30" s="9" t="s">
        <v>18</v>
      </c>
      <c r="D30" s="9" t="s">
        <v>170</v>
      </c>
      <c r="E30" s="9" t="s">
        <v>200</v>
      </c>
      <c r="F30" s="9" t="s">
        <v>67</v>
      </c>
      <c r="G30" s="9" t="s">
        <v>201</v>
      </c>
      <c r="H30" s="9" t="s">
        <v>202</v>
      </c>
      <c r="I30" s="8" t="s">
        <v>30</v>
      </c>
      <c r="J30" s="8" t="s">
        <v>198</v>
      </c>
      <c r="K30" s="8" t="s">
        <v>175</v>
      </c>
      <c r="L30" s="8" t="s">
        <v>12</v>
      </c>
      <c r="M30" s="8" t="s">
        <v>20</v>
      </c>
      <c r="N30" s="8"/>
      <c r="O30" s="9" t="s">
        <v>1219</v>
      </c>
      <c r="P30" s="9" t="s">
        <v>1214</v>
      </c>
      <c r="Q30" s="10">
        <v>46238</v>
      </c>
      <c r="R30" s="9" t="s">
        <v>14</v>
      </c>
      <c r="S30" s="19"/>
    </row>
    <row r="31" spans="1:19" ht="54" customHeight="1" x14ac:dyDescent="0.25">
      <c r="A31" s="16" t="s">
        <v>23</v>
      </c>
      <c r="B31" s="9" t="s">
        <v>203</v>
      </c>
      <c r="C31" s="9" t="s">
        <v>18</v>
      </c>
      <c r="D31" s="9" t="s">
        <v>170</v>
      </c>
      <c r="E31" s="9" t="s">
        <v>204</v>
      </c>
      <c r="F31" s="9" t="s">
        <v>67</v>
      </c>
      <c r="G31" s="9" t="s">
        <v>205</v>
      </c>
      <c r="H31" s="9" t="s">
        <v>206</v>
      </c>
      <c r="I31" s="8" t="s">
        <v>37</v>
      </c>
      <c r="J31" s="8" t="s">
        <v>207</v>
      </c>
      <c r="K31" s="8" t="s">
        <v>175</v>
      </c>
      <c r="L31" s="8" t="s">
        <v>12</v>
      </c>
      <c r="M31" s="8" t="s">
        <v>20</v>
      </c>
      <c r="N31" s="8"/>
      <c r="O31" s="9" t="s">
        <v>1219</v>
      </c>
      <c r="P31" s="9" t="s">
        <v>1214</v>
      </c>
      <c r="Q31" s="10">
        <v>46238</v>
      </c>
      <c r="R31" s="9" t="s">
        <v>14</v>
      </c>
      <c r="S31" s="19"/>
    </row>
    <row r="32" spans="1:19" ht="54" customHeight="1" x14ac:dyDescent="0.25">
      <c r="A32" s="16" t="s">
        <v>23</v>
      </c>
      <c r="B32" s="9" t="s">
        <v>208</v>
      </c>
      <c r="C32" s="9" t="s">
        <v>18</v>
      </c>
      <c r="D32" s="9" t="s">
        <v>170</v>
      </c>
      <c r="E32" s="9" t="s">
        <v>209</v>
      </c>
      <c r="F32" s="9" t="s">
        <v>67</v>
      </c>
      <c r="G32" s="9" t="s">
        <v>210</v>
      </c>
      <c r="H32" s="9" t="s">
        <v>211</v>
      </c>
      <c r="I32" s="8" t="s">
        <v>30</v>
      </c>
      <c r="J32" s="8" t="s">
        <v>168</v>
      </c>
      <c r="K32" s="8" t="s">
        <v>175</v>
      </c>
      <c r="L32" s="8" t="s">
        <v>12</v>
      </c>
      <c r="M32" s="8" t="s">
        <v>20</v>
      </c>
      <c r="N32" s="8"/>
      <c r="O32" s="9" t="s">
        <v>1219</v>
      </c>
      <c r="P32" s="9" t="s">
        <v>1214</v>
      </c>
      <c r="Q32" s="10">
        <v>46238</v>
      </c>
      <c r="R32" s="9" t="s">
        <v>14</v>
      </c>
      <c r="S32" s="19"/>
    </row>
    <row r="33" spans="1:19" ht="54" customHeight="1" x14ac:dyDescent="0.25">
      <c r="A33" s="16" t="s">
        <v>23</v>
      </c>
      <c r="B33" s="9" t="s">
        <v>212</v>
      </c>
      <c r="C33" s="9" t="s">
        <v>18</v>
      </c>
      <c r="D33" s="9" t="s">
        <v>170</v>
      </c>
      <c r="E33" s="9" t="s">
        <v>213</v>
      </c>
      <c r="F33" s="9" t="s">
        <v>67</v>
      </c>
      <c r="G33" s="9" t="s">
        <v>214</v>
      </c>
      <c r="H33" s="9" t="s">
        <v>215</v>
      </c>
      <c r="I33" s="8" t="s">
        <v>30</v>
      </c>
      <c r="J33" s="8" t="s">
        <v>198</v>
      </c>
      <c r="K33" s="8" t="s">
        <v>175</v>
      </c>
      <c r="L33" s="8" t="s">
        <v>22</v>
      </c>
      <c r="M33" s="8" t="s">
        <v>20</v>
      </c>
      <c r="N33" s="8"/>
      <c r="O33" s="9" t="s">
        <v>1219</v>
      </c>
      <c r="P33" s="9" t="s">
        <v>1214</v>
      </c>
      <c r="Q33" s="10">
        <v>46238</v>
      </c>
      <c r="R33" s="9" t="s">
        <v>14</v>
      </c>
      <c r="S33" s="19"/>
    </row>
    <row r="34" spans="1:19" ht="54" customHeight="1" x14ac:dyDescent="0.25">
      <c r="A34" s="16" t="s">
        <v>23</v>
      </c>
      <c r="B34" s="9" t="s">
        <v>216</v>
      </c>
      <c r="C34" s="9" t="s">
        <v>18</v>
      </c>
      <c r="D34" s="9" t="s">
        <v>217</v>
      </c>
      <c r="E34" s="9" t="s">
        <v>218</v>
      </c>
      <c r="F34" s="9" t="s">
        <v>67</v>
      </c>
      <c r="G34" s="9" t="s">
        <v>219</v>
      </c>
      <c r="H34" s="9" t="s">
        <v>220</v>
      </c>
      <c r="I34" s="8" t="s">
        <v>30</v>
      </c>
      <c r="J34" s="8" t="s">
        <v>174</v>
      </c>
      <c r="K34" s="8" t="s">
        <v>175</v>
      </c>
      <c r="L34" s="8" t="s">
        <v>22</v>
      </c>
      <c r="M34" s="8" t="s">
        <v>20</v>
      </c>
      <c r="N34" s="8"/>
      <c r="O34" s="9" t="s">
        <v>1220</v>
      </c>
      <c r="P34" s="9" t="s">
        <v>1214</v>
      </c>
      <c r="Q34" s="10">
        <v>46238</v>
      </c>
      <c r="R34" s="9" t="s">
        <v>14</v>
      </c>
      <c r="S34" s="19"/>
    </row>
    <row r="35" spans="1:19" ht="54" customHeight="1" x14ac:dyDescent="0.25">
      <c r="A35" s="16" t="s">
        <v>23</v>
      </c>
      <c r="B35" s="9" t="s">
        <v>221</v>
      </c>
      <c r="C35" s="9" t="s">
        <v>18</v>
      </c>
      <c r="D35" s="9" t="s">
        <v>217</v>
      </c>
      <c r="E35" s="9" t="s">
        <v>222</v>
      </c>
      <c r="F35" s="9" t="s">
        <v>67</v>
      </c>
      <c r="G35" s="9" t="s">
        <v>223</v>
      </c>
      <c r="H35" s="9" t="s">
        <v>224</v>
      </c>
      <c r="I35" s="8" t="s">
        <v>11</v>
      </c>
      <c r="J35" s="8" t="s">
        <v>35</v>
      </c>
      <c r="K35" s="8" t="s">
        <v>175</v>
      </c>
      <c r="L35" s="8" t="s">
        <v>22</v>
      </c>
      <c r="M35" s="8" t="s">
        <v>20</v>
      </c>
      <c r="N35" s="8"/>
      <c r="O35" s="9" t="s">
        <v>1220</v>
      </c>
      <c r="P35" s="9" t="s">
        <v>1214</v>
      </c>
      <c r="Q35" s="10">
        <v>46238</v>
      </c>
      <c r="R35" s="9" t="s">
        <v>14</v>
      </c>
      <c r="S35" s="19"/>
    </row>
    <row r="36" spans="1:19" ht="54" customHeight="1" x14ac:dyDescent="0.25">
      <c r="A36" s="16" t="s">
        <v>23</v>
      </c>
      <c r="B36" s="9" t="s">
        <v>225</v>
      </c>
      <c r="C36" s="9" t="s">
        <v>18</v>
      </c>
      <c r="D36" s="9" t="s">
        <v>217</v>
      </c>
      <c r="E36" s="9" t="s">
        <v>226</v>
      </c>
      <c r="F36" s="9" t="s">
        <v>67</v>
      </c>
      <c r="G36" s="9" t="s">
        <v>227</v>
      </c>
      <c r="H36" s="9" t="s">
        <v>228</v>
      </c>
      <c r="I36" s="8" t="s">
        <v>11</v>
      </c>
      <c r="J36" s="8" t="s">
        <v>110</v>
      </c>
      <c r="K36" s="8" t="s">
        <v>90</v>
      </c>
      <c r="L36" s="8" t="s">
        <v>12</v>
      </c>
      <c r="M36" s="8" t="s">
        <v>20</v>
      </c>
      <c r="N36" s="8"/>
      <c r="O36" s="9" t="s">
        <v>1220</v>
      </c>
      <c r="P36" s="9" t="s">
        <v>1214</v>
      </c>
      <c r="Q36" s="10">
        <v>46238</v>
      </c>
      <c r="R36" s="9" t="s">
        <v>14</v>
      </c>
      <c r="S36" s="19"/>
    </row>
    <row r="37" spans="1:19" ht="54" customHeight="1" x14ac:dyDescent="0.25">
      <c r="A37" s="16" t="s">
        <v>13</v>
      </c>
      <c r="B37" s="9" t="s">
        <v>229</v>
      </c>
      <c r="C37" s="9" t="s">
        <v>18</v>
      </c>
      <c r="D37" s="9" t="s">
        <v>217</v>
      </c>
      <c r="E37" s="9" t="s">
        <v>230</v>
      </c>
      <c r="F37" s="9" t="s">
        <v>67</v>
      </c>
      <c r="G37" s="9" t="s">
        <v>231</v>
      </c>
      <c r="H37" s="9" t="s">
        <v>232</v>
      </c>
      <c r="I37" s="8" t="s">
        <v>30</v>
      </c>
      <c r="J37" s="8" t="s">
        <v>174</v>
      </c>
      <c r="K37" s="8" t="s">
        <v>105</v>
      </c>
      <c r="L37" s="8" t="s">
        <v>31</v>
      </c>
      <c r="M37" s="8" t="s">
        <v>10</v>
      </c>
      <c r="N37" s="8"/>
      <c r="O37" s="9"/>
      <c r="P37" s="9"/>
      <c r="Q37" s="10"/>
      <c r="R37" s="9" t="s">
        <v>14</v>
      </c>
      <c r="S37" s="19"/>
    </row>
    <row r="38" spans="1:19" ht="54" customHeight="1" x14ac:dyDescent="0.25">
      <c r="A38" s="16" t="s">
        <v>23</v>
      </c>
      <c r="B38" s="9" t="s">
        <v>233</v>
      </c>
      <c r="C38" s="9" t="s">
        <v>18</v>
      </c>
      <c r="D38" s="9" t="s">
        <v>217</v>
      </c>
      <c r="E38" s="9" t="s">
        <v>234</v>
      </c>
      <c r="F38" s="9" t="s">
        <v>67</v>
      </c>
      <c r="G38" s="9" t="s">
        <v>235</v>
      </c>
      <c r="H38" s="9" t="s">
        <v>236</v>
      </c>
      <c r="I38" s="8" t="s">
        <v>30</v>
      </c>
      <c r="J38" s="8" t="s">
        <v>237</v>
      </c>
      <c r="K38" s="8" t="s">
        <v>238</v>
      </c>
      <c r="L38" s="8" t="s">
        <v>12</v>
      </c>
      <c r="M38" s="8" t="s">
        <v>20</v>
      </c>
      <c r="N38" s="8"/>
      <c r="O38" s="9" t="s">
        <v>1220</v>
      </c>
      <c r="P38" s="9" t="s">
        <v>1214</v>
      </c>
      <c r="Q38" s="10">
        <v>46238</v>
      </c>
      <c r="R38" s="9" t="s">
        <v>14</v>
      </c>
      <c r="S38" s="19"/>
    </row>
    <row r="39" spans="1:19" ht="54" customHeight="1" x14ac:dyDescent="0.25">
      <c r="A39" s="16" t="s">
        <v>23</v>
      </c>
      <c r="B39" s="9" t="s">
        <v>239</v>
      </c>
      <c r="C39" s="9" t="s">
        <v>18</v>
      </c>
      <c r="D39" s="9" t="s">
        <v>217</v>
      </c>
      <c r="E39" s="9" t="s">
        <v>240</v>
      </c>
      <c r="F39" s="9" t="s">
        <v>67</v>
      </c>
      <c r="G39" s="9" t="s">
        <v>241</v>
      </c>
      <c r="H39" s="9" t="s">
        <v>242</v>
      </c>
      <c r="I39" s="8" t="s">
        <v>11</v>
      </c>
      <c r="J39" s="8" t="s">
        <v>243</v>
      </c>
      <c r="K39" s="8" t="s">
        <v>175</v>
      </c>
      <c r="L39" s="8" t="s">
        <v>12</v>
      </c>
      <c r="M39" s="8" t="s">
        <v>20</v>
      </c>
      <c r="N39" s="8"/>
      <c r="O39" s="9" t="s">
        <v>1220</v>
      </c>
      <c r="P39" s="9" t="s">
        <v>1214</v>
      </c>
      <c r="Q39" s="10">
        <v>46238</v>
      </c>
      <c r="R39" s="9" t="s">
        <v>14</v>
      </c>
      <c r="S39" s="19"/>
    </row>
    <row r="40" spans="1:19" ht="54" customHeight="1" x14ac:dyDescent="0.25">
      <c r="A40" s="16" t="s">
        <v>13</v>
      </c>
      <c r="B40" s="9" t="s">
        <v>244</v>
      </c>
      <c r="C40" s="9" t="s">
        <v>18</v>
      </c>
      <c r="D40" s="9" t="s">
        <v>217</v>
      </c>
      <c r="E40" s="9" t="s">
        <v>245</v>
      </c>
      <c r="F40" s="9" t="s">
        <v>67</v>
      </c>
      <c r="G40" s="9" t="s">
        <v>246</v>
      </c>
      <c r="H40" s="9" t="s">
        <v>247</v>
      </c>
      <c r="I40" s="8" t="s">
        <v>30</v>
      </c>
      <c r="J40" s="8" t="s">
        <v>189</v>
      </c>
      <c r="K40" s="8" t="s">
        <v>175</v>
      </c>
      <c r="L40" s="8" t="s">
        <v>22</v>
      </c>
      <c r="M40" s="8" t="s">
        <v>10</v>
      </c>
      <c r="N40" s="8"/>
      <c r="O40" s="9"/>
      <c r="P40" s="9"/>
      <c r="Q40" s="10"/>
      <c r="R40" s="9" t="s">
        <v>14</v>
      </c>
      <c r="S40" s="19"/>
    </row>
    <row r="41" spans="1:19" ht="54" customHeight="1" x14ac:dyDescent="0.25">
      <c r="A41" s="16" t="s">
        <v>23</v>
      </c>
      <c r="B41" s="9" t="s">
        <v>248</v>
      </c>
      <c r="C41" s="9" t="s">
        <v>18</v>
      </c>
      <c r="D41" s="9" t="s">
        <v>217</v>
      </c>
      <c r="E41" s="9" t="s">
        <v>249</v>
      </c>
      <c r="F41" s="9" t="s">
        <v>67</v>
      </c>
      <c r="G41" s="9" t="s">
        <v>250</v>
      </c>
      <c r="H41" s="9" t="s">
        <v>251</v>
      </c>
      <c r="I41" s="8" t="s">
        <v>30</v>
      </c>
      <c r="J41" s="8" t="s">
        <v>189</v>
      </c>
      <c r="K41" s="8" t="s">
        <v>175</v>
      </c>
      <c r="L41" s="8" t="s">
        <v>12</v>
      </c>
      <c r="M41" s="8" t="s">
        <v>20</v>
      </c>
      <c r="N41" s="8"/>
      <c r="O41" s="9" t="s">
        <v>1220</v>
      </c>
      <c r="P41" s="9" t="s">
        <v>1214</v>
      </c>
      <c r="Q41" s="10">
        <v>46238</v>
      </c>
      <c r="R41" s="9" t="s">
        <v>14</v>
      </c>
      <c r="S41" s="19"/>
    </row>
    <row r="42" spans="1:19" ht="54" customHeight="1" x14ac:dyDescent="0.25">
      <c r="A42" s="16" t="s">
        <v>23</v>
      </c>
      <c r="B42" s="9" t="s">
        <v>252</v>
      </c>
      <c r="C42" s="9" t="s">
        <v>18</v>
      </c>
      <c r="D42" s="9" t="s">
        <v>217</v>
      </c>
      <c r="E42" s="9" t="s">
        <v>253</v>
      </c>
      <c r="F42" s="9" t="s">
        <v>67</v>
      </c>
      <c r="G42" s="9" t="s">
        <v>254</v>
      </c>
      <c r="H42" s="9" t="s">
        <v>255</v>
      </c>
      <c r="I42" s="8" t="s">
        <v>30</v>
      </c>
      <c r="J42" s="8" t="s">
        <v>189</v>
      </c>
      <c r="K42" s="8" t="s">
        <v>175</v>
      </c>
      <c r="L42" s="8" t="s">
        <v>12</v>
      </c>
      <c r="M42" s="8" t="s">
        <v>20</v>
      </c>
      <c r="N42" s="8"/>
      <c r="O42" s="9" t="s">
        <v>1220</v>
      </c>
      <c r="P42" s="9" t="s">
        <v>1214</v>
      </c>
      <c r="Q42" s="10">
        <v>46238</v>
      </c>
      <c r="R42" s="9" t="s">
        <v>14</v>
      </c>
      <c r="S42" s="19"/>
    </row>
    <row r="43" spans="1:19" ht="54" customHeight="1" x14ac:dyDescent="0.25">
      <c r="A43" s="16" t="s">
        <v>23</v>
      </c>
      <c r="B43" s="9" t="s">
        <v>256</v>
      </c>
      <c r="C43" s="9" t="s">
        <v>18</v>
      </c>
      <c r="D43" s="9" t="s">
        <v>217</v>
      </c>
      <c r="E43" s="9" t="s">
        <v>257</v>
      </c>
      <c r="F43" s="9" t="s">
        <v>67</v>
      </c>
      <c r="G43" s="9" t="s">
        <v>258</v>
      </c>
      <c r="H43" s="9" t="s">
        <v>259</v>
      </c>
      <c r="I43" s="8" t="s">
        <v>11</v>
      </c>
      <c r="J43" s="8" t="s">
        <v>260</v>
      </c>
      <c r="K43" s="8" t="s">
        <v>175</v>
      </c>
      <c r="L43" s="8" t="s">
        <v>22</v>
      </c>
      <c r="M43" s="8" t="s">
        <v>20</v>
      </c>
      <c r="N43" s="8"/>
      <c r="O43" s="9" t="s">
        <v>1220</v>
      </c>
      <c r="P43" s="9" t="s">
        <v>1214</v>
      </c>
      <c r="Q43" s="10">
        <v>46238</v>
      </c>
      <c r="R43" s="9" t="s">
        <v>14</v>
      </c>
      <c r="S43" s="19"/>
    </row>
    <row r="44" spans="1:19" ht="54" customHeight="1" x14ac:dyDescent="0.25">
      <c r="A44" s="16" t="s">
        <v>13</v>
      </c>
      <c r="B44" s="9" t="s">
        <v>261</v>
      </c>
      <c r="C44" s="9" t="s">
        <v>18</v>
      </c>
      <c r="D44" s="9" t="s">
        <v>217</v>
      </c>
      <c r="E44" s="9" t="s">
        <v>262</v>
      </c>
      <c r="F44" s="9" t="s">
        <v>67</v>
      </c>
      <c r="G44" s="9" t="s">
        <v>263</v>
      </c>
      <c r="H44" s="9" t="s">
        <v>264</v>
      </c>
      <c r="I44" s="8" t="s">
        <v>11</v>
      </c>
      <c r="J44" s="8" t="s">
        <v>265</v>
      </c>
      <c r="K44" s="8" t="s">
        <v>175</v>
      </c>
      <c r="L44" s="8" t="s">
        <v>22</v>
      </c>
      <c r="M44" s="8" t="s">
        <v>10</v>
      </c>
      <c r="N44" s="8"/>
      <c r="O44" s="9"/>
      <c r="P44" s="9"/>
      <c r="Q44" s="10"/>
      <c r="R44" s="9" t="s">
        <v>14</v>
      </c>
      <c r="S44" s="19"/>
    </row>
    <row r="45" spans="1:19" ht="54" customHeight="1" x14ac:dyDescent="0.25">
      <c r="A45" s="16" t="s">
        <v>23</v>
      </c>
      <c r="B45" s="9" t="s">
        <v>266</v>
      </c>
      <c r="C45" s="9" t="s">
        <v>18</v>
      </c>
      <c r="D45" s="9" t="s">
        <v>217</v>
      </c>
      <c r="E45" s="9" t="s">
        <v>267</v>
      </c>
      <c r="F45" s="9" t="s">
        <v>67</v>
      </c>
      <c r="G45" s="9" t="s">
        <v>268</v>
      </c>
      <c r="H45" s="9" t="s">
        <v>269</v>
      </c>
      <c r="I45" s="8" t="s">
        <v>30</v>
      </c>
      <c r="J45" s="8" t="s">
        <v>35</v>
      </c>
      <c r="K45" s="8" t="s">
        <v>175</v>
      </c>
      <c r="L45" s="8" t="s">
        <v>22</v>
      </c>
      <c r="M45" s="8" t="s">
        <v>20</v>
      </c>
      <c r="N45" s="8"/>
      <c r="O45" s="9" t="s">
        <v>1220</v>
      </c>
      <c r="P45" s="9" t="s">
        <v>1214</v>
      </c>
      <c r="Q45" s="10">
        <v>46238</v>
      </c>
      <c r="R45" s="9" t="s">
        <v>14</v>
      </c>
      <c r="S45" s="19"/>
    </row>
    <row r="46" spans="1:19" ht="54" customHeight="1" x14ac:dyDescent="0.25">
      <c r="A46" s="16" t="s">
        <v>23</v>
      </c>
      <c r="B46" s="9" t="s">
        <v>270</v>
      </c>
      <c r="C46" s="9" t="s">
        <v>18</v>
      </c>
      <c r="D46" s="9" t="s">
        <v>217</v>
      </c>
      <c r="E46" s="9" t="s">
        <v>271</v>
      </c>
      <c r="F46" s="9" t="s">
        <v>67</v>
      </c>
      <c r="G46" s="9" t="s">
        <v>272</v>
      </c>
      <c r="H46" s="9" t="s">
        <v>273</v>
      </c>
      <c r="I46" s="8" t="s">
        <v>37</v>
      </c>
      <c r="J46" s="8" t="s">
        <v>274</v>
      </c>
      <c r="K46" s="8" t="s">
        <v>238</v>
      </c>
      <c r="L46" s="8" t="s">
        <v>12</v>
      </c>
      <c r="M46" s="8" t="s">
        <v>20</v>
      </c>
      <c r="N46" s="8"/>
      <c r="O46" s="9" t="s">
        <v>1220</v>
      </c>
      <c r="P46" s="9" t="s">
        <v>1214</v>
      </c>
      <c r="Q46" s="10">
        <v>46238</v>
      </c>
      <c r="R46" s="9" t="s">
        <v>14</v>
      </c>
      <c r="S46" s="19"/>
    </row>
    <row r="47" spans="1:19" ht="54" customHeight="1" x14ac:dyDescent="0.25">
      <c r="A47" s="16" t="s">
        <v>13</v>
      </c>
      <c r="B47" s="9" t="s">
        <v>275</v>
      </c>
      <c r="C47" s="9" t="s">
        <v>18</v>
      </c>
      <c r="D47" s="9" t="s">
        <v>217</v>
      </c>
      <c r="E47" s="9" t="s">
        <v>276</v>
      </c>
      <c r="F47" s="9" t="s">
        <v>67</v>
      </c>
      <c r="G47" s="9" t="s">
        <v>277</v>
      </c>
      <c r="H47" s="9" t="s">
        <v>278</v>
      </c>
      <c r="I47" s="8" t="s">
        <v>37</v>
      </c>
      <c r="J47" s="8" t="s">
        <v>274</v>
      </c>
      <c r="K47" s="8" t="s">
        <v>238</v>
      </c>
      <c r="L47" s="8" t="s">
        <v>31</v>
      </c>
      <c r="M47" s="8" t="s">
        <v>10</v>
      </c>
      <c r="N47" s="8"/>
      <c r="O47" s="9"/>
      <c r="P47" s="9"/>
      <c r="Q47" s="10"/>
      <c r="R47" s="9" t="s">
        <v>14</v>
      </c>
      <c r="S47" s="19"/>
    </row>
    <row r="48" spans="1:19" ht="54" customHeight="1" x14ac:dyDescent="0.25">
      <c r="A48" s="16" t="s">
        <v>23</v>
      </c>
      <c r="B48" s="9" t="s">
        <v>279</v>
      </c>
      <c r="C48" s="9" t="s">
        <v>18</v>
      </c>
      <c r="D48" s="9" t="s">
        <v>217</v>
      </c>
      <c r="E48" s="9" t="s">
        <v>280</v>
      </c>
      <c r="F48" s="9" t="s">
        <v>67</v>
      </c>
      <c r="G48" s="9" t="s">
        <v>281</v>
      </c>
      <c r="H48" s="9" t="s">
        <v>282</v>
      </c>
      <c r="I48" s="8" t="s">
        <v>11</v>
      </c>
      <c r="J48" s="8" t="s">
        <v>274</v>
      </c>
      <c r="K48" s="8" t="s">
        <v>283</v>
      </c>
      <c r="L48" s="8" t="s">
        <v>12</v>
      </c>
      <c r="M48" s="8" t="s">
        <v>20</v>
      </c>
      <c r="N48" s="8"/>
      <c r="O48" s="9" t="s">
        <v>1220</v>
      </c>
      <c r="P48" s="9" t="s">
        <v>1214</v>
      </c>
      <c r="Q48" s="10">
        <v>46238</v>
      </c>
      <c r="R48" s="9" t="s">
        <v>14</v>
      </c>
      <c r="S48" s="19"/>
    </row>
    <row r="49" spans="1:19" ht="54" customHeight="1" x14ac:dyDescent="0.25">
      <c r="A49" s="16" t="s">
        <v>13</v>
      </c>
      <c r="B49" s="9" t="s">
        <v>284</v>
      </c>
      <c r="C49" s="9" t="s">
        <v>18</v>
      </c>
      <c r="D49" s="9" t="s">
        <v>217</v>
      </c>
      <c r="E49" s="9" t="s">
        <v>285</v>
      </c>
      <c r="F49" s="9" t="s">
        <v>67</v>
      </c>
      <c r="G49" s="9" t="s">
        <v>286</v>
      </c>
      <c r="H49" s="9" t="s">
        <v>287</v>
      </c>
      <c r="I49" s="8" t="s">
        <v>30</v>
      </c>
      <c r="J49" s="8" t="s">
        <v>288</v>
      </c>
      <c r="K49" s="8" t="s">
        <v>283</v>
      </c>
      <c r="L49" s="8" t="s">
        <v>22</v>
      </c>
      <c r="M49" s="8" t="s">
        <v>10</v>
      </c>
      <c r="N49" s="8"/>
      <c r="O49" s="9"/>
      <c r="P49" s="9"/>
      <c r="Q49" s="10"/>
      <c r="R49" s="9" t="s">
        <v>14</v>
      </c>
      <c r="S49" s="19"/>
    </row>
    <row r="50" spans="1:19" ht="54" customHeight="1" x14ac:dyDescent="0.25">
      <c r="A50" s="16" t="s">
        <v>23</v>
      </c>
      <c r="B50" s="9" t="s">
        <v>289</v>
      </c>
      <c r="C50" s="9" t="s">
        <v>18</v>
      </c>
      <c r="D50" s="9" t="s">
        <v>290</v>
      </c>
      <c r="E50" s="9" t="s">
        <v>291</v>
      </c>
      <c r="F50" s="9" t="s">
        <v>67</v>
      </c>
      <c r="G50" s="9" t="s">
        <v>292</v>
      </c>
      <c r="H50" s="9" t="s">
        <v>293</v>
      </c>
      <c r="I50" s="8" t="s">
        <v>11</v>
      </c>
      <c r="J50" s="8" t="s">
        <v>294</v>
      </c>
      <c r="K50" s="8" t="s">
        <v>90</v>
      </c>
      <c r="L50" s="8" t="s">
        <v>12</v>
      </c>
      <c r="M50" s="8" t="s">
        <v>20</v>
      </c>
      <c r="N50" s="8"/>
      <c r="O50" s="9" t="s">
        <v>1444</v>
      </c>
      <c r="P50" s="9" t="s">
        <v>1214</v>
      </c>
      <c r="Q50" s="10">
        <v>46238</v>
      </c>
      <c r="R50" s="9" t="s">
        <v>14</v>
      </c>
      <c r="S50" s="19"/>
    </row>
    <row r="51" spans="1:19" ht="54" customHeight="1" x14ac:dyDescent="0.25">
      <c r="A51" s="16" t="s">
        <v>23</v>
      </c>
      <c r="B51" s="9" t="s">
        <v>295</v>
      </c>
      <c r="C51" s="9" t="s">
        <v>18</v>
      </c>
      <c r="D51" s="9" t="s">
        <v>290</v>
      </c>
      <c r="E51" s="9" t="s">
        <v>296</v>
      </c>
      <c r="F51" s="9" t="s">
        <v>67</v>
      </c>
      <c r="G51" s="9" t="s">
        <v>297</v>
      </c>
      <c r="H51" s="9" t="s">
        <v>298</v>
      </c>
      <c r="I51" s="8" t="s">
        <v>11</v>
      </c>
      <c r="J51" s="8" t="s">
        <v>28</v>
      </c>
      <c r="K51" s="8" t="s">
        <v>90</v>
      </c>
      <c r="L51" s="8" t="s">
        <v>12</v>
      </c>
      <c r="M51" s="8" t="s">
        <v>20</v>
      </c>
      <c r="N51" s="8"/>
      <c r="O51" s="9" t="s">
        <v>1444</v>
      </c>
      <c r="P51" s="9" t="s">
        <v>1214</v>
      </c>
      <c r="Q51" s="10">
        <v>46238</v>
      </c>
      <c r="R51" s="9" t="s">
        <v>14</v>
      </c>
      <c r="S51" s="19"/>
    </row>
    <row r="52" spans="1:19" ht="54" customHeight="1" x14ac:dyDescent="0.25">
      <c r="A52" s="16" t="s">
        <v>23</v>
      </c>
      <c r="B52" s="9" t="s">
        <v>299</v>
      </c>
      <c r="C52" s="9" t="s">
        <v>18</v>
      </c>
      <c r="D52" s="9" t="s">
        <v>290</v>
      </c>
      <c r="E52" s="9" t="s">
        <v>300</v>
      </c>
      <c r="F52" s="9" t="s">
        <v>67</v>
      </c>
      <c r="G52" s="9" t="s">
        <v>301</v>
      </c>
      <c r="H52" s="9" t="s">
        <v>302</v>
      </c>
      <c r="I52" s="8" t="s">
        <v>11</v>
      </c>
      <c r="J52" s="8" t="s">
        <v>110</v>
      </c>
      <c r="K52" s="8" t="s">
        <v>90</v>
      </c>
      <c r="L52" s="8" t="s">
        <v>12</v>
      </c>
      <c r="M52" s="8" t="s">
        <v>20</v>
      </c>
      <c r="N52" s="8"/>
      <c r="O52" s="9" t="s">
        <v>1444</v>
      </c>
      <c r="P52" s="9" t="s">
        <v>1214</v>
      </c>
      <c r="Q52" s="10">
        <v>46238</v>
      </c>
      <c r="R52" s="9" t="s">
        <v>14</v>
      </c>
      <c r="S52" s="19"/>
    </row>
    <row r="53" spans="1:19" ht="54" customHeight="1" x14ac:dyDescent="0.25">
      <c r="A53" s="16" t="s">
        <v>23</v>
      </c>
      <c r="B53" s="9" t="s">
        <v>303</v>
      </c>
      <c r="C53" s="9" t="s">
        <v>18</v>
      </c>
      <c r="D53" s="9" t="s">
        <v>290</v>
      </c>
      <c r="E53" s="9" t="s">
        <v>304</v>
      </c>
      <c r="F53" s="9" t="s">
        <v>67</v>
      </c>
      <c r="G53" s="9" t="s">
        <v>305</v>
      </c>
      <c r="H53" s="9" t="s">
        <v>302</v>
      </c>
      <c r="I53" s="8" t="s">
        <v>11</v>
      </c>
      <c r="J53" s="8" t="s">
        <v>110</v>
      </c>
      <c r="K53" s="8" t="s">
        <v>90</v>
      </c>
      <c r="L53" s="8" t="s">
        <v>12</v>
      </c>
      <c r="M53" s="8" t="s">
        <v>20</v>
      </c>
      <c r="N53" s="8"/>
      <c r="O53" s="9" t="s">
        <v>1444</v>
      </c>
      <c r="P53" s="9" t="s">
        <v>1214</v>
      </c>
      <c r="Q53" s="10">
        <v>46238</v>
      </c>
      <c r="R53" s="9" t="s">
        <v>14</v>
      </c>
      <c r="S53" s="19"/>
    </row>
    <row r="54" spans="1:19" ht="54" customHeight="1" x14ac:dyDescent="0.25">
      <c r="A54" s="16" t="s">
        <v>23</v>
      </c>
      <c r="B54" s="9" t="s">
        <v>306</v>
      </c>
      <c r="C54" s="9" t="s">
        <v>18</v>
      </c>
      <c r="D54" s="9" t="s">
        <v>290</v>
      </c>
      <c r="E54" s="9" t="s">
        <v>307</v>
      </c>
      <c r="F54" s="9" t="s">
        <v>67</v>
      </c>
      <c r="G54" s="9" t="s">
        <v>308</v>
      </c>
      <c r="H54" s="9" t="s">
        <v>302</v>
      </c>
      <c r="I54" s="8" t="s">
        <v>11</v>
      </c>
      <c r="J54" s="8" t="s">
        <v>110</v>
      </c>
      <c r="K54" s="8" t="s">
        <v>90</v>
      </c>
      <c r="L54" s="8" t="s">
        <v>12</v>
      </c>
      <c r="M54" s="8" t="s">
        <v>20</v>
      </c>
      <c r="N54" s="8"/>
      <c r="O54" s="9" t="s">
        <v>1444</v>
      </c>
      <c r="P54" s="9" t="s">
        <v>1214</v>
      </c>
      <c r="Q54" s="10">
        <v>46238</v>
      </c>
      <c r="R54" s="9" t="s">
        <v>14</v>
      </c>
      <c r="S54" s="19"/>
    </row>
    <row r="55" spans="1:19" ht="54" customHeight="1" x14ac:dyDescent="0.25">
      <c r="A55" s="16" t="s">
        <v>23</v>
      </c>
      <c r="B55" s="9" t="s">
        <v>309</v>
      </c>
      <c r="C55" s="9" t="s">
        <v>18</v>
      </c>
      <c r="D55" s="9" t="s">
        <v>290</v>
      </c>
      <c r="E55" s="9" t="s">
        <v>310</v>
      </c>
      <c r="F55" s="9" t="s">
        <v>67</v>
      </c>
      <c r="G55" s="9" t="s">
        <v>311</v>
      </c>
      <c r="H55" s="9" t="s">
        <v>302</v>
      </c>
      <c r="I55" s="8" t="s">
        <v>11</v>
      </c>
      <c r="J55" s="8" t="s">
        <v>110</v>
      </c>
      <c r="K55" s="8" t="s">
        <v>90</v>
      </c>
      <c r="L55" s="8" t="s">
        <v>12</v>
      </c>
      <c r="M55" s="8" t="s">
        <v>20</v>
      </c>
      <c r="N55" s="8"/>
      <c r="O55" s="9" t="s">
        <v>1444</v>
      </c>
      <c r="P55" s="9" t="s">
        <v>1214</v>
      </c>
      <c r="Q55" s="10">
        <v>46238</v>
      </c>
      <c r="R55" s="9" t="s">
        <v>14</v>
      </c>
      <c r="S55" s="19"/>
    </row>
    <row r="56" spans="1:19" ht="54" customHeight="1" x14ac:dyDescent="0.25">
      <c r="A56" s="16" t="s">
        <v>23</v>
      </c>
      <c r="B56" s="9" t="s">
        <v>312</v>
      </c>
      <c r="C56" s="9" t="s">
        <v>18</v>
      </c>
      <c r="D56" s="9" t="s">
        <v>290</v>
      </c>
      <c r="E56" s="9" t="s">
        <v>313</v>
      </c>
      <c r="F56" s="9" t="s">
        <v>67</v>
      </c>
      <c r="G56" s="9" t="s">
        <v>314</v>
      </c>
      <c r="H56" s="9" t="s">
        <v>315</v>
      </c>
      <c r="I56" s="8" t="s">
        <v>11</v>
      </c>
      <c r="J56" s="8" t="s">
        <v>316</v>
      </c>
      <c r="K56" s="8" t="s">
        <v>317</v>
      </c>
      <c r="L56" s="8" t="s">
        <v>12</v>
      </c>
      <c r="M56" s="8" t="s">
        <v>20</v>
      </c>
      <c r="N56" s="8"/>
      <c r="O56" s="9" t="s">
        <v>1444</v>
      </c>
      <c r="P56" s="9" t="s">
        <v>1214</v>
      </c>
      <c r="Q56" s="10">
        <v>46238</v>
      </c>
      <c r="R56" s="9" t="s">
        <v>14</v>
      </c>
      <c r="S56" s="19"/>
    </row>
    <row r="57" spans="1:19" ht="54" customHeight="1" x14ac:dyDescent="0.25">
      <c r="A57" s="16" t="s">
        <v>23</v>
      </c>
      <c r="B57" s="9" t="s">
        <v>318</v>
      </c>
      <c r="C57" s="9" t="s">
        <v>18</v>
      </c>
      <c r="D57" s="9" t="s">
        <v>290</v>
      </c>
      <c r="E57" s="9" t="s">
        <v>319</v>
      </c>
      <c r="F57" s="9" t="s">
        <v>67</v>
      </c>
      <c r="G57" s="9" t="s">
        <v>320</v>
      </c>
      <c r="H57" s="9" t="s">
        <v>321</v>
      </c>
      <c r="I57" s="8" t="s">
        <v>11</v>
      </c>
      <c r="J57" s="8" t="s">
        <v>322</v>
      </c>
      <c r="K57" s="8" t="s">
        <v>317</v>
      </c>
      <c r="L57" s="8" t="s">
        <v>22</v>
      </c>
      <c r="M57" s="8" t="s">
        <v>20</v>
      </c>
      <c r="N57" s="8"/>
      <c r="O57" s="9" t="s">
        <v>1441</v>
      </c>
      <c r="P57" s="9" t="s">
        <v>1214</v>
      </c>
      <c r="Q57" s="10">
        <v>46238</v>
      </c>
      <c r="R57" s="9" t="s">
        <v>14</v>
      </c>
      <c r="S57" s="19" t="s">
        <v>1442</v>
      </c>
    </row>
    <row r="58" spans="1:19" ht="54" customHeight="1" x14ac:dyDescent="0.25">
      <c r="A58" s="16" t="s">
        <v>23</v>
      </c>
      <c r="B58" s="9" t="s">
        <v>323</v>
      </c>
      <c r="C58" s="9" t="s">
        <v>18</v>
      </c>
      <c r="D58" s="9" t="s">
        <v>290</v>
      </c>
      <c r="E58" s="9" t="s">
        <v>324</v>
      </c>
      <c r="F58" s="9" t="s">
        <v>67</v>
      </c>
      <c r="G58" s="9" t="s">
        <v>325</v>
      </c>
      <c r="H58" s="9" t="s">
        <v>326</v>
      </c>
      <c r="I58" s="8" t="s">
        <v>30</v>
      </c>
      <c r="J58" s="8" t="s">
        <v>322</v>
      </c>
      <c r="K58" s="8" t="s">
        <v>317</v>
      </c>
      <c r="L58" s="8" t="s">
        <v>12</v>
      </c>
      <c r="M58" s="8" t="s">
        <v>20</v>
      </c>
      <c r="N58" s="8"/>
      <c r="O58" s="9" t="s">
        <v>1444</v>
      </c>
      <c r="P58" s="9" t="s">
        <v>1214</v>
      </c>
      <c r="Q58" s="10">
        <v>46238</v>
      </c>
      <c r="R58" s="9" t="s">
        <v>14</v>
      </c>
      <c r="S58" s="19"/>
    </row>
    <row r="59" spans="1:19" ht="54" customHeight="1" x14ac:dyDescent="0.25">
      <c r="A59" s="16" t="s">
        <v>23</v>
      </c>
      <c r="B59" s="9" t="s">
        <v>327</v>
      </c>
      <c r="C59" s="9" t="s">
        <v>18</v>
      </c>
      <c r="D59" s="9" t="s">
        <v>290</v>
      </c>
      <c r="E59" s="9" t="s">
        <v>328</v>
      </c>
      <c r="F59" s="9" t="s">
        <v>67</v>
      </c>
      <c r="G59" s="9" t="s">
        <v>329</v>
      </c>
      <c r="H59" s="9" t="s">
        <v>330</v>
      </c>
      <c r="I59" s="8" t="s">
        <v>30</v>
      </c>
      <c r="J59" s="8" t="s">
        <v>142</v>
      </c>
      <c r="K59" s="8" t="s">
        <v>90</v>
      </c>
      <c r="L59" s="8" t="s">
        <v>12</v>
      </c>
      <c r="M59" s="8" t="s">
        <v>20</v>
      </c>
      <c r="N59" s="8"/>
      <c r="O59" s="9" t="s">
        <v>1444</v>
      </c>
      <c r="P59" s="9" t="s">
        <v>1214</v>
      </c>
      <c r="Q59" s="10">
        <v>46238</v>
      </c>
      <c r="R59" s="9" t="s">
        <v>14</v>
      </c>
      <c r="S59" s="19"/>
    </row>
    <row r="60" spans="1:19" ht="54" customHeight="1" x14ac:dyDescent="0.25">
      <c r="A60" s="16" t="s">
        <v>23</v>
      </c>
      <c r="B60" s="9" t="s">
        <v>331</v>
      </c>
      <c r="C60" s="9" t="s">
        <v>18</v>
      </c>
      <c r="D60" s="9" t="s">
        <v>290</v>
      </c>
      <c r="E60" s="9" t="s">
        <v>332</v>
      </c>
      <c r="F60" s="9" t="s">
        <v>67</v>
      </c>
      <c r="G60" s="9" t="s">
        <v>333</v>
      </c>
      <c r="H60" s="9" t="s">
        <v>334</v>
      </c>
      <c r="I60" s="8" t="s">
        <v>11</v>
      </c>
      <c r="J60" s="8" t="s">
        <v>316</v>
      </c>
      <c r="K60" s="8" t="s">
        <v>317</v>
      </c>
      <c r="L60" s="8" t="s">
        <v>12</v>
      </c>
      <c r="M60" s="8" t="s">
        <v>20</v>
      </c>
      <c r="N60" s="8"/>
      <c r="O60" s="9" t="s">
        <v>1444</v>
      </c>
      <c r="P60" s="9" t="s">
        <v>1214</v>
      </c>
      <c r="Q60" s="10">
        <v>46238</v>
      </c>
      <c r="R60" s="9" t="s">
        <v>14</v>
      </c>
      <c r="S60" s="19"/>
    </row>
    <row r="61" spans="1:19" ht="54" customHeight="1" x14ac:dyDescent="0.25">
      <c r="A61" s="16" t="s">
        <v>23</v>
      </c>
      <c r="B61" s="9" t="s">
        <v>335</v>
      </c>
      <c r="C61" s="9" t="s">
        <v>18</v>
      </c>
      <c r="D61" s="9" t="s">
        <v>290</v>
      </c>
      <c r="E61" s="9" t="s">
        <v>336</v>
      </c>
      <c r="F61" s="9" t="s">
        <v>67</v>
      </c>
      <c r="G61" s="9" t="s">
        <v>337</v>
      </c>
      <c r="H61" s="9" t="s">
        <v>338</v>
      </c>
      <c r="I61" s="8" t="s">
        <v>30</v>
      </c>
      <c r="J61" s="8" t="s">
        <v>316</v>
      </c>
      <c r="K61" s="8" t="s">
        <v>317</v>
      </c>
      <c r="L61" s="8" t="s">
        <v>22</v>
      </c>
      <c r="M61" s="8" t="s">
        <v>20</v>
      </c>
      <c r="N61" s="8"/>
      <c r="O61" s="9" t="s">
        <v>1444</v>
      </c>
      <c r="P61" s="9" t="s">
        <v>1214</v>
      </c>
      <c r="Q61" s="10">
        <v>46238</v>
      </c>
      <c r="R61" s="9" t="s">
        <v>14</v>
      </c>
      <c r="S61" s="19"/>
    </row>
    <row r="62" spans="1:19" ht="54" customHeight="1" x14ac:dyDescent="0.25">
      <c r="A62" s="16" t="s">
        <v>23</v>
      </c>
      <c r="B62" s="9" t="s">
        <v>339</v>
      </c>
      <c r="C62" s="9" t="s">
        <v>18</v>
      </c>
      <c r="D62" s="9" t="s">
        <v>290</v>
      </c>
      <c r="E62" s="9" t="s">
        <v>340</v>
      </c>
      <c r="F62" s="9" t="s">
        <v>67</v>
      </c>
      <c r="G62" s="9" t="s">
        <v>341</v>
      </c>
      <c r="H62" s="9" t="s">
        <v>342</v>
      </c>
      <c r="I62" s="8" t="s">
        <v>11</v>
      </c>
      <c r="J62" s="8" t="s">
        <v>243</v>
      </c>
      <c r="K62" s="8" t="s">
        <v>175</v>
      </c>
      <c r="L62" s="8" t="s">
        <v>12</v>
      </c>
      <c r="M62" s="8" t="s">
        <v>20</v>
      </c>
      <c r="N62" s="8"/>
      <c r="O62" s="9" t="s">
        <v>1444</v>
      </c>
      <c r="P62" s="9" t="s">
        <v>1214</v>
      </c>
      <c r="Q62" s="10">
        <v>46238</v>
      </c>
      <c r="R62" s="9" t="s">
        <v>14</v>
      </c>
      <c r="S62" s="19"/>
    </row>
    <row r="63" spans="1:19" ht="54" customHeight="1" x14ac:dyDescent="0.25">
      <c r="A63" s="16" t="s">
        <v>23</v>
      </c>
      <c r="B63" s="9" t="s">
        <v>343</v>
      </c>
      <c r="C63" s="9" t="s">
        <v>18</v>
      </c>
      <c r="D63" s="9" t="s">
        <v>290</v>
      </c>
      <c r="E63" s="9" t="s">
        <v>344</v>
      </c>
      <c r="F63" s="9" t="s">
        <v>67</v>
      </c>
      <c r="G63" s="9" t="s">
        <v>345</v>
      </c>
      <c r="H63" s="9" t="s">
        <v>346</v>
      </c>
      <c r="I63" s="8" t="s">
        <v>11</v>
      </c>
      <c r="J63" s="8" t="s">
        <v>44</v>
      </c>
      <c r="K63" s="8" t="s">
        <v>347</v>
      </c>
      <c r="L63" s="8" t="s">
        <v>22</v>
      </c>
      <c r="M63" s="8" t="s">
        <v>20</v>
      </c>
      <c r="N63" s="8"/>
      <c r="O63" s="9" t="s">
        <v>1444</v>
      </c>
      <c r="P63" s="9" t="s">
        <v>1214</v>
      </c>
      <c r="Q63" s="10">
        <v>46238</v>
      </c>
      <c r="R63" s="9" t="s">
        <v>14</v>
      </c>
      <c r="S63" s="19"/>
    </row>
    <row r="64" spans="1:19" ht="54" customHeight="1" x14ac:dyDescent="0.25">
      <c r="A64" s="16" t="s">
        <v>23</v>
      </c>
      <c r="B64" s="9" t="s">
        <v>348</v>
      </c>
      <c r="C64" s="9" t="s">
        <v>18</v>
      </c>
      <c r="D64" s="9" t="s">
        <v>290</v>
      </c>
      <c r="E64" s="9" t="s">
        <v>349</v>
      </c>
      <c r="F64" s="9" t="s">
        <v>67</v>
      </c>
      <c r="G64" s="9" t="s">
        <v>350</v>
      </c>
      <c r="H64" s="9" t="s">
        <v>351</v>
      </c>
      <c r="I64" s="8" t="s">
        <v>11</v>
      </c>
      <c r="J64" s="8" t="s">
        <v>352</v>
      </c>
      <c r="K64" s="8" t="s">
        <v>90</v>
      </c>
      <c r="L64" s="8" t="s">
        <v>12</v>
      </c>
      <c r="M64" s="8" t="s">
        <v>20</v>
      </c>
      <c r="N64" s="8"/>
      <c r="O64" s="9" t="s">
        <v>1444</v>
      </c>
      <c r="P64" s="9" t="s">
        <v>1214</v>
      </c>
      <c r="Q64" s="10">
        <v>46238</v>
      </c>
      <c r="R64" s="9" t="s">
        <v>14</v>
      </c>
      <c r="S64" s="19"/>
    </row>
    <row r="65" spans="1:19" ht="54" customHeight="1" x14ac:dyDescent="0.25">
      <c r="A65" s="16" t="s">
        <v>23</v>
      </c>
      <c r="B65" s="9" t="s">
        <v>353</v>
      </c>
      <c r="C65" s="9" t="s">
        <v>18</v>
      </c>
      <c r="D65" s="9" t="s">
        <v>290</v>
      </c>
      <c r="E65" s="9" t="s">
        <v>354</v>
      </c>
      <c r="F65" s="9" t="s">
        <v>67</v>
      </c>
      <c r="G65" s="9" t="s">
        <v>355</v>
      </c>
      <c r="H65" s="9" t="s">
        <v>356</v>
      </c>
      <c r="I65" s="8" t="s">
        <v>30</v>
      </c>
      <c r="J65" s="8" t="s">
        <v>168</v>
      </c>
      <c r="K65" s="8" t="s">
        <v>175</v>
      </c>
      <c r="L65" s="8" t="s">
        <v>12</v>
      </c>
      <c r="M65" s="8" t="s">
        <v>20</v>
      </c>
      <c r="N65" s="8"/>
      <c r="O65" s="9" t="s">
        <v>1444</v>
      </c>
      <c r="P65" s="9" t="s">
        <v>1214</v>
      </c>
      <c r="Q65" s="10">
        <v>46238</v>
      </c>
      <c r="R65" s="9" t="s">
        <v>14</v>
      </c>
      <c r="S65" s="19"/>
    </row>
    <row r="66" spans="1:19" ht="54" customHeight="1" x14ac:dyDescent="0.25">
      <c r="A66" s="16" t="s">
        <v>23</v>
      </c>
      <c r="B66" s="9" t="s">
        <v>357</v>
      </c>
      <c r="C66" s="9" t="s">
        <v>18</v>
      </c>
      <c r="D66" s="9" t="s">
        <v>290</v>
      </c>
      <c r="E66" s="9" t="s">
        <v>358</v>
      </c>
      <c r="F66" s="9" t="s">
        <v>67</v>
      </c>
      <c r="G66" s="9" t="s">
        <v>359</v>
      </c>
      <c r="H66" s="9" t="s">
        <v>360</v>
      </c>
      <c r="I66" s="8" t="s">
        <v>30</v>
      </c>
      <c r="J66" s="8" t="s">
        <v>168</v>
      </c>
      <c r="K66" s="8" t="s">
        <v>175</v>
      </c>
      <c r="L66" s="8" t="s">
        <v>12</v>
      </c>
      <c r="M66" s="8" t="s">
        <v>20</v>
      </c>
      <c r="N66" s="8"/>
      <c r="O66" s="9" t="s">
        <v>1444</v>
      </c>
      <c r="P66" s="9" t="s">
        <v>1214</v>
      </c>
      <c r="Q66" s="10">
        <v>46238</v>
      </c>
      <c r="R66" s="9" t="s">
        <v>14</v>
      </c>
      <c r="S66" s="19"/>
    </row>
    <row r="67" spans="1:19" ht="54" customHeight="1" x14ac:dyDescent="0.25">
      <c r="A67" s="16" t="s">
        <v>23</v>
      </c>
      <c r="B67" s="9" t="s">
        <v>361</v>
      </c>
      <c r="C67" s="9" t="s">
        <v>18</v>
      </c>
      <c r="D67" s="9" t="s">
        <v>290</v>
      </c>
      <c r="E67" s="9" t="s">
        <v>362</v>
      </c>
      <c r="F67" s="9" t="s">
        <v>67</v>
      </c>
      <c r="G67" s="9" t="s">
        <v>363</v>
      </c>
      <c r="H67" s="9" t="s">
        <v>364</v>
      </c>
      <c r="I67" s="8" t="s">
        <v>30</v>
      </c>
      <c r="J67" s="8" t="s">
        <v>168</v>
      </c>
      <c r="K67" s="8" t="s">
        <v>175</v>
      </c>
      <c r="L67" s="8" t="s">
        <v>12</v>
      </c>
      <c r="M67" s="8" t="s">
        <v>20</v>
      </c>
      <c r="N67" s="8"/>
      <c r="O67" s="9" t="s">
        <v>1444</v>
      </c>
      <c r="P67" s="9" t="s">
        <v>1214</v>
      </c>
      <c r="Q67" s="10">
        <v>46238</v>
      </c>
      <c r="R67" s="9" t="s">
        <v>14</v>
      </c>
      <c r="S67" s="19"/>
    </row>
    <row r="68" spans="1:19" ht="54" customHeight="1" x14ac:dyDescent="0.25">
      <c r="A68" s="16" t="s">
        <v>23</v>
      </c>
      <c r="B68" s="9" t="s">
        <v>365</v>
      </c>
      <c r="C68" s="9" t="s">
        <v>18</v>
      </c>
      <c r="D68" s="9" t="s">
        <v>366</v>
      </c>
      <c r="E68" s="9" t="s">
        <v>367</v>
      </c>
      <c r="F68" s="9" t="s">
        <v>67</v>
      </c>
      <c r="G68" s="9" t="s">
        <v>368</v>
      </c>
      <c r="H68" s="9" t="s">
        <v>369</v>
      </c>
      <c r="I68" s="8" t="s">
        <v>11</v>
      </c>
      <c r="J68" s="8" t="s">
        <v>44</v>
      </c>
      <c r="K68" s="8" t="s">
        <v>90</v>
      </c>
      <c r="L68" s="8" t="s">
        <v>12</v>
      </c>
      <c r="M68" s="8" t="s">
        <v>20</v>
      </c>
      <c r="N68" s="8"/>
      <c r="O68" s="9" t="s">
        <v>1221</v>
      </c>
      <c r="P68" s="9" t="s">
        <v>1214</v>
      </c>
      <c r="Q68" s="10">
        <v>46238</v>
      </c>
      <c r="R68" s="9" t="s">
        <v>14</v>
      </c>
      <c r="S68" s="19"/>
    </row>
    <row r="69" spans="1:19" ht="54" customHeight="1" x14ac:dyDescent="0.25">
      <c r="A69" s="16" t="s">
        <v>23</v>
      </c>
      <c r="B69" s="9" t="s">
        <v>370</v>
      </c>
      <c r="C69" s="9" t="s">
        <v>18</v>
      </c>
      <c r="D69" s="9" t="s">
        <v>366</v>
      </c>
      <c r="E69" s="9" t="s">
        <v>371</v>
      </c>
      <c r="F69" s="9" t="s">
        <v>67</v>
      </c>
      <c r="G69" s="9" t="s">
        <v>372</v>
      </c>
      <c r="H69" s="9" t="s">
        <v>373</v>
      </c>
      <c r="I69" s="8" t="s">
        <v>11</v>
      </c>
      <c r="J69" s="8" t="s">
        <v>374</v>
      </c>
      <c r="K69" s="8" t="s">
        <v>90</v>
      </c>
      <c r="L69" s="8" t="s">
        <v>12</v>
      </c>
      <c r="M69" s="8" t="s">
        <v>20</v>
      </c>
      <c r="N69" s="8"/>
      <c r="O69" s="9" t="s">
        <v>1221</v>
      </c>
      <c r="P69" s="9" t="s">
        <v>1214</v>
      </c>
      <c r="Q69" s="10">
        <v>46238</v>
      </c>
      <c r="R69" s="9" t="s">
        <v>14</v>
      </c>
      <c r="S69" s="19"/>
    </row>
    <row r="70" spans="1:19" ht="54" customHeight="1" x14ac:dyDescent="0.25">
      <c r="A70" s="16" t="s">
        <v>23</v>
      </c>
      <c r="B70" s="9" t="s">
        <v>375</v>
      </c>
      <c r="C70" s="9" t="s">
        <v>18</v>
      </c>
      <c r="D70" s="9" t="s">
        <v>366</v>
      </c>
      <c r="E70" s="9" t="s">
        <v>376</v>
      </c>
      <c r="F70" s="9" t="s">
        <v>67</v>
      </c>
      <c r="G70" s="9" t="s">
        <v>377</v>
      </c>
      <c r="H70" s="9" t="s">
        <v>378</v>
      </c>
      <c r="I70" s="8" t="s">
        <v>11</v>
      </c>
      <c r="J70" s="8" t="s">
        <v>374</v>
      </c>
      <c r="K70" s="8" t="s">
        <v>90</v>
      </c>
      <c r="L70" s="8" t="s">
        <v>12</v>
      </c>
      <c r="M70" s="8" t="s">
        <v>20</v>
      </c>
      <c r="N70" s="8"/>
      <c r="O70" s="9" t="s">
        <v>1221</v>
      </c>
      <c r="P70" s="9" t="s">
        <v>1214</v>
      </c>
      <c r="Q70" s="10">
        <v>46238</v>
      </c>
      <c r="R70" s="9" t="s">
        <v>14</v>
      </c>
      <c r="S70" s="19"/>
    </row>
    <row r="71" spans="1:19" ht="54" customHeight="1" x14ac:dyDescent="0.25">
      <c r="A71" s="16" t="s">
        <v>23</v>
      </c>
      <c r="B71" s="9" t="s">
        <v>379</v>
      </c>
      <c r="C71" s="9" t="s">
        <v>18</v>
      </c>
      <c r="D71" s="9" t="s">
        <v>366</v>
      </c>
      <c r="E71" s="9" t="s">
        <v>380</v>
      </c>
      <c r="F71" s="9" t="s">
        <v>67</v>
      </c>
      <c r="G71" s="9" t="s">
        <v>381</v>
      </c>
      <c r="H71" s="9" t="s">
        <v>382</v>
      </c>
      <c r="I71" s="8" t="s">
        <v>11</v>
      </c>
      <c r="J71" s="8" t="s">
        <v>44</v>
      </c>
      <c r="K71" s="8" t="s">
        <v>90</v>
      </c>
      <c r="L71" s="8" t="s">
        <v>12</v>
      </c>
      <c r="M71" s="8" t="s">
        <v>20</v>
      </c>
      <c r="N71" s="8"/>
      <c r="O71" s="9" t="s">
        <v>1221</v>
      </c>
      <c r="P71" s="9" t="s">
        <v>1214</v>
      </c>
      <c r="Q71" s="10">
        <v>46238</v>
      </c>
      <c r="R71" s="9" t="s">
        <v>14</v>
      </c>
      <c r="S71" s="19"/>
    </row>
    <row r="72" spans="1:19" ht="54" customHeight="1" x14ac:dyDescent="0.25">
      <c r="A72" s="16" t="s">
        <v>13</v>
      </c>
      <c r="B72" s="9" t="s">
        <v>383</v>
      </c>
      <c r="C72" s="9" t="s">
        <v>18</v>
      </c>
      <c r="D72" s="9" t="s">
        <v>366</v>
      </c>
      <c r="E72" s="9" t="s">
        <v>384</v>
      </c>
      <c r="F72" s="9" t="s">
        <v>67</v>
      </c>
      <c r="G72" s="9" t="s">
        <v>385</v>
      </c>
      <c r="H72" s="9" t="s">
        <v>386</v>
      </c>
      <c r="I72" s="8" t="s">
        <v>11</v>
      </c>
      <c r="J72" s="8" t="s">
        <v>387</v>
      </c>
      <c r="K72" s="8" t="s">
        <v>388</v>
      </c>
      <c r="L72" s="8" t="s">
        <v>31</v>
      </c>
      <c r="M72" s="8" t="s">
        <v>22</v>
      </c>
      <c r="N72" s="8"/>
      <c r="O72" s="9" t="s">
        <v>1437</v>
      </c>
      <c r="P72" s="9" t="s">
        <v>1214</v>
      </c>
      <c r="Q72" s="10">
        <v>46238</v>
      </c>
      <c r="R72" s="9" t="s">
        <v>14</v>
      </c>
      <c r="S72" s="19" t="s">
        <v>1438</v>
      </c>
    </row>
    <row r="73" spans="1:19" ht="54" customHeight="1" x14ac:dyDescent="0.25">
      <c r="A73" s="16" t="s">
        <v>13</v>
      </c>
      <c r="B73" s="9" t="s">
        <v>389</v>
      </c>
      <c r="C73" s="9" t="s">
        <v>18</v>
      </c>
      <c r="D73" s="9" t="s">
        <v>366</v>
      </c>
      <c r="E73" s="9" t="s">
        <v>390</v>
      </c>
      <c r="F73" s="9" t="s">
        <v>67</v>
      </c>
      <c r="G73" s="9" t="s">
        <v>391</v>
      </c>
      <c r="H73" s="9" t="s">
        <v>392</v>
      </c>
      <c r="I73" s="8" t="s">
        <v>11</v>
      </c>
      <c r="J73" s="8" t="s">
        <v>387</v>
      </c>
      <c r="K73" s="8" t="s">
        <v>388</v>
      </c>
      <c r="L73" s="8" t="s">
        <v>31</v>
      </c>
      <c r="M73" s="8" t="s">
        <v>22</v>
      </c>
      <c r="N73" s="8"/>
      <c r="O73" s="9" t="s">
        <v>1435</v>
      </c>
      <c r="P73" s="9" t="s">
        <v>1214</v>
      </c>
      <c r="Q73" s="10">
        <v>46238</v>
      </c>
      <c r="R73" s="9" t="s">
        <v>14</v>
      </c>
      <c r="S73" s="19" t="s">
        <v>1436</v>
      </c>
    </row>
    <row r="74" spans="1:19" ht="54" customHeight="1" x14ac:dyDescent="0.25">
      <c r="A74" s="16" t="s">
        <v>13</v>
      </c>
      <c r="B74" s="9" t="s">
        <v>393</v>
      </c>
      <c r="C74" s="9" t="s">
        <v>18</v>
      </c>
      <c r="D74" s="9" t="s">
        <v>366</v>
      </c>
      <c r="E74" s="9" t="s">
        <v>394</v>
      </c>
      <c r="F74" s="9" t="s">
        <v>67</v>
      </c>
      <c r="G74" s="9" t="s">
        <v>395</v>
      </c>
      <c r="H74" s="9" t="s">
        <v>396</v>
      </c>
      <c r="I74" s="8" t="s">
        <v>11</v>
      </c>
      <c r="J74" s="8" t="s">
        <v>397</v>
      </c>
      <c r="K74" s="8" t="s">
        <v>388</v>
      </c>
      <c r="L74" s="8" t="s">
        <v>31</v>
      </c>
      <c r="M74" s="8" t="s">
        <v>22</v>
      </c>
      <c r="N74" s="8"/>
      <c r="O74" s="9" t="s">
        <v>1433</v>
      </c>
      <c r="P74" s="9" t="s">
        <v>1214</v>
      </c>
      <c r="Q74" s="10">
        <v>46238</v>
      </c>
      <c r="R74" s="9" t="s">
        <v>14</v>
      </c>
      <c r="S74" s="19" t="s">
        <v>1434</v>
      </c>
    </row>
    <row r="75" spans="1:19" ht="54" customHeight="1" x14ac:dyDescent="0.25">
      <c r="A75" s="16" t="s">
        <v>13</v>
      </c>
      <c r="B75" s="9" t="s">
        <v>398</v>
      </c>
      <c r="C75" s="9" t="s">
        <v>18</v>
      </c>
      <c r="D75" s="9" t="s">
        <v>366</v>
      </c>
      <c r="E75" s="9" t="s">
        <v>399</v>
      </c>
      <c r="F75" s="9" t="s">
        <v>67</v>
      </c>
      <c r="G75" s="9" t="s">
        <v>400</v>
      </c>
      <c r="H75" s="9" t="s">
        <v>401</v>
      </c>
      <c r="I75" s="8" t="s">
        <v>21</v>
      </c>
      <c r="J75" s="8" t="s">
        <v>44</v>
      </c>
      <c r="K75" s="8" t="s">
        <v>388</v>
      </c>
      <c r="L75" s="8" t="s">
        <v>31</v>
      </c>
      <c r="M75" s="8" t="s">
        <v>10</v>
      </c>
      <c r="N75" s="8"/>
      <c r="O75" s="9"/>
      <c r="P75" s="9"/>
      <c r="Q75" s="10"/>
      <c r="R75" s="9" t="s">
        <v>14</v>
      </c>
      <c r="S75" s="19"/>
    </row>
    <row r="76" spans="1:19" ht="54" customHeight="1" x14ac:dyDescent="0.25">
      <c r="A76" s="16" t="s">
        <v>23</v>
      </c>
      <c r="B76" s="9" t="s">
        <v>402</v>
      </c>
      <c r="C76" s="9" t="s">
        <v>18</v>
      </c>
      <c r="D76" s="9" t="s">
        <v>366</v>
      </c>
      <c r="E76" s="9" t="s">
        <v>403</v>
      </c>
      <c r="F76" s="9" t="s">
        <v>67</v>
      </c>
      <c r="G76" s="9" t="s">
        <v>404</v>
      </c>
      <c r="H76" s="9" t="s">
        <v>405</v>
      </c>
      <c r="I76" s="8" t="s">
        <v>30</v>
      </c>
      <c r="J76" s="8" t="s">
        <v>406</v>
      </c>
      <c r="K76" s="8" t="s">
        <v>90</v>
      </c>
      <c r="L76" s="8" t="s">
        <v>22</v>
      </c>
      <c r="M76" s="8" t="s">
        <v>20</v>
      </c>
      <c r="N76" s="8"/>
      <c r="O76" s="9" t="s">
        <v>1431</v>
      </c>
      <c r="P76" s="9" t="s">
        <v>1214</v>
      </c>
      <c r="Q76" s="10">
        <v>46238</v>
      </c>
      <c r="R76" s="9" t="s">
        <v>14</v>
      </c>
      <c r="S76" s="19" t="s">
        <v>1432</v>
      </c>
    </row>
    <row r="77" spans="1:19" ht="54" customHeight="1" x14ac:dyDescent="0.25">
      <c r="A77" s="16" t="s">
        <v>23</v>
      </c>
      <c r="B77" s="9" t="s">
        <v>407</v>
      </c>
      <c r="C77" s="9" t="s">
        <v>18</v>
      </c>
      <c r="D77" s="9" t="s">
        <v>366</v>
      </c>
      <c r="E77" s="9" t="s">
        <v>408</v>
      </c>
      <c r="F77" s="9" t="s">
        <v>67</v>
      </c>
      <c r="G77" s="9" t="s">
        <v>409</v>
      </c>
      <c r="H77" s="9" t="s">
        <v>410</v>
      </c>
      <c r="I77" s="8" t="s">
        <v>11</v>
      </c>
      <c r="J77" s="8" t="s">
        <v>411</v>
      </c>
      <c r="K77" s="8" t="s">
        <v>90</v>
      </c>
      <c r="L77" s="8" t="s">
        <v>12</v>
      </c>
      <c r="M77" s="8" t="s">
        <v>20</v>
      </c>
      <c r="N77" s="8"/>
      <c r="O77" s="9" t="s">
        <v>1221</v>
      </c>
      <c r="P77" s="9" t="s">
        <v>1214</v>
      </c>
      <c r="Q77" s="10">
        <v>46238</v>
      </c>
      <c r="R77" s="9" t="s">
        <v>14</v>
      </c>
      <c r="S77" s="19"/>
    </row>
    <row r="78" spans="1:19" ht="54" customHeight="1" x14ac:dyDescent="0.25">
      <c r="A78" s="16" t="s">
        <v>13</v>
      </c>
      <c r="B78" s="9" t="s">
        <v>412</v>
      </c>
      <c r="C78" s="9" t="s">
        <v>18</v>
      </c>
      <c r="D78" s="9" t="s">
        <v>366</v>
      </c>
      <c r="E78" s="9" t="s">
        <v>413</v>
      </c>
      <c r="F78" s="9" t="s">
        <v>67</v>
      </c>
      <c r="G78" s="9" t="s">
        <v>414</v>
      </c>
      <c r="H78" s="9" t="s">
        <v>415</v>
      </c>
      <c r="I78" s="8" t="s">
        <v>21</v>
      </c>
      <c r="J78" s="8" t="s">
        <v>416</v>
      </c>
      <c r="K78" s="8" t="s">
        <v>175</v>
      </c>
      <c r="L78" s="8" t="s">
        <v>22</v>
      </c>
      <c r="M78" s="8" t="s">
        <v>10</v>
      </c>
      <c r="N78" s="8"/>
      <c r="O78" s="9"/>
      <c r="P78" s="9"/>
      <c r="Q78" s="10"/>
      <c r="R78" s="9" t="s">
        <v>14</v>
      </c>
      <c r="S78" s="19"/>
    </row>
    <row r="79" spans="1:19" ht="54" customHeight="1" x14ac:dyDescent="0.25">
      <c r="A79" s="16" t="s">
        <v>13</v>
      </c>
      <c r="B79" s="9" t="s">
        <v>417</v>
      </c>
      <c r="C79" s="9" t="s">
        <v>18</v>
      </c>
      <c r="D79" s="9" t="s">
        <v>366</v>
      </c>
      <c r="E79" s="9" t="s">
        <v>418</v>
      </c>
      <c r="F79" s="9" t="s">
        <v>67</v>
      </c>
      <c r="G79" s="9" t="s">
        <v>419</v>
      </c>
      <c r="H79" s="9" t="s">
        <v>420</v>
      </c>
      <c r="I79" s="8" t="s">
        <v>11</v>
      </c>
      <c r="J79" s="8" t="s">
        <v>421</v>
      </c>
      <c r="K79" s="8" t="s">
        <v>347</v>
      </c>
      <c r="L79" s="8" t="s">
        <v>22</v>
      </c>
      <c r="M79" s="8" t="s">
        <v>10</v>
      </c>
      <c r="N79" s="8"/>
      <c r="O79" s="9"/>
      <c r="P79" s="9"/>
      <c r="Q79" s="10"/>
      <c r="R79" s="9" t="s">
        <v>14</v>
      </c>
      <c r="S79" s="19"/>
    </row>
    <row r="80" spans="1:19" ht="54" customHeight="1" x14ac:dyDescent="0.25">
      <c r="A80" s="16" t="s">
        <v>23</v>
      </c>
      <c r="B80" s="9" t="s">
        <v>422</v>
      </c>
      <c r="C80" s="9" t="s">
        <v>18</v>
      </c>
      <c r="D80" s="9" t="s">
        <v>366</v>
      </c>
      <c r="E80" s="9" t="s">
        <v>423</v>
      </c>
      <c r="F80" s="9" t="s">
        <v>67</v>
      </c>
      <c r="G80" s="9" t="s">
        <v>424</v>
      </c>
      <c r="H80" s="9" t="s">
        <v>425</v>
      </c>
      <c r="I80" s="8" t="s">
        <v>11</v>
      </c>
      <c r="J80" s="8" t="s">
        <v>44</v>
      </c>
      <c r="K80" s="8" t="s">
        <v>90</v>
      </c>
      <c r="L80" s="8" t="s">
        <v>12</v>
      </c>
      <c r="M80" s="8" t="s">
        <v>20</v>
      </c>
      <c r="N80" s="8"/>
      <c r="O80" s="9" t="s">
        <v>1221</v>
      </c>
      <c r="P80" s="9" t="s">
        <v>1214</v>
      </c>
      <c r="Q80" s="10">
        <v>46238</v>
      </c>
      <c r="R80" s="9" t="s">
        <v>14</v>
      </c>
      <c r="S80" s="19"/>
    </row>
    <row r="81" spans="1:19" ht="54" customHeight="1" x14ac:dyDescent="0.25">
      <c r="A81" s="16" t="s">
        <v>23</v>
      </c>
      <c r="B81" s="9" t="s">
        <v>426</v>
      </c>
      <c r="C81" s="9" t="s">
        <v>18</v>
      </c>
      <c r="D81" s="9" t="s">
        <v>366</v>
      </c>
      <c r="E81" s="9" t="s">
        <v>427</v>
      </c>
      <c r="F81" s="9" t="s">
        <v>67</v>
      </c>
      <c r="G81" s="9" t="s">
        <v>428</v>
      </c>
      <c r="H81" s="9" t="s">
        <v>429</v>
      </c>
      <c r="I81" s="8" t="s">
        <v>11</v>
      </c>
      <c r="J81" s="8" t="s">
        <v>411</v>
      </c>
      <c r="K81" s="8" t="s">
        <v>90</v>
      </c>
      <c r="L81" s="8" t="s">
        <v>12</v>
      </c>
      <c r="M81" s="8" t="s">
        <v>20</v>
      </c>
      <c r="N81" s="8"/>
      <c r="O81" s="9" t="s">
        <v>1221</v>
      </c>
      <c r="P81" s="9" t="s">
        <v>1214</v>
      </c>
      <c r="Q81" s="10">
        <v>46238</v>
      </c>
      <c r="R81" s="9" t="s">
        <v>14</v>
      </c>
      <c r="S81" s="19"/>
    </row>
    <row r="82" spans="1:19" ht="54" customHeight="1" x14ac:dyDescent="0.25">
      <c r="A82" s="16" t="s">
        <v>13</v>
      </c>
      <c r="B82" s="9" t="s">
        <v>430</v>
      </c>
      <c r="C82" s="9" t="s">
        <v>18</v>
      </c>
      <c r="D82" s="9" t="s">
        <v>366</v>
      </c>
      <c r="E82" s="9" t="s">
        <v>431</v>
      </c>
      <c r="F82" s="9" t="s">
        <v>67</v>
      </c>
      <c r="G82" s="9" t="s">
        <v>432</v>
      </c>
      <c r="H82" s="9" t="s">
        <v>433</v>
      </c>
      <c r="I82" s="8" t="s">
        <v>11</v>
      </c>
      <c r="J82" s="8" t="s">
        <v>44</v>
      </c>
      <c r="K82" s="8" t="s">
        <v>90</v>
      </c>
      <c r="L82" s="8" t="s">
        <v>22</v>
      </c>
      <c r="M82" s="8" t="s">
        <v>22</v>
      </c>
      <c r="N82" s="8"/>
      <c r="O82" s="9" t="s">
        <v>1439</v>
      </c>
      <c r="P82" s="9" t="s">
        <v>1214</v>
      </c>
      <c r="Q82" s="10">
        <v>46238</v>
      </c>
      <c r="R82" s="9" t="s">
        <v>14</v>
      </c>
      <c r="S82" s="19" t="s">
        <v>1440</v>
      </c>
    </row>
    <row r="83" spans="1:19" ht="54" customHeight="1" x14ac:dyDescent="0.25">
      <c r="A83" s="16" t="s">
        <v>23</v>
      </c>
      <c r="B83" s="9" t="s">
        <v>434</v>
      </c>
      <c r="C83" s="9" t="s">
        <v>18</v>
      </c>
      <c r="D83" s="9" t="s">
        <v>435</v>
      </c>
      <c r="E83" s="9" t="s">
        <v>436</v>
      </c>
      <c r="F83" s="9" t="s">
        <v>67</v>
      </c>
      <c r="G83" s="9" t="s">
        <v>437</v>
      </c>
      <c r="H83" s="9" t="s">
        <v>438</v>
      </c>
      <c r="I83" s="8" t="s">
        <v>11</v>
      </c>
      <c r="J83" s="8" t="s">
        <v>439</v>
      </c>
      <c r="K83" s="8" t="s">
        <v>175</v>
      </c>
      <c r="L83" s="8" t="s">
        <v>12</v>
      </c>
      <c r="M83" s="8" t="s">
        <v>20</v>
      </c>
      <c r="N83" s="8"/>
      <c r="O83" s="9" t="s">
        <v>1222</v>
      </c>
      <c r="P83" s="9" t="s">
        <v>1214</v>
      </c>
      <c r="Q83" s="10">
        <v>46238</v>
      </c>
      <c r="R83" s="9" t="s">
        <v>14</v>
      </c>
      <c r="S83" s="19"/>
    </row>
    <row r="84" spans="1:19" ht="54" customHeight="1" x14ac:dyDescent="0.25">
      <c r="A84" s="16" t="s">
        <v>23</v>
      </c>
      <c r="B84" s="9" t="s">
        <v>440</v>
      </c>
      <c r="C84" s="9" t="s">
        <v>18</v>
      </c>
      <c r="D84" s="9" t="s">
        <v>435</v>
      </c>
      <c r="E84" s="9" t="s">
        <v>441</v>
      </c>
      <c r="F84" s="9" t="s">
        <v>67</v>
      </c>
      <c r="G84" s="9" t="s">
        <v>442</v>
      </c>
      <c r="H84" s="9" t="s">
        <v>443</v>
      </c>
      <c r="I84" s="8" t="s">
        <v>11</v>
      </c>
      <c r="J84" s="8" t="s">
        <v>35</v>
      </c>
      <c r="K84" s="8" t="s">
        <v>175</v>
      </c>
      <c r="L84" s="8" t="s">
        <v>22</v>
      </c>
      <c r="M84" s="8" t="s">
        <v>20</v>
      </c>
      <c r="N84" s="8"/>
      <c r="O84" s="9" t="s">
        <v>1222</v>
      </c>
      <c r="P84" s="9" t="s">
        <v>1214</v>
      </c>
      <c r="Q84" s="10">
        <v>46238</v>
      </c>
      <c r="R84" s="9" t="s">
        <v>14</v>
      </c>
      <c r="S84" s="19"/>
    </row>
    <row r="85" spans="1:19" ht="54" customHeight="1" x14ac:dyDescent="0.25">
      <c r="A85" s="16" t="s">
        <v>23</v>
      </c>
      <c r="B85" s="9" t="s">
        <v>444</v>
      </c>
      <c r="C85" s="9" t="s">
        <v>18</v>
      </c>
      <c r="D85" s="9" t="s">
        <v>435</v>
      </c>
      <c r="E85" s="9" t="s">
        <v>445</v>
      </c>
      <c r="F85" s="9" t="s">
        <v>67</v>
      </c>
      <c r="G85" s="9" t="s">
        <v>446</v>
      </c>
      <c r="H85" s="9" t="s">
        <v>447</v>
      </c>
      <c r="I85" s="8" t="s">
        <v>21</v>
      </c>
      <c r="J85" s="8" t="s">
        <v>35</v>
      </c>
      <c r="K85" s="8" t="s">
        <v>159</v>
      </c>
      <c r="L85" s="8" t="s">
        <v>22</v>
      </c>
      <c r="M85" s="8" t="s">
        <v>20</v>
      </c>
      <c r="N85" s="8"/>
      <c r="O85" s="9" t="s">
        <v>1222</v>
      </c>
      <c r="P85" s="9" t="s">
        <v>1214</v>
      </c>
      <c r="Q85" s="10">
        <v>46238</v>
      </c>
      <c r="R85" s="9" t="s">
        <v>14</v>
      </c>
      <c r="S85" s="19"/>
    </row>
    <row r="86" spans="1:19" ht="54" customHeight="1" x14ac:dyDescent="0.25">
      <c r="A86" s="16" t="s">
        <v>23</v>
      </c>
      <c r="B86" s="9" t="s">
        <v>448</v>
      </c>
      <c r="C86" s="9" t="s">
        <v>18</v>
      </c>
      <c r="D86" s="9" t="s">
        <v>435</v>
      </c>
      <c r="E86" s="9" t="s">
        <v>449</v>
      </c>
      <c r="F86" s="9" t="s">
        <v>67</v>
      </c>
      <c r="G86" s="9" t="s">
        <v>450</v>
      </c>
      <c r="H86" s="9" t="s">
        <v>451</v>
      </c>
      <c r="I86" s="8" t="s">
        <v>11</v>
      </c>
      <c r="J86" s="8" t="s">
        <v>168</v>
      </c>
      <c r="K86" s="8" t="s">
        <v>317</v>
      </c>
      <c r="L86" s="8" t="s">
        <v>12</v>
      </c>
      <c r="M86" s="8" t="s">
        <v>20</v>
      </c>
      <c r="N86" s="8"/>
      <c r="O86" s="9" t="s">
        <v>1222</v>
      </c>
      <c r="P86" s="9" t="s">
        <v>1214</v>
      </c>
      <c r="Q86" s="10">
        <v>46238</v>
      </c>
      <c r="R86" s="9" t="s">
        <v>14</v>
      </c>
      <c r="S86" s="19"/>
    </row>
    <row r="87" spans="1:19" ht="54" customHeight="1" x14ac:dyDescent="0.25">
      <c r="A87" s="16" t="s">
        <v>23</v>
      </c>
      <c r="B87" s="9" t="s">
        <v>452</v>
      </c>
      <c r="C87" s="9" t="s">
        <v>18</v>
      </c>
      <c r="D87" s="9" t="s">
        <v>435</v>
      </c>
      <c r="E87" s="9" t="s">
        <v>453</v>
      </c>
      <c r="F87" s="9" t="s">
        <v>454</v>
      </c>
      <c r="G87" s="9" t="s">
        <v>455</v>
      </c>
      <c r="H87" s="9" t="s">
        <v>456</v>
      </c>
      <c r="I87" s="8" t="s">
        <v>30</v>
      </c>
      <c r="J87" s="8" t="s">
        <v>457</v>
      </c>
      <c r="K87" s="8" t="s">
        <v>317</v>
      </c>
      <c r="L87" s="8" t="s">
        <v>22</v>
      </c>
      <c r="M87" s="8" t="s">
        <v>43</v>
      </c>
      <c r="N87" s="8"/>
      <c r="O87" s="9" t="s">
        <v>1223</v>
      </c>
      <c r="P87" s="9" t="s">
        <v>1214</v>
      </c>
      <c r="Q87" s="10">
        <v>46238</v>
      </c>
      <c r="R87" s="9" t="s">
        <v>14</v>
      </c>
      <c r="S87" s="19" t="s">
        <v>458</v>
      </c>
    </row>
    <row r="88" spans="1:19" ht="54" customHeight="1" x14ac:dyDescent="0.25">
      <c r="A88" s="16" t="s">
        <v>23</v>
      </c>
      <c r="B88" s="9" t="s">
        <v>459</v>
      </c>
      <c r="C88" s="9" t="s">
        <v>18</v>
      </c>
      <c r="D88" s="9" t="s">
        <v>435</v>
      </c>
      <c r="E88" s="9" t="s">
        <v>460</v>
      </c>
      <c r="F88" s="9" t="s">
        <v>67</v>
      </c>
      <c r="G88" s="9" t="s">
        <v>461</v>
      </c>
      <c r="H88" s="9" t="s">
        <v>462</v>
      </c>
      <c r="I88" s="8" t="s">
        <v>11</v>
      </c>
      <c r="J88" s="8" t="s">
        <v>168</v>
      </c>
      <c r="K88" s="8" t="s">
        <v>317</v>
      </c>
      <c r="L88" s="8" t="s">
        <v>12</v>
      </c>
      <c r="M88" s="8" t="s">
        <v>20</v>
      </c>
      <c r="N88" s="8"/>
      <c r="O88" s="9" t="s">
        <v>1222</v>
      </c>
      <c r="P88" s="9" t="s">
        <v>1214</v>
      </c>
      <c r="Q88" s="10">
        <v>46238</v>
      </c>
      <c r="R88" s="9" t="s">
        <v>14</v>
      </c>
      <c r="S88" s="19"/>
    </row>
    <row r="89" spans="1:19" ht="54" customHeight="1" x14ac:dyDescent="0.25">
      <c r="A89" s="16" t="s">
        <v>23</v>
      </c>
      <c r="B89" s="9" t="s">
        <v>463</v>
      </c>
      <c r="C89" s="9" t="s">
        <v>18</v>
      </c>
      <c r="D89" s="9" t="s">
        <v>435</v>
      </c>
      <c r="E89" s="9" t="s">
        <v>464</v>
      </c>
      <c r="F89" s="9" t="s">
        <v>67</v>
      </c>
      <c r="G89" s="9" t="s">
        <v>465</v>
      </c>
      <c r="H89" s="9" t="s">
        <v>466</v>
      </c>
      <c r="I89" s="8" t="s">
        <v>11</v>
      </c>
      <c r="J89" s="8" t="s">
        <v>44</v>
      </c>
      <c r="K89" s="8" t="s">
        <v>90</v>
      </c>
      <c r="L89" s="8" t="s">
        <v>12</v>
      </c>
      <c r="M89" s="8" t="s">
        <v>20</v>
      </c>
      <c r="N89" s="8"/>
      <c r="O89" s="9" t="s">
        <v>1222</v>
      </c>
      <c r="P89" s="9" t="s">
        <v>1214</v>
      </c>
      <c r="Q89" s="10">
        <v>46238</v>
      </c>
      <c r="R89" s="9" t="s">
        <v>14</v>
      </c>
      <c r="S89" s="19"/>
    </row>
    <row r="90" spans="1:19" ht="54" customHeight="1" x14ac:dyDescent="0.25">
      <c r="A90" s="16" t="s">
        <v>23</v>
      </c>
      <c r="B90" s="9" t="s">
        <v>467</v>
      </c>
      <c r="C90" s="9" t="s">
        <v>18</v>
      </c>
      <c r="D90" s="9" t="s">
        <v>435</v>
      </c>
      <c r="E90" s="9" t="s">
        <v>468</v>
      </c>
      <c r="F90" s="9" t="s">
        <v>67</v>
      </c>
      <c r="G90" s="9" t="s">
        <v>469</v>
      </c>
      <c r="H90" s="9" t="s">
        <v>470</v>
      </c>
      <c r="I90" s="8" t="s">
        <v>11</v>
      </c>
      <c r="J90" s="8" t="s">
        <v>471</v>
      </c>
      <c r="K90" s="8" t="s">
        <v>90</v>
      </c>
      <c r="L90" s="8" t="s">
        <v>22</v>
      </c>
      <c r="M90" s="8" t="s">
        <v>43</v>
      </c>
      <c r="N90" s="8"/>
      <c r="O90" s="9" t="s">
        <v>1223</v>
      </c>
      <c r="P90" s="9" t="s">
        <v>1214</v>
      </c>
      <c r="Q90" s="10">
        <v>46238</v>
      </c>
      <c r="R90" s="9" t="s">
        <v>14</v>
      </c>
      <c r="S90" s="19"/>
    </row>
    <row r="91" spans="1:19" ht="54" customHeight="1" x14ac:dyDescent="0.25">
      <c r="A91" s="16" t="s">
        <v>23</v>
      </c>
      <c r="B91" s="9" t="s">
        <v>472</v>
      </c>
      <c r="C91" s="9" t="s">
        <v>18</v>
      </c>
      <c r="D91" s="9" t="s">
        <v>435</v>
      </c>
      <c r="E91" s="9" t="s">
        <v>473</v>
      </c>
      <c r="F91" s="9" t="s">
        <v>67</v>
      </c>
      <c r="G91" s="9" t="s">
        <v>474</v>
      </c>
      <c r="H91" s="9" t="s">
        <v>475</v>
      </c>
      <c r="I91" s="8" t="s">
        <v>30</v>
      </c>
      <c r="J91" s="8" t="s">
        <v>316</v>
      </c>
      <c r="K91" s="8" t="s">
        <v>317</v>
      </c>
      <c r="L91" s="8" t="s">
        <v>12</v>
      </c>
      <c r="M91" s="8" t="s">
        <v>20</v>
      </c>
      <c r="N91" s="8"/>
      <c r="O91" s="9" t="s">
        <v>1222</v>
      </c>
      <c r="P91" s="9" t="s">
        <v>1214</v>
      </c>
      <c r="Q91" s="10">
        <v>46238</v>
      </c>
      <c r="R91" s="9" t="s">
        <v>14</v>
      </c>
      <c r="S91" s="19"/>
    </row>
    <row r="92" spans="1:19" ht="54" customHeight="1" x14ac:dyDescent="0.25">
      <c r="A92" s="16" t="s">
        <v>13</v>
      </c>
      <c r="B92" s="9" t="s">
        <v>476</v>
      </c>
      <c r="C92" s="9" t="s">
        <v>18</v>
      </c>
      <c r="D92" s="9" t="s">
        <v>435</v>
      </c>
      <c r="E92" s="9" t="s">
        <v>477</v>
      </c>
      <c r="F92" s="9" t="s">
        <v>67</v>
      </c>
      <c r="G92" s="9" t="s">
        <v>478</v>
      </c>
      <c r="H92" s="9" t="s">
        <v>479</v>
      </c>
      <c r="I92" s="8" t="s">
        <v>30</v>
      </c>
      <c r="J92" s="8" t="s">
        <v>316</v>
      </c>
      <c r="K92" s="8" t="s">
        <v>317</v>
      </c>
      <c r="L92" s="8" t="s">
        <v>22</v>
      </c>
      <c r="M92" s="8" t="s">
        <v>10</v>
      </c>
      <c r="N92" s="8"/>
      <c r="O92" s="9"/>
      <c r="P92" s="9"/>
      <c r="Q92" s="10"/>
      <c r="R92" s="9" t="s">
        <v>14</v>
      </c>
      <c r="S92" s="19"/>
    </row>
    <row r="93" spans="1:19" ht="54" customHeight="1" x14ac:dyDescent="0.25">
      <c r="A93" s="16" t="s">
        <v>23</v>
      </c>
      <c r="B93" s="9" t="s">
        <v>480</v>
      </c>
      <c r="C93" s="9" t="s">
        <v>18</v>
      </c>
      <c r="D93" s="9" t="s">
        <v>435</v>
      </c>
      <c r="E93" s="9" t="s">
        <v>481</v>
      </c>
      <c r="F93" s="9" t="s">
        <v>67</v>
      </c>
      <c r="G93" s="9" t="s">
        <v>482</v>
      </c>
      <c r="H93" s="9" t="s">
        <v>483</v>
      </c>
      <c r="I93" s="8" t="s">
        <v>30</v>
      </c>
      <c r="J93" s="8" t="s">
        <v>142</v>
      </c>
      <c r="K93" s="8" t="s">
        <v>90</v>
      </c>
      <c r="L93" s="8" t="s">
        <v>12</v>
      </c>
      <c r="M93" s="8" t="s">
        <v>20</v>
      </c>
      <c r="N93" s="8"/>
      <c r="O93" s="9" t="s">
        <v>1222</v>
      </c>
      <c r="P93" s="9" t="s">
        <v>1214</v>
      </c>
      <c r="Q93" s="10">
        <v>46238</v>
      </c>
      <c r="R93" s="9" t="s">
        <v>14</v>
      </c>
      <c r="S93" s="19"/>
    </row>
    <row r="94" spans="1:19" ht="54" customHeight="1" x14ac:dyDescent="0.25">
      <c r="A94" s="16" t="s">
        <v>23</v>
      </c>
      <c r="B94" s="9" t="s">
        <v>484</v>
      </c>
      <c r="C94" s="9" t="s">
        <v>18</v>
      </c>
      <c r="D94" s="9" t="s">
        <v>435</v>
      </c>
      <c r="E94" s="9" t="s">
        <v>485</v>
      </c>
      <c r="F94" s="9" t="s">
        <v>67</v>
      </c>
      <c r="G94" s="9" t="s">
        <v>486</v>
      </c>
      <c r="H94" s="9" t="s">
        <v>487</v>
      </c>
      <c r="I94" s="8" t="s">
        <v>30</v>
      </c>
      <c r="J94" s="8" t="s">
        <v>411</v>
      </c>
      <c r="K94" s="8" t="s">
        <v>90</v>
      </c>
      <c r="L94" s="8" t="s">
        <v>12</v>
      </c>
      <c r="M94" s="8" t="s">
        <v>20</v>
      </c>
      <c r="N94" s="8"/>
      <c r="O94" s="9" t="s">
        <v>1222</v>
      </c>
      <c r="P94" s="9" t="s">
        <v>1214</v>
      </c>
      <c r="Q94" s="10">
        <v>46238</v>
      </c>
      <c r="R94" s="9" t="s">
        <v>14</v>
      </c>
      <c r="S94" s="19"/>
    </row>
    <row r="95" spans="1:19" ht="54" customHeight="1" x14ac:dyDescent="0.25">
      <c r="A95" s="16" t="s">
        <v>13</v>
      </c>
      <c r="B95" s="9" t="s">
        <v>488</v>
      </c>
      <c r="C95" s="9" t="s">
        <v>18</v>
      </c>
      <c r="D95" s="9" t="s">
        <v>435</v>
      </c>
      <c r="E95" s="9" t="s">
        <v>489</v>
      </c>
      <c r="F95" s="9" t="s">
        <v>67</v>
      </c>
      <c r="G95" s="9" t="s">
        <v>490</v>
      </c>
      <c r="H95" s="9" t="s">
        <v>491</v>
      </c>
      <c r="I95" s="8" t="s">
        <v>37</v>
      </c>
      <c r="J95" s="8" t="s">
        <v>168</v>
      </c>
      <c r="K95" s="8" t="s">
        <v>175</v>
      </c>
      <c r="L95" s="8" t="s">
        <v>22</v>
      </c>
      <c r="M95" s="8" t="s">
        <v>10</v>
      </c>
      <c r="N95" s="8"/>
      <c r="O95" s="9"/>
      <c r="P95" s="9"/>
      <c r="Q95" s="10"/>
      <c r="R95" s="9" t="s">
        <v>14</v>
      </c>
      <c r="S95" s="19"/>
    </row>
    <row r="96" spans="1:19" ht="54" customHeight="1" x14ac:dyDescent="0.25">
      <c r="A96" s="16" t="s">
        <v>23</v>
      </c>
      <c r="B96" s="9" t="s">
        <v>492</v>
      </c>
      <c r="C96" s="9" t="s">
        <v>18</v>
      </c>
      <c r="D96" s="9" t="s">
        <v>493</v>
      </c>
      <c r="E96" s="9" t="s">
        <v>494</v>
      </c>
      <c r="F96" s="9" t="s">
        <v>67</v>
      </c>
      <c r="G96" s="9" t="s">
        <v>495</v>
      </c>
      <c r="H96" s="9" t="s">
        <v>496</v>
      </c>
      <c r="I96" s="8" t="s">
        <v>11</v>
      </c>
      <c r="J96" s="8" t="s">
        <v>497</v>
      </c>
      <c r="K96" s="8" t="s">
        <v>175</v>
      </c>
      <c r="L96" s="8" t="s">
        <v>12</v>
      </c>
      <c r="M96" s="8" t="s">
        <v>20</v>
      </c>
      <c r="N96" s="8"/>
      <c r="O96" s="9" t="s">
        <v>1224</v>
      </c>
      <c r="P96" s="9" t="s">
        <v>1214</v>
      </c>
      <c r="Q96" s="10">
        <v>46238</v>
      </c>
      <c r="R96" s="9" t="s">
        <v>14</v>
      </c>
      <c r="S96" s="19"/>
    </row>
    <row r="97" spans="1:19" ht="54" customHeight="1" x14ac:dyDescent="0.25">
      <c r="A97" s="16" t="s">
        <v>13</v>
      </c>
      <c r="B97" s="9" t="s">
        <v>498</v>
      </c>
      <c r="C97" s="9" t="s">
        <v>18</v>
      </c>
      <c r="D97" s="9" t="s">
        <v>493</v>
      </c>
      <c r="E97" s="9" t="s">
        <v>499</v>
      </c>
      <c r="F97" s="9" t="s">
        <v>67</v>
      </c>
      <c r="G97" s="9" t="s">
        <v>500</v>
      </c>
      <c r="H97" s="9" t="s">
        <v>501</v>
      </c>
      <c r="I97" s="8" t="s">
        <v>30</v>
      </c>
      <c r="J97" s="8" t="s">
        <v>316</v>
      </c>
      <c r="K97" s="8" t="s">
        <v>317</v>
      </c>
      <c r="L97" s="8" t="s">
        <v>22</v>
      </c>
      <c r="M97" s="8" t="s">
        <v>10</v>
      </c>
      <c r="N97" s="8"/>
      <c r="O97" s="9"/>
      <c r="P97" s="9"/>
      <c r="Q97" s="10"/>
      <c r="R97" s="9" t="s">
        <v>14</v>
      </c>
      <c r="S97" s="19"/>
    </row>
    <row r="98" spans="1:19" ht="54" customHeight="1" x14ac:dyDescent="0.25">
      <c r="A98" s="16" t="s">
        <v>23</v>
      </c>
      <c r="B98" s="9" t="s">
        <v>502</v>
      </c>
      <c r="C98" s="9" t="s">
        <v>18</v>
      </c>
      <c r="D98" s="9" t="s">
        <v>493</v>
      </c>
      <c r="E98" s="9" t="s">
        <v>503</v>
      </c>
      <c r="F98" s="9" t="s">
        <v>67</v>
      </c>
      <c r="G98" s="9" t="s">
        <v>504</v>
      </c>
      <c r="H98" s="9" t="s">
        <v>505</v>
      </c>
      <c r="I98" s="8" t="s">
        <v>30</v>
      </c>
      <c r="J98" s="8" t="s">
        <v>189</v>
      </c>
      <c r="K98" s="8" t="s">
        <v>175</v>
      </c>
      <c r="L98" s="8" t="s">
        <v>12</v>
      </c>
      <c r="M98" s="8" t="s">
        <v>20</v>
      </c>
      <c r="N98" s="8"/>
      <c r="O98" s="9" t="s">
        <v>1224</v>
      </c>
      <c r="P98" s="9" t="s">
        <v>1214</v>
      </c>
      <c r="Q98" s="10">
        <v>46238</v>
      </c>
      <c r="R98" s="9" t="s">
        <v>14</v>
      </c>
      <c r="S98" s="19"/>
    </row>
    <row r="99" spans="1:19" ht="54" customHeight="1" x14ac:dyDescent="0.25">
      <c r="A99" s="16" t="s">
        <v>23</v>
      </c>
      <c r="B99" s="9" t="s">
        <v>506</v>
      </c>
      <c r="C99" s="9" t="s">
        <v>18</v>
      </c>
      <c r="D99" s="9" t="s">
        <v>493</v>
      </c>
      <c r="E99" s="9" t="s">
        <v>507</v>
      </c>
      <c r="F99" s="9" t="s">
        <v>67</v>
      </c>
      <c r="G99" s="9" t="s">
        <v>508</v>
      </c>
      <c r="H99" s="9" t="s">
        <v>509</v>
      </c>
      <c r="I99" s="8" t="s">
        <v>11</v>
      </c>
      <c r="J99" s="8" t="s">
        <v>510</v>
      </c>
      <c r="K99" s="8" t="s">
        <v>317</v>
      </c>
      <c r="L99" s="8" t="s">
        <v>12</v>
      </c>
      <c r="M99" s="8" t="s">
        <v>20</v>
      </c>
      <c r="N99" s="8"/>
      <c r="O99" s="9" t="s">
        <v>1224</v>
      </c>
      <c r="P99" s="9" t="s">
        <v>1214</v>
      </c>
      <c r="Q99" s="10">
        <v>46238</v>
      </c>
      <c r="R99" s="9" t="s">
        <v>14</v>
      </c>
      <c r="S99" s="19"/>
    </row>
    <row r="100" spans="1:19" ht="54" customHeight="1" x14ac:dyDescent="0.25">
      <c r="A100" s="16" t="s">
        <v>23</v>
      </c>
      <c r="B100" s="9" t="s">
        <v>511</v>
      </c>
      <c r="C100" s="9" t="s">
        <v>18</v>
      </c>
      <c r="D100" s="9" t="s">
        <v>493</v>
      </c>
      <c r="E100" s="9" t="s">
        <v>512</v>
      </c>
      <c r="F100" s="9" t="s">
        <v>67</v>
      </c>
      <c r="G100" s="9" t="s">
        <v>513</v>
      </c>
      <c r="H100" s="9" t="s">
        <v>514</v>
      </c>
      <c r="I100" s="8" t="s">
        <v>30</v>
      </c>
      <c r="J100" s="8" t="s">
        <v>189</v>
      </c>
      <c r="K100" s="8" t="s">
        <v>175</v>
      </c>
      <c r="L100" s="8" t="s">
        <v>12</v>
      </c>
      <c r="M100" s="8" t="s">
        <v>20</v>
      </c>
      <c r="N100" s="8"/>
      <c r="O100" s="9" t="s">
        <v>1224</v>
      </c>
      <c r="P100" s="9" t="s">
        <v>1214</v>
      </c>
      <c r="Q100" s="10">
        <v>46238</v>
      </c>
      <c r="R100" s="9" t="s">
        <v>14</v>
      </c>
      <c r="S100" s="19"/>
    </row>
    <row r="101" spans="1:19" ht="54" customHeight="1" x14ac:dyDescent="0.25">
      <c r="A101" s="16" t="s">
        <v>23</v>
      </c>
      <c r="B101" s="9" t="s">
        <v>515</v>
      </c>
      <c r="C101" s="9" t="s">
        <v>18</v>
      </c>
      <c r="D101" s="9" t="s">
        <v>493</v>
      </c>
      <c r="E101" s="9" t="s">
        <v>516</v>
      </c>
      <c r="F101" s="9" t="s">
        <v>67</v>
      </c>
      <c r="G101" s="9" t="s">
        <v>517</v>
      </c>
      <c r="H101" s="9" t="s">
        <v>518</v>
      </c>
      <c r="I101" s="8" t="s">
        <v>30</v>
      </c>
      <c r="J101" s="8" t="s">
        <v>189</v>
      </c>
      <c r="K101" s="8" t="s">
        <v>175</v>
      </c>
      <c r="L101" s="8" t="s">
        <v>12</v>
      </c>
      <c r="M101" s="8" t="s">
        <v>20</v>
      </c>
      <c r="N101" s="8"/>
      <c r="O101" s="9" t="s">
        <v>1224</v>
      </c>
      <c r="P101" s="9" t="s">
        <v>1214</v>
      </c>
      <c r="Q101" s="10">
        <v>46238</v>
      </c>
      <c r="R101" s="9" t="s">
        <v>14</v>
      </c>
      <c r="S101" s="19"/>
    </row>
    <row r="102" spans="1:19" ht="54" customHeight="1" x14ac:dyDescent="0.25">
      <c r="A102" s="16" t="s">
        <v>23</v>
      </c>
      <c r="B102" s="9" t="s">
        <v>519</v>
      </c>
      <c r="C102" s="9" t="s">
        <v>18</v>
      </c>
      <c r="D102" s="9" t="s">
        <v>493</v>
      </c>
      <c r="E102" s="9" t="s">
        <v>520</v>
      </c>
      <c r="F102" s="9" t="s">
        <v>67</v>
      </c>
      <c r="G102" s="9" t="s">
        <v>521</v>
      </c>
      <c r="H102" s="9" t="s">
        <v>522</v>
      </c>
      <c r="I102" s="8" t="s">
        <v>30</v>
      </c>
      <c r="J102" s="8" t="s">
        <v>189</v>
      </c>
      <c r="K102" s="8" t="s">
        <v>175</v>
      </c>
      <c r="L102" s="8" t="s">
        <v>12</v>
      </c>
      <c r="M102" s="8" t="s">
        <v>20</v>
      </c>
      <c r="N102" s="8"/>
      <c r="O102" s="9" t="s">
        <v>1224</v>
      </c>
      <c r="P102" s="9" t="s">
        <v>1214</v>
      </c>
      <c r="Q102" s="10">
        <v>46238</v>
      </c>
      <c r="R102" s="9" t="s">
        <v>14</v>
      </c>
      <c r="S102" s="19"/>
    </row>
    <row r="103" spans="1:19" ht="54" customHeight="1" x14ac:dyDescent="0.25">
      <c r="A103" s="16" t="s">
        <v>23</v>
      </c>
      <c r="B103" s="9" t="s">
        <v>523</v>
      </c>
      <c r="C103" s="9" t="s">
        <v>18</v>
      </c>
      <c r="D103" s="9" t="s">
        <v>493</v>
      </c>
      <c r="E103" s="9" t="s">
        <v>524</v>
      </c>
      <c r="F103" s="9" t="s">
        <v>67</v>
      </c>
      <c r="G103" s="9" t="s">
        <v>525</v>
      </c>
      <c r="H103" s="9" t="s">
        <v>526</v>
      </c>
      <c r="I103" s="8" t="s">
        <v>30</v>
      </c>
      <c r="J103" s="8" t="s">
        <v>189</v>
      </c>
      <c r="K103" s="8" t="s">
        <v>175</v>
      </c>
      <c r="L103" s="8" t="s">
        <v>12</v>
      </c>
      <c r="M103" s="8" t="s">
        <v>20</v>
      </c>
      <c r="N103" s="8"/>
      <c r="O103" s="9" t="s">
        <v>1224</v>
      </c>
      <c r="P103" s="9" t="s">
        <v>1214</v>
      </c>
      <c r="Q103" s="10">
        <v>46238</v>
      </c>
      <c r="R103" s="9" t="s">
        <v>14</v>
      </c>
      <c r="S103" s="19"/>
    </row>
    <row r="104" spans="1:19" ht="54" customHeight="1" x14ac:dyDescent="0.25">
      <c r="A104" s="16" t="s">
        <v>23</v>
      </c>
      <c r="B104" s="9" t="s">
        <v>527</v>
      </c>
      <c r="C104" s="9" t="s">
        <v>18</v>
      </c>
      <c r="D104" s="9" t="s">
        <v>493</v>
      </c>
      <c r="E104" s="9" t="s">
        <v>528</v>
      </c>
      <c r="F104" s="9" t="s">
        <v>67</v>
      </c>
      <c r="G104" s="9" t="s">
        <v>529</v>
      </c>
      <c r="H104" s="9" t="s">
        <v>530</v>
      </c>
      <c r="I104" s="8" t="s">
        <v>30</v>
      </c>
      <c r="J104" s="8" t="s">
        <v>531</v>
      </c>
      <c r="K104" s="8" t="s">
        <v>175</v>
      </c>
      <c r="L104" s="8" t="s">
        <v>12</v>
      </c>
      <c r="M104" s="8" t="s">
        <v>20</v>
      </c>
      <c r="N104" s="8"/>
      <c r="O104" s="9" t="s">
        <v>1224</v>
      </c>
      <c r="P104" s="9" t="s">
        <v>1214</v>
      </c>
      <c r="Q104" s="10">
        <v>46238</v>
      </c>
      <c r="R104" s="9" t="s">
        <v>14</v>
      </c>
      <c r="S104" s="19"/>
    </row>
    <row r="105" spans="1:19" ht="54" customHeight="1" x14ac:dyDescent="0.25">
      <c r="A105" s="16" t="s">
        <v>13</v>
      </c>
      <c r="B105" s="9" t="s">
        <v>532</v>
      </c>
      <c r="C105" s="9" t="s">
        <v>18</v>
      </c>
      <c r="D105" s="9" t="s">
        <v>493</v>
      </c>
      <c r="E105" s="9" t="s">
        <v>533</v>
      </c>
      <c r="F105" s="9" t="s">
        <v>67</v>
      </c>
      <c r="G105" s="9" t="s">
        <v>534</v>
      </c>
      <c r="H105" s="9" t="s">
        <v>535</v>
      </c>
      <c r="I105" s="8" t="s">
        <v>30</v>
      </c>
      <c r="J105" s="8" t="s">
        <v>168</v>
      </c>
      <c r="K105" s="8" t="s">
        <v>175</v>
      </c>
      <c r="L105" s="8" t="s">
        <v>22</v>
      </c>
      <c r="M105" s="8" t="s">
        <v>10</v>
      </c>
      <c r="N105" s="8"/>
      <c r="O105" s="9"/>
      <c r="P105" s="9"/>
      <c r="Q105" s="10"/>
      <c r="R105" s="9" t="s">
        <v>14</v>
      </c>
      <c r="S105" s="19"/>
    </row>
    <row r="106" spans="1:19" ht="54" customHeight="1" x14ac:dyDescent="0.25">
      <c r="A106" s="16" t="s">
        <v>13</v>
      </c>
      <c r="B106" s="9" t="s">
        <v>536</v>
      </c>
      <c r="C106" s="9" t="s">
        <v>18</v>
      </c>
      <c r="D106" s="9" t="s">
        <v>493</v>
      </c>
      <c r="E106" s="9" t="s">
        <v>537</v>
      </c>
      <c r="F106" s="9" t="s">
        <v>67</v>
      </c>
      <c r="G106" s="9" t="s">
        <v>538</v>
      </c>
      <c r="H106" s="9" t="s">
        <v>539</v>
      </c>
      <c r="I106" s="8" t="s">
        <v>37</v>
      </c>
      <c r="J106" s="8" t="s">
        <v>540</v>
      </c>
      <c r="K106" s="8" t="s">
        <v>95</v>
      </c>
      <c r="L106" s="8" t="s">
        <v>22</v>
      </c>
      <c r="M106" s="8" t="s">
        <v>10</v>
      </c>
      <c r="N106" s="8"/>
      <c r="O106" s="9"/>
      <c r="P106" s="9"/>
      <c r="Q106" s="10"/>
      <c r="R106" s="9" t="s">
        <v>14</v>
      </c>
      <c r="S106" s="19"/>
    </row>
    <row r="107" spans="1:19" ht="54" customHeight="1" x14ac:dyDescent="0.25">
      <c r="A107" s="16" t="s">
        <v>13</v>
      </c>
      <c r="B107" s="9" t="s">
        <v>541</v>
      </c>
      <c r="C107" s="9" t="s">
        <v>18</v>
      </c>
      <c r="D107" s="9" t="s">
        <v>493</v>
      </c>
      <c r="E107" s="9" t="s">
        <v>542</v>
      </c>
      <c r="F107" s="9" t="s">
        <v>67</v>
      </c>
      <c r="G107" s="9" t="s">
        <v>543</v>
      </c>
      <c r="H107" s="9" t="s">
        <v>544</v>
      </c>
      <c r="I107" s="8" t="s">
        <v>30</v>
      </c>
      <c r="J107" s="8" t="s">
        <v>189</v>
      </c>
      <c r="K107" s="8" t="s">
        <v>175</v>
      </c>
      <c r="L107" s="8" t="s">
        <v>22</v>
      </c>
      <c r="M107" s="8" t="s">
        <v>10</v>
      </c>
      <c r="N107" s="8"/>
      <c r="O107" s="9"/>
      <c r="P107" s="9"/>
      <c r="Q107" s="10"/>
      <c r="R107" s="9" t="s">
        <v>14</v>
      </c>
      <c r="S107" s="19"/>
    </row>
    <row r="108" spans="1:19" ht="54" customHeight="1" x14ac:dyDescent="0.25">
      <c r="A108" s="16" t="s">
        <v>23</v>
      </c>
      <c r="B108" s="9" t="s">
        <v>545</v>
      </c>
      <c r="C108" s="9" t="s">
        <v>18</v>
      </c>
      <c r="D108" s="9" t="s">
        <v>546</v>
      </c>
      <c r="E108" s="9" t="s">
        <v>1085</v>
      </c>
      <c r="F108" s="9" t="s">
        <v>1086</v>
      </c>
      <c r="G108" s="9" t="s">
        <v>1087</v>
      </c>
      <c r="H108" s="9" t="s">
        <v>1088</v>
      </c>
      <c r="I108" s="8" t="s">
        <v>30</v>
      </c>
      <c r="J108" s="8" t="s">
        <v>547</v>
      </c>
      <c r="K108" s="8" t="s">
        <v>175</v>
      </c>
      <c r="L108" s="8" t="s">
        <v>22</v>
      </c>
      <c r="M108" s="8" t="s">
        <v>20</v>
      </c>
      <c r="N108" s="8"/>
      <c r="O108" s="9" t="s">
        <v>1225</v>
      </c>
      <c r="P108" s="9" t="s">
        <v>1214</v>
      </c>
      <c r="Q108" s="10">
        <v>46238</v>
      </c>
      <c r="R108" s="9" t="s">
        <v>14</v>
      </c>
      <c r="S108" s="19" t="s">
        <v>1089</v>
      </c>
    </row>
    <row r="109" spans="1:19" ht="54" customHeight="1" x14ac:dyDescent="0.25">
      <c r="A109" s="16" t="s">
        <v>23</v>
      </c>
      <c r="B109" s="9" t="s">
        <v>548</v>
      </c>
      <c r="C109" s="9" t="s">
        <v>18</v>
      </c>
      <c r="D109" s="9" t="s">
        <v>546</v>
      </c>
      <c r="E109" s="9" t="s">
        <v>1090</v>
      </c>
      <c r="F109" s="9" t="s">
        <v>1091</v>
      </c>
      <c r="G109" s="9" t="s">
        <v>1092</v>
      </c>
      <c r="H109" s="9" t="s">
        <v>1093</v>
      </c>
      <c r="I109" s="8" t="s">
        <v>11</v>
      </c>
      <c r="J109" s="8" t="s">
        <v>35</v>
      </c>
      <c r="K109" s="8" t="s">
        <v>159</v>
      </c>
      <c r="L109" s="8" t="s">
        <v>22</v>
      </c>
      <c r="M109" s="8" t="s">
        <v>20</v>
      </c>
      <c r="N109" s="8"/>
      <c r="O109" s="9" t="s">
        <v>1225</v>
      </c>
      <c r="P109" s="9" t="s">
        <v>1214</v>
      </c>
      <c r="Q109" s="10">
        <v>46238</v>
      </c>
      <c r="R109" s="9" t="s">
        <v>14</v>
      </c>
      <c r="S109" s="19"/>
    </row>
    <row r="110" spans="1:19" ht="54" customHeight="1" x14ac:dyDescent="0.25">
      <c r="A110" s="16" t="s">
        <v>23</v>
      </c>
      <c r="B110" s="9" t="s">
        <v>549</v>
      </c>
      <c r="C110" s="9" t="s">
        <v>18</v>
      </c>
      <c r="D110" s="9" t="s">
        <v>546</v>
      </c>
      <c r="E110" s="9" t="s">
        <v>1094</v>
      </c>
      <c r="F110" s="9" t="s">
        <v>1095</v>
      </c>
      <c r="G110" s="9" t="s">
        <v>1096</v>
      </c>
      <c r="H110" s="9" t="s">
        <v>1097</v>
      </c>
      <c r="I110" s="8" t="s">
        <v>11</v>
      </c>
      <c r="J110" s="8" t="s">
        <v>44</v>
      </c>
      <c r="K110" s="8" t="s">
        <v>159</v>
      </c>
      <c r="L110" s="8" t="s">
        <v>22</v>
      </c>
      <c r="M110" s="8" t="s">
        <v>20</v>
      </c>
      <c r="N110" s="8"/>
      <c r="O110" s="9" t="s">
        <v>1225</v>
      </c>
      <c r="P110" s="9" t="s">
        <v>1214</v>
      </c>
      <c r="Q110" s="10">
        <v>46238</v>
      </c>
      <c r="R110" s="9" t="s">
        <v>14</v>
      </c>
      <c r="S110" s="19"/>
    </row>
    <row r="111" spans="1:19" ht="54" customHeight="1" x14ac:dyDescent="0.25">
      <c r="A111" s="16" t="s">
        <v>13</v>
      </c>
      <c r="B111" s="9" t="s">
        <v>550</v>
      </c>
      <c r="C111" s="9" t="s">
        <v>18</v>
      </c>
      <c r="D111" s="9" t="s">
        <v>546</v>
      </c>
      <c r="E111" s="9" t="s">
        <v>551</v>
      </c>
      <c r="F111" s="9" t="s">
        <v>67</v>
      </c>
      <c r="G111" s="9" t="s">
        <v>552</v>
      </c>
      <c r="H111" s="9" t="s">
        <v>553</v>
      </c>
      <c r="I111" s="8" t="s">
        <v>30</v>
      </c>
      <c r="J111" s="8" t="s">
        <v>174</v>
      </c>
      <c r="K111" s="8" t="s">
        <v>175</v>
      </c>
      <c r="L111" s="8" t="s">
        <v>22</v>
      </c>
      <c r="M111" s="8" t="s">
        <v>10</v>
      </c>
      <c r="N111" s="8"/>
      <c r="O111" s="9"/>
      <c r="P111" s="9"/>
      <c r="Q111" s="10"/>
      <c r="R111" s="9" t="s">
        <v>14</v>
      </c>
      <c r="S111" s="19"/>
    </row>
    <row r="112" spans="1:19" ht="54" customHeight="1" x14ac:dyDescent="0.25">
      <c r="A112" s="16" t="s">
        <v>13</v>
      </c>
      <c r="B112" s="9" t="s">
        <v>554</v>
      </c>
      <c r="C112" s="9" t="s">
        <v>18</v>
      </c>
      <c r="D112" s="9" t="s">
        <v>546</v>
      </c>
      <c r="E112" s="9" t="s">
        <v>555</v>
      </c>
      <c r="F112" s="9" t="s">
        <v>67</v>
      </c>
      <c r="G112" s="9" t="s">
        <v>556</v>
      </c>
      <c r="H112" s="9" t="s">
        <v>557</v>
      </c>
      <c r="I112" s="8" t="s">
        <v>30</v>
      </c>
      <c r="J112" s="8" t="s">
        <v>316</v>
      </c>
      <c r="K112" s="8" t="s">
        <v>159</v>
      </c>
      <c r="L112" s="8" t="s">
        <v>22</v>
      </c>
      <c r="M112" s="8" t="s">
        <v>10</v>
      </c>
      <c r="N112" s="8"/>
      <c r="O112" s="9"/>
      <c r="P112" s="9"/>
      <c r="Q112" s="10"/>
      <c r="R112" s="9" t="s">
        <v>14</v>
      </c>
      <c r="S112" s="19"/>
    </row>
    <row r="113" spans="1:19" ht="54" customHeight="1" x14ac:dyDescent="0.25">
      <c r="A113" s="16" t="s">
        <v>23</v>
      </c>
      <c r="B113" s="9" t="s">
        <v>558</v>
      </c>
      <c r="C113" s="9" t="s">
        <v>18</v>
      </c>
      <c r="D113" s="9" t="s">
        <v>546</v>
      </c>
      <c r="E113" s="9" t="s">
        <v>559</v>
      </c>
      <c r="F113" s="9" t="s">
        <v>67</v>
      </c>
      <c r="G113" s="9" t="s">
        <v>560</v>
      </c>
      <c r="H113" s="9" t="s">
        <v>561</v>
      </c>
      <c r="I113" s="8" t="s">
        <v>11</v>
      </c>
      <c r="J113" s="8" t="s">
        <v>352</v>
      </c>
      <c r="K113" s="8" t="s">
        <v>317</v>
      </c>
      <c r="L113" s="8" t="s">
        <v>12</v>
      </c>
      <c r="M113" s="8" t="s">
        <v>20</v>
      </c>
      <c r="N113" s="8"/>
      <c r="O113" s="9" t="s">
        <v>1225</v>
      </c>
      <c r="P113" s="9" t="s">
        <v>1214</v>
      </c>
      <c r="Q113" s="10">
        <v>46238</v>
      </c>
      <c r="R113" s="9" t="s">
        <v>14</v>
      </c>
      <c r="S113" s="19"/>
    </row>
    <row r="114" spans="1:19" ht="54" customHeight="1" x14ac:dyDescent="0.25">
      <c r="A114" s="16" t="s">
        <v>23</v>
      </c>
      <c r="B114" s="9" t="s">
        <v>562</v>
      </c>
      <c r="C114" s="9" t="s">
        <v>18</v>
      </c>
      <c r="D114" s="9" t="s">
        <v>546</v>
      </c>
      <c r="E114" s="9" t="s">
        <v>563</v>
      </c>
      <c r="F114" s="9" t="s">
        <v>67</v>
      </c>
      <c r="G114" s="9" t="s">
        <v>564</v>
      </c>
      <c r="H114" s="9" t="s">
        <v>565</v>
      </c>
      <c r="I114" s="8" t="s">
        <v>11</v>
      </c>
      <c r="J114" s="8" t="s">
        <v>566</v>
      </c>
      <c r="K114" s="8" t="s">
        <v>317</v>
      </c>
      <c r="L114" s="8" t="s">
        <v>12</v>
      </c>
      <c r="M114" s="8" t="s">
        <v>20</v>
      </c>
      <c r="N114" s="8"/>
      <c r="O114" s="9" t="s">
        <v>1225</v>
      </c>
      <c r="P114" s="9" t="s">
        <v>1214</v>
      </c>
      <c r="Q114" s="10">
        <v>46238</v>
      </c>
      <c r="R114" s="9" t="s">
        <v>14</v>
      </c>
      <c r="S114" s="19"/>
    </row>
    <row r="115" spans="1:19" ht="54" customHeight="1" x14ac:dyDescent="0.25">
      <c r="A115" s="16" t="s">
        <v>23</v>
      </c>
      <c r="B115" s="9" t="s">
        <v>567</v>
      </c>
      <c r="C115" s="9" t="s">
        <v>18</v>
      </c>
      <c r="D115" s="9" t="s">
        <v>546</v>
      </c>
      <c r="E115" s="9" t="s">
        <v>568</v>
      </c>
      <c r="F115" s="9" t="s">
        <v>67</v>
      </c>
      <c r="G115" s="9" t="s">
        <v>569</v>
      </c>
      <c r="H115" s="9" t="s">
        <v>570</v>
      </c>
      <c r="I115" s="8" t="s">
        <v>11</v>
      </c>
      <c r="J115" s="8" t="s">
        <v>571</v>
      </c>
      <c r="K115" s="8" t="s">
        <v>90</v>
      </c>
      <c r="L115" s="8" t="s">
        <v>12</v>
      </c>
      <c r="M115" s="8" t="s">
        <v>20</v>
      </c>
      <c r="N115" s="8"/>
      <c r="O115" s="9" t="s">
        <v>1225</v>
      </c>
      <c r="P115" s="9" t="s">
        <v>1214</v>
      </c>
      <c r="Q115" s="10">
        <v>46238</v>
      </c>
      <c r="R115" s="9" t="s">
        <v>14</v>
      </c>
      <c r="S115" s="19"/>
    </row>
    <row r="116" spans="1:19" ht="54" customHeight="1" x14ac:dyDescent="0.25">
      <c r="A116" s="16" t="s">
        <v>23</v>
      </c>
      <c r="B116" s="9" t="s">
        <v>572</v>
      </c>
      <c r="C116" s="9" t="s">
        <v>18</v>
      </c>
      <c r="D116" s="9" t="s">
        <v>546</v>
      </c>
      <c r="E116" s="9" t="s">
        <v>573</v>
      </c>
      <c r="F116" s="9" t="s">
        <v>67</v>
      </c>
      <c r="G116" s="9" t="s">
        <v>574</v>
      </c>
      <c r="H116" s="9" t="s">
        <v>575</v>
      </c>
      <c r="I116" s="8" t="s">
        <v>11</v>
      </c>
      <c r="J116" s="8" t="s">
        <v>571</v>
      </c>
      <c r="K116" s="8" t="s">
        <v>90</v>
      </c>
      <c r="L116" s="8" t="s">
        <v>12</v>
      </c>
      <c r="M116" s="8" t="s">
        <v>20</v>
      </c>
      <c r="N116" s="8"/>
      <c r="O116" s="9" t="s">
        <v>1225</v>
      </c>
      <c r="P116" s="9" t="s">
        <v>1214</v>
      </c>
      <c r="Q116" s="10">
        <v>46238</v>
      </c>
      <c r="R116" s="9" t="s">
        <v>14</v>
      </c>
      <c r="S116" s="19"/>
    </row>
    <row r="117" spans="1:19" ht="54" customHeight="1" x14ac:dyDescent="0.25">
      <c r="A117" s="16" t="s">
        <v>23</v>
      </c>
      <c r="B117" s="9" t="s">
        <v>576</v>
      </c>
      <c r="C117" s="9" t="s">
        <v>18</v>
      </c>
      <c r="D117" s="9" t="s">
        <v>546</v>
      </c>
      <c r="E117" s="9" t="s">
        <v>577</v>
      </c>
      <c r="F117" s="9" t="s">
        <v>67</v>
      </c>
      <c r="G117" s="9" t="s">
        <v>578</v>
      </c>
      <c r="H117" s="9" t="s">
        <v>579</v>
      </c>
      <c r="I117" s="8" t="s">
        <v>11</v>
      </c>
      <c r="J117" s="8" t="s">
        <v>316</v>
      </c>
      <c r="K117" s="8" t="s">
        <v>317</v>
      </c>
      <c r="L117" s="8" t="s">
        <v>12</v>
      </c>
      <c r="M117" s="8" t="s">
        <v>20</v>
      </c>
      <c r="N117" s="8"/>
      <c r="O117" s="9" t="s">
        <v>1225</v>
      </c>
      <c r="P117" s="9" t="s">
        <v>1214</v>
      </c>
      <c r="Q117" s="10">
        <v>46238</v>
      </c>
      <c r="R117" s="9" t="s">
        <v>14</v>
      </c>
      <c r="S117" s="19"/>
    </row>
    <row r="118" spans="1:19" ht="54" customHeight="1" x14ac:dyDescent="0.25">
      <c r="A118" s="16" t="s">
        <v>13</v>
      </c>
      <c r="B118" s="9" t="s">
        <v>580</v>
      </c>
      <c r="C118" s="9" t="s">
        <v>18</v>
      </c>
      <c r="D118" s="9" t="s">
        <v>546</v>
      </c>
      <c r="E118" s="9" t="s">
        <v>581</v>
      </c>
      <c r="F118" s="9" t="s">
        <v>67</v>
      </c>
      <c r="G118" s="9" t="s">
        <v>582</v>
      </c>
      <c r="H118" s="9" t="s">
        <v>583</v>
      </c>
      <c r="I118" s="8" t="s">
        <v>11</v>
      </c>
      <c r="J118" s="8" t="s">
        <v>322</v>
      </c>
      <c r="K118" s="8" t="s">
        <v>317</v>
      </c>
      <c r="L118" s="8" t="s">
        <v>22</v>
      </c>
      <c r="M118" s="8" t="s">
        <v>10</v>
      </c>
      <c r="N118" s="8"/>
      <c r="O118" s="9"/>
      <c r="P118" s="9"/>
      <c r="Q118" s="10"/>
      <c r="R118" s="9" t="s">
        <v>14</v>
      </c>
      <c r="S118" s="19"/>
    </row>
    <row r="119" spans="1:19" ht="54" customHeight="1" x14ac:dyDescent="0.25">
      <c r="A119" s="16" t="s">
        <v>13</v>
      </c>
      <c r="B119" s="9" t="s">
        <v>584</v>
      </c>
      <c r="C119" s="9" t="s">
        <v>18</v>
      </c>
      <c r="D119" s="9" t="s">
        <v>546</v>
      </c>
      <c r="E119" s="9" t="s">
        <v>585</v>
      </c>
      <c r="F119" s="9" t="s">
        <v>67</v>
      </c>
      <c r="G119" s="9" t="s">
        <v>586</v>
      </c>
      <c r="H119" s="9" t="s">
        <v>587</v>
      </c>
      <c r="I119" s="8" t="s">
        <v>11</v>
      </c>
      <c r="J119" s="8" t="s">
        <v>588</v>
      </c>
      <c r="K119" s="8" t="s">
        <v>90</v>
      </c>
      <c r="L119" s="8" t="s">
        <v>22</v>
      </c>
      <c r="M119" s="8" t="s">
        <v>10</v>
      </c>
      <c r="N119" s="8"/>
      <c r="O119" s="9"/>
      <c r="P119" s="9"/>
      <c r="Q119" s="10"/>
      <c r="R119" s="9" t="s">
        <v>14</v>
      </c>
      <c r="S119" s="19"/>
    </row>
    <row r="120" spans="1:19" ht="54" customHeight="1" x14ac:dyDescent="0.25">
      <c r="A120" s="16" t="s">
        <v>13</v>
      </c>
      <c r="B120" s="9" t="s">
        <v>589</v>
      </c>
      <c r="C120" s="9" t="s">
        <v>18</v>
      </c>
      <c r="D120" s="9" t="s">
        <v>546</v>
      </c>
      <c r="E120" s="9" t="s">
        <v>590</v>
      </c>
      <c r="F120" s="9" t="s">
        <v>67</v>
      </c>
      <c r="G120" s="9" t="s">
        <v>591</v>
      </c>
      <c r="H120" s="9" t="s">
        <v>592</v>
      </c>
      <c r="I120" s="8" t="s">
        <v>11</v>
      </c>
      <c r="J120" s="8" t="s">
        <v>316</v>
      </c>
      <c r="K120" s="8" t="s">
        <v>317</v>
      </c>
      <c r="L120" s="8" t="s">
        <v>22</v>
      </c>
      <c r="M120" s="8" t="s">
        <v>10</v>
      </c>
      <c r="N120" s="8"/>
      <c r="O120" s="9"/>
      <c r="P120" s="9"/>
      <c r="Q120" s="10"/>
      <c r="R120" s="9" t="s">
        <v>14</v>
      </c>
      <c r="S120" s="19"/>
    </row>
    <row r="121" spans="1:19" ht="54" customHeight="1" x14ac:dyDescent="0.25">
      <c r="A121" s="16" t="s">
        <v>13</v>
      </c>
      <c r="B121" s="9" t="s">
        <v>593</v>
      </c>
      <c r="C121" s="9" t="s">
        <v>18</v>
      </c>
      <c r="D121" s="9" t="s">
        <v>546</v>
      </c>
      <c r="E121" s="9" t="s">
        <v>594</v>
      </c>
      <c r="F121" s="9" t="s">
        <v>67</v>
      </c>
      <c r="G121" s="9" t="s">
        <v>595</v>
      </c>
      <c r="H121" s="9" t="s">
        <v>596</v>
      </c>
      <c r="I121" s="8" t="s">
        <v>30</v>
      </c>
      <c r="J121" s="8" t="s">
        <v>35</v>
      </c>
      <c r="K121" s="8" t="s">
        <v>159</v>
      </c>
      <c r="L121" s="8" t="s">
        <v>22</v>
      </c>
      <c r="M121" s="8" t="s">
        <v>10</v>
      </c>
      <c r="N121" s="8"/>
      <c r="O121" s="9"/>
      <c r="P121" s="9"/>
      <c r="Q121" s="10"/>
      <c r="R121" s="9" t="s">
        <v>14</v>
      </c>
      <c r="S121" s="19"/>
    </row>
    <row r="122" spans="1:19" ht="54" customHeight="1" x14ac:dyDescent="0.25">
      <c r="A122" s="16" t="s">
        <v>13</v>
      </c>
      <c r="B122" s="9" t="s">
        <v>597</v>
      </c>
      <c r="C122" s="9" t="s">
        <v>18</v>
      </c>
      <c r="D122" s="9" t="s">
        <v>546</v>
      </c>
      <c r="E122" s="9" t="s">
        <v>598</v>
      </c>
      <c r="F122" s="9" t="s">
        <v>67</v>
      </c>
      <c r="G122" s="9" t="s">
        <v>599</v>
      </c>
      <c r="H122" s="9" t="s">
        <v>600</v>
      </c>
      <c r="I122" s="8" t="s">
        <v>30</v>
      </c>
      <c r="J122" s="8" t="s">
        <v>601</v>
      </c>
      <c r="K122" s="8" t="s">
        <v>317</v>
      </c>
      <c r="L122" s="8" t="s">
        <v>22</v>
      </c>
      <c r="M122" s="8" t="s">
        <v>10</v>
      </c>
      <c r="N122" s="8"/>
      <c r="O122" s="9"/>
      <c r="P122" s="9"/>
      <c r="Q122" s="10"/>
      <c r="R122" s="9" t="s">
        <v>14</v>
      </c>
      <c r="S122" s="19"/>
    </row>
    <row r="123" spans="1:19" ht="54" customHeight="1" x14ac:dyDescent="0.25">
      <c r="A123" s="16" t="s">
        <v>13</v>
      </c>
      <c r="B123" s="9" t="s">
        <v>602</v>
      </c>
      <c r="C123" s="9" t="s">
        <v>18</v>
      </c>
      <c r="D123" s="9" t="s">
        <v>546</v>
      </c>
      <c r="E123" s="9" t="s">
        <v>603</v>
      </c>
      <c r="F123" s="9" t="s">
        <v>67</v>
      </c>
      <c r="G123" s="9" t="s">
        <v>604</v>
      </c>
      <c r="H123" s="9" t="s">
        <v>605</v>
      </c>
      <c r="I123" s="8" t="s">
        <v>30</v>
      </c>
      <c r="J123" s="8" t="s">
        <v>168</v>
      </c>
      <c r="K123" s="8" t="s">
        <v>175</v>
      </c>
      <c r="L123" s="8" t="s">
        <v>22</v>
      </c>
      <c r="M123" s="8" t="s">
        <v>10</v>
      </c>
      <c r="N123" s="8"/>
      <c r="O123" s="9"/>
      <c r="P123" s="9"/>
      <c r="Q123" s="10"/>
      <c r="R123" s="9" t="s">
        <v>14</v>
      </c>
      <c r="S123" s="19"/>
    </row>
    <row r="124" spans="1:19" ht="54" customHeight="1" x14ac:dyDescent="0.25">
      <c r="A124" s="16" t="s">
        <v>13</v>
      </c>
      <c r="B124" s="9" t="s">
        <v>606</v>
      </c>
      <c r="C124" s="9" t="s">
        <v>18</v>
      </c>
      <c r="D124" s="9" t="s">
        <v>546</v>
      </c>
      <c r="E124" s="9" t="s">
        <v>607</v>
      </c>
      <c r="F124" s="9" t="s">
        <v>67</v>
      </c>
      <c r="G124" s="9" t="s">
        <v>608</v>
      </c>
      <c r="H124" s="9" t="s">
        <v>609</v>
      </c>
      <c r="I124" s="8" t="s">
        <v>30</v>
      </c>
      <c r="J124" s="8" t="s">
        <v>352</v>
      </c>
      <c r="K124" s="8" t="s">
        <v>159</v>
      </c>
      <c r="L124" s="8" t="s">
        <v>22</v>
      </c>
      <c r="M124" s="8" t="s">
        <v>10</v>
      </c>
      <c r="N124" s="8"/>
      <c r="O124" s="9"/>
      <c r="P124" s="9"/>
      <c r="Q124" s="10"/>
      <c r="R124" s="9" t="s">
        <v>14</v>
      </c>
      <c r="S124" s="19"/>
    </row>
    <row r="125" spans="1:19" ht="54" customHeight="1" x14ac:dyDescent="0.25">
      <c r="A125" s="16" t="s">
        <v>23</v>
      </c>
      <c r="B125" s="9" t="s">
        <v>610</v>
      </c>
      <c r="C125" s="9" t="s">
        <v>18</v>
      </c>
      <c r="D125" s="9" t="s">
        <v>611</v>
      </c>
      <c r="E125" s="9" t="s">
        <v>612</v>
      </c>
      <c r="F125" s="9" t="s">
        <v>67</v>
      </c>
      <c r="G125" s="9" t="s">
        <v>613</v>
      </c>
      <c r="H125" s="9" t="s">
        <v>614</v>
      </c>
      <c r="I125" s="8" t="s">
        <v>11</v>
      </c>
      <c r="J125" s="8" t="s">
        <v>615</v>
      </c>
      <c r="K125" s="8" t="s">
        <v>90</v>
      </c>
      <c r="L125" s="8" t="s">
        <v>12</v>
      </c>
      <c r="M125" s="8" t="s">
        <v>20</v>
      </c>
      <c r="N125" s="8"/>
      <c r="O125" s="9" t="s">
        <v>1226</v>
      </c>
      <c r="P125" s="9" t="s">
        <v>1214</v>
      </c>
      <c r="Q125" s="10">
        <v>46238</v>
      </c>
      <c r="R125" s="9" t="s">
        <v>14</v>
      </c>
      <c r="S125" s="19"/>
    </row>
    <row r="126" spans="1:19" ht="54" customHeight="1" x14ac:dyDescent="0.25">
      <c r="A126" s="16" t="s">
        <v>23</v>
      </c>
      <c r="B126" s="9" t="s">
        <v>616</v>
      </c>
      <c r="C126" s="9" t="s">
        <v>18</v>
      </c>
      <c r="D126" s="9" t="s">
        <v>611</v>
      </c>
      <c r="E126" s="9" t="s">
        <v>617</v>
      </c>
      <c r="F126" s="9" t="s">
        <v>67</v>
      </c>
      <c r="G126" s="9" t="s">
        <v>618</v>
      </c>
      <c r="H126" s="9" t="s">
        <v>619</v>
      </c>
      <c r="I126" s="8" t="s">
        <v>30</v>
      </c>
      <c r="J126" s="8" t="s">
        <v>620</v>
      </c>
      <c r="K126" s="8" t="s">
        <v>347</v>
      </c>
      <c r="L126" s="8" t="s">
        <v>12</v>
      </c>
      <c r="M126" s="8" t="s">
        <v>20</v>
      </c>
      <c r="N126" s="8"/>
      <c r="O126" s="9" t="s">
        <v>1226</v>
      </c>
      <c r="P126" s="9" t="s">
        <v>1214</v>
      </c>
      <c r="Q126" s="10">
        <v>46238</v>
      </c>
      <c r="R126" s="9" t="s">
        <v>14</v>
      </c>
      <c r="S126" s="19"/>
    </row>
    <row r="127" spans="1:19" ht="54" customHeight="1" x14ac:dyDescent="0.25">
      <c r="A127" s="16" t="s">
        <v>13</v>
      </c>
      <c r="B127" s="9" t="s">
        <v>621</v>
      </c>
      <c r="C127" s="9" t="s">
        <v>18</v>
      </c>
      <c r="D127" s="9" t="s">
        <v>611</v>
      </c>
      <c r="E127" s="9" t="s">
        <v>622</v>
      </c>
      <c r="F127" s="9" t="s">
        <v>67</v>
      </c>
      <c r="G127" s="9" t="s">
        <v>623</v>
      </c>
      <c r="H127" s="9" t="s">
        <v>624</v>
      </c>
      <c r="I127" s="8" t="s">
        <v>11</v>
      </c>
      <c r="J127" s="8" t="s">
        <v>47</v>
      </c>
      <c r="K127" s="8" t="s">
        <v>347</v>
      </c>
      <c r="L127" s="8" t="s">
        <v>22</v>
      </c>
      <c r="M127" s="8" t="s">
        <v>10</v>
      </c>
      <c r="N127" s="8"/>
      <c r="O127" s="9"/>
      <c r="P127" s="9"/>
      <c r="Q127" s="10"/>
      <c r="R127" s="9" t="s">
        <v>14</v>
      </c>
      <c r="S127" s="19"/>
    </row>
    <row r="128" spans="1:19" ht="54" customHeight="1" x14ac:dyDescent="0.25">
      <c r="A128" s="16" t="s">
        <v>13</v>
      </c>
      <c r="B128" s="9" t="s">
        <v>625</v>
      </c>
      <c r="C128" s="9" t="s">
        <v>18</v>
      </c>
      <c r="D128" s="9" t="s">
        <v>611</v>
      </c>
      <c r="E128" s="9" t="s">
        <v>626</v>
      </c>
      <c r="F128" s="9" t="s">
        <v>67</v>
      </c>
      <c r="G128" s="9" t="s">
        <v>627</v>
      </c>
      <c r="H128" s="9" t="s">
        <v>628</v>
      </c>
      <c r="I128" s="8" t="s">
        <v>30</v>
      </c>
      <c r="J128" s="8" t="s">
        <v>47</v>
      </c>
      <c r="K128" s="8" t="s">
        <v>90</v>
      </c>
      <c r="L128" s="8" t="s">
        <v>22</v>
      </c>
      <c r="M128" s="8" t="s">
        <v>10</v>
      </c>
      <c r="N128" s="8"/>
      <c r="O128" s="9"/>
      <c r="P128" s="9"/>
      <c r="Q128" s="10"/>
      <c r="R128" s="9" t="s">
        <v>14</v>
      </c>
      <c r="S128" s="19"/>
    </row>
    <row r="129" spans="1:19" ht="54" customHeight="1" x14ac:dyDescent="0.25">
      <c r="A129" s="16" t="s">
        <v>23</v>
      </c>
      <c r="B129" s="9" t="s">
        <v>629</v>
      </c>
      <c r="C129" s="9" t="s">
        <v>18</v>
      </c>
      <c r="D129" s="9" t="s">
        <v>611</v>
      </c>
      <c r="E129" s="9" t="s">
        <v>630</v>
      </c>
      <c r="F129" s="9" t="s">
        <v>67</v>
      </c>
      <c r="G129" s="9" t="s">
        <v>631</v>
      </c>
      <c r="H129" s="9" t="s">
        <v>632</v>
      </c>
      <c r="I129" s="8" t="s">
        <v>11</v>
      </c>
      <c r="J129" s="8" t="s">
        <v>633</v>
      </c>
      <c r="K129" s="8" t="s">
        <v>347</v>
      </c>
      <c r="L129" s="8" t="s">
        <v>12</v>
      </c>
      <c r="M129" s="8" t="s">
        <v>20</v>
      </c>
      <c r="N129" s="8"/>
      <c r="O129" s="9" t="s">
        <v>1226</v>
      </c>
      <c r="P129" s="9" t="s">
        <v>1214</v>
      </c>
      <c r="Q129" s="10">
        <v>46238</v>
      </c>
      <c r="R129" s="9" t="s">
        <v>14</v>
      </c>
      <c r="S129" s="19"/>
    </row>
    <row r="130" spans="1:19" ht="54" customHeight="1" x14ac:dyDescent="0.25">
      <c r="A130" s="16" t="s">
        <v>23</v>
      </c>
      <c r="B130" s="9" t="s">
        <v>634</v>
      </c>
      <c r="C130" s="9" t="s">
        <v>18</v>
      </c>
      <c r="D130" s="9" t="s">
        <v>611</v>
      </c>
      <c r="E130" s="9" t="s">
        <v>635</v>
      </c>
      <c r="F130" s="9" t="s">
        <v>67</v>
      </c>
      <c r="G130" s="9" t="s">
        <v>636</v>
      </c>
      <c r="H130" s="9" t="s">
        <v>637</v>
      </c>
      <c r="I130" s="8" t="s">
        <v>11</v>
      </c>
      <c r="J130" s="8" t="s">
        <v>638</v>
      </c>
      <c r="K130" s="8" t="s">
        <v>90</v>
      </c>
      <c r="L130" s="8" t="s">
        <v>12</v>
      </c>
      <c r="M130" s="8" t="s">
        <v>20</v>
      </c>
      <c r="N130" s="8"/>
      <c r="O130" s="9" t="s">
        <v>1226</v>
      </c>
      <c r="P130" s="9" t="s">
        <v>1214</v>
      </c>
      <c r="Q130" s="10">
        <v>46238</v>
      </c>
      <c r="R130" s="9" t="s">
        <v>14</v>
      </c>
      <c r="S130" s="19"/>
    </row>
    <row r="131" spans="1:19" ht="54" customHeight="1" x14ac:dyDescent="0.25">
      <c r="A131" s="16" t="s">
        <v>23</v>
      </c>
      <c r="B131" s="9" t="s">
        <v>639</v>
      </c>
      <c r="C131" s="9" t="s">
        <v>18</v>
      </c>
      <c r="D131" s="9" t="s">
        <v>611</v>
      </c>
      <c r="E131" s="9" t="s">
        <v>640</v>
      </c>
      <c r="F131" s="9" t="s">
        <v>67</v>
      </c>
      <c r="G131" s="9" t="s">
        <v>641</v>
      </c>
      <c r="H131" s="9" t="s">
        <v>642</v>
      </c>
      <c r="I131" s="8" t="s">
        <v>11</v>
      </c>
      <c r="J131" s="8" t="s">
        <v>638</v>
      </c>
      <c r="K131" s="8" t="s">
        <v>90</v>
      </c>
      <c r="L131" s="8" t="s">
        <v>12</v>
      </c>
      <c r="M131" s="8" t="s">
        <v>20</v>
      </c>
      <c r="N131" s="8"/>
      <c r="O131" s="9" t="s">
        <v>1226</v>
      </c>
      <c r="P131" s="9" t="s">
        <v>1214</v>
      </c>
      <c r="Q131" s="10">
        <v>46238</v>
      </c>
      <c r="R131" s="9" t="s">
        <v>14</v>
      </c>
      <c r="S131" s="19"/>
    </row>
    <row r="132" spans="1:19" ht="54" customHeight="1" x14ac:dyDescent="0.25">
      <c r="A132" s="16" t="s">
        <v>13</v>
      </c>
      <c r="B132" s="9" t="s">
        <v>643</v>
      </c>
      <c r="C132" s="9" t="s">
        <v>18</v>
      </c>
      <c r="D132" s="9" t="s">
        <v>611</v>
      </c>
      <c r="E132" s="9" t="s">
        <v>644</v>
      </c>
      <c r="F132" s="9" t="s">
        <v>67</v>
      </c>
      <c r="G132" s="9" t="s">
        <v>645</v>
      </c>
      <c r="H132" s="9" t="s">
        <v>646</v>
      </c>
      <c r="I132" s="8" t="s">
        <v>30</v>
      </c>
      <c r="J132" s="8" t="s">
        <v>116</v>
      </c>
      <c r="K132" s="8" t="s">
        <v>90</v>
      </c>
      <c r="L132" s="8" t="s">
        <v>22</v>
      </c>
      <c r="M132" s="8" t="s">
        <v>10</v>
      </c>
      <c r="N132" s="8"/>
      <c r="O132" s="9"/>
      <c r="P132" s="9"/>
      <c r="Q132" s="10"/>
      <c r="R132" s="9" t="s">
        <v>14</v>
      </c>
      <c r="S132" s="19"/>
    </row>
    <row r="133" spans="1:19" ht="54" customHeight="1" x14ac:dyDescent="0.25">
      <c r="A133" s="16" t="s">
        <v>23</v>
      </c>
      <c r="B133" s="9" t="s">
        <v>647</v>
      </c>
      <c r="C133" s="9" t="s">
        <v>18</v>
      </c>
      <c r="D133" s="9" t="s">
        <v>611</v>
      </c>
      <c r="E133" s="9" t="s">
        <v>648</v>
      </c>
      <c r="F133" s="9" t="s">
        <v>67</v>
      </c>
      <c r="G133" s="9" t="s">
        <v>649</v>
      </c>
      <c r="H133" s="9" t="s">
        <v>650</v>
      </c>
      <c r="I133" s="8" t="s">
        <v>11</v>
      </c>
      <c r="J133" s="8" t="s">
        <v>651</v>
      </c>
      <c r="K133" s="8" t="s">
        <v>90</v>
      </c>
      <c r="L133" s="8" t="s">
        <v>12</v>
      </c>
      <c r="M133" s="8" t="s">
        <v>20</v>
      </c>
      <c r="N133" s="8"/>
      <c r="O133" s="9" t="s">
        <v>1226</v>
      </c>
      <c r="P133" s="9" t="s">
        <v>1214</v>
      </c>
      <c r="Q133" s="10">
        <v>46238</v>
      </c>
      <c r="R133" s="9" t="s">
        <v>14</v>
      </c>
      <c r="S133" s="19"/>
    </row>
    <row r="134" spans="1:19" ht="54" customHeight="1" x14ac:dyDescent="0.25">
      <c r="A134" s="16" t="s">
        <v>13</v>
      </c>
      <c r="B134" s="9" t="s">
        <v>652</v>
      </c>
      <c r="C134" s="9" t="s">
        <v>18</v>
      </c>
      <c r="D134" s="9" t="s">
        <v>611</v>
      </c>
      <c r="E134" s="9" t="s">
        <v>653</v>
      </c>
      <c r="F134" s="9" t="s">
        <v>67</v>
      </c>
      <c r="G134" s="9" t="s">
        <v>654</v>
      </c>
      <c r="H134" s="9" t="s">
        <v>655</v>
      </c>
      <c r="I134" s="8" t="s">
        <v>11</v>
      </c>
      <c r="J134" s="8" t="s">
        <v>656</v>
      </c>
      <c r="K134" s="8" t="s">
        <v>90</v>
      </c>
      <c r="L134" s="8" t="s">
        <v>22</v>
      </c>
      <c r="M134" s="8" t="s">
        <v>10</v>
      </c>
      <c r="N134" s="8"/>
      <c r="O134" s="9"/>
      <c r="P134" s="9"/>
      <c r="Q134" s="10"/>
      <c r="R134" s="9" t="s">
        <v>14</v>
      </c>
      <c r="S134" s="19"/>
    </row>
    <row r="135" spans="1:19" ht="54" customHeight="1" x14ac:dyDescent="0.25">
      <c r="A135" s="16" t="s">
        <v>23</v>
      </c>
      <c r="B135" s="9" t="s">
        <v>657</v>
      </c>
      <c r="C135" s="9" t="s">
        <v>18</v>
      </c>
      <c r="D135" s="9" t="s">
        <v>658</v>
      </c>
      <c r="E135" s="9" t="s">
        <v>659</v>
      </c>
      <c r="F135" s="9" t="s">
        <v>67</v>
      </c>
      <c r="G135" s="9" t="s">
        <v>660</v>
      </c>
      <c r="H135" s="9" t="s">
        <v>661</v>
      </c>
      <c r="I135" s="8" t="s">
        <v>11</v>
      </c>
      <c r="J135" s="8" t="s">
        <v>274</v>
      </c>
      <c r="K135" s="8" t="s">
        <v>238</v>
      </c>
      <c r="L135" s="8" t="s">
        <v>22</v>
      </c>
      <c r="M135" s="8" t="s">
        <v>20</v>
      </c>
      <c r="N135" s="8"/>
      <c r="O135" s="9" t="s">
        <v>1227</v>
      </c>
      <c r="P135" s="9" t="s">
        <v>1214</v>
      </c>
      <c r="Q135" s="10">
        <v>46238</v>
      </c>
      <c r="R135" s="9" t="s">
        <v>14</v>
      </c>
      <c r="S135" s="19"/>
    </row>
    <row r="136" spans="1:19" ht="54" customHeight="1" x14ac:dyDescent="0.25">
      <c r="A136" s="16" t="s">
        <v>23</v>
      </c>
      <c r="B136" s="9" t="s">
        <v>662</v>
      </c>
      <c r="C136" s="9" t="s">
        <v>18</v>
      </c>
      <c r="D136" s="9" t="s">
        <v>658</v>
      </c>
      <c r="E136" s="9" t="s">
        <v>663</v>
      </c>
      <c r="F136" s="9" t="s">
        <v>67</v>
      </c>
      <c r="G136" s="9" t="s">
        <v>664</v>
      </c>
      <c r="H136" s="9" t="s">
        <v>665</v>
      </c>
      <c r="I136" s="8" t="s">
        <v>11</v>
      </c>
      <c r="J136" s="8" t="s">
        <v>274</v>
      </c>
      <c r="K136" s="8" t="s">
        <v>175</v>
      </c>
      <c r="L136" s="8" t="s">
        <v>22</v>
      </c>
      <c r="M136" s="8" t="s">
        <v>20</v>
      </c>
      <c r="N136" s="8"/>
      <c r="O136" s="9" t="s">
        <v>1227</v>
      </c>
      <c r="P136" s="9" t="s">
        <v>1214</v>
      </c>
      <c r="Q136" s="10">
        <v>46238</v>
      </c>
      <c r="R136" s="9" t="s">
        <v>14</v>
      </c>
      <c r="S136" s="19"/>
    </row>
    <row r="137" spans="1:19" ht="54" customHeight="1" x14ac:dyDescent="0.25">
      <c r="A137" s="16" t="s">
        <v>23</v>
      </c>
      <c r="B137" s="9" t="s">
        <v>666</v>
      </c>
      <c r="C137" s="9" t="s">
        <v>18</v>
      </c>
      <c r="D137" s="9" t="s">
        <v>658</v>
      </c>
      <c r="E137" s="9" t="s">
        <v>667</v>
      </c>
      <c r="F137" s="9" t="s">
        <v>67</v>
      </c>
      <c r="G137" s="9" t="s">
        <v>668</v>
      </c>
      <c r="H137" s="9" t="s">
        <v>669</v>
      </c>
      <c r="I137" s="8" t="s">
        <v>11</v>
      </c>
      <c r="J137" s="8" t="s">
        <v>274</v>
      </c>
      <c r="K137" s="8" t="s">
        <v>95</v>
      </c>
      <c r="L137" s="8" t="s">
        <v>12</v>
      </c>
      <c r="M137" s="8" t="s">
        <v>20</v>
      </c>
      <c r="N137" s="8"/>
      <c r="O137" s="9" t="s">
        <v>1227</v>
      </c>
      <c r="P137" s="9" t="s">
        <v>1214</v>
      </c>
      <c r="Q137" s="10">
        <v>46238</v>
      </c>
      <c r="R137" s="9" t="s">
        <v>14</v>
      </c>
      <c r="S137" s="19"/>
    </row>
    <row r="138" spans="1:19" ht="54" customHeight="1" x14ac:dyDescent="0.25">
      <c r="A138" s="16" t="s">
        <v>13</v>
      </c>
      <c r="B138" s="9" t="s">
        <v>670</v>
      </c>
      <c r="C138" s="9" t="s">
        <v>18</v>
      </c>
      <c r="D138" s="9" t="s">
        <v>658</v>
      </c>
      <c r="E138" s="9" t="s">
        <v>671</v>
      </c>
      <c r="F138" s="9" t="s">
        <v>67</v>
      </c>
      <c r="G138" s="9" t="s">
        <v>672</v>
      </c>
      <c r="H138" s="9" t="s">
        <v>673</v>
      </c>
      <c r="I138" s="8" t="s">
        <v>30</v>
      </c>
      <c r="J138" s="8" t="s">
        <v>45</v>
      </c>
      <c r="K138" s="8" t="s">
        <v>238</v>
      </c>
      <c r="L138" s="8" t="s">
        <v>22</v>
      </c>
      <c r="M138" s="8" t="s">
        <v>10</v>
      </c>
      <c r="N138" s="8"/>
      <c r="O138" s="9"/>
      <c r="P138" s="9"/>
      <c r="Q138" s="10"/>
      <c r="R138" s="9" t="s">
        <v>14</v>
      </c>
      <c r="S138" s="19"/>
    </row>
    <row r="139" spans="1:19" ht="54" customHeight="1" x14ac:dyDescent="0.25">
      <c r="A139" s="16" t="s">
        <v>13</v>
      </c>
      <c r="B139" s="9" t="s">
        <v>674</v>
      </c>
      <c r="C139" s="9" t="s">
        <v>18</v>
      </c>
      <c r="D139" s="9" t="s">
        <v>658</v>
      </c>
      <c r="E139" s="9" t="s">
        <v>675</v>
      </c>
      <c r="F139" s="9" t="s">
        <v>67</v>
      </c>
      <c r="G139" s="9" t="s">
        <v>676</v>
      </c>
      <c r="H139" s="9" t="s">
        <v>677</v>
      </c>
      <c r="I139" s="8" t="s">
        <v>30</v>
      </c>
      <c r="J139" s="8" t="s">
        <v>45</v>
      </c>
      <c r="K139" s="8" t="s">
        <v>175</v>
      </c>
      <c r="L139" s="8" t="s">
        <v>22</v>
      </c>
      <c r="M139" s="8" t="s">
        <v>10</v>
      </c>
      <c r="N139" s="8"/>
      <c r="O139" s="9"/>
      <c r="P139" s="9"/>
      <c r="Q139" s="10"/>
      <c r="R139" s="9" t="s">
        <v>14</v>
      </c>
      <c r="S139" s="19"/>
    </row>
    <row r="140" spans="1:19" ht="54" customHeight="1" x14ac:dyDescent="0.25">
      <c r="A140" s="16" t="s">
        <v>13</v>
      </c>
      <c r="B140" s="9" t="s">
        <v>678</v>
      </c>
      <c r="C140" s="9" t="s">
        <v>18</v>
      </c>
      <c r="D140" s="9" t="s">
        <v>658</v>
      </c>
      <c r="E140" s="9" t="s">
        <v>679</v>
      </c>
      <c r="F140" s="9" t="s">
        <v>67</v>
      </c>
      <c r="G140" s="9" t="s">
        <v>680</v>
      </c>
      <c r="H140" s="9" t="s">
        <v>681</v>
      </c>
      <c r="I140" s="8" t="s">
        <v>30</v>
      </c>
      <c r="J140" s="8" t="s">
        <v>45</v>
      </c>
      <c r="K140" s="8" t="s">
        <v>175</v>
      </c>
      <c r="L140" s="8" t="s">
        <v>22</v>
      </c>
      <c r="M140" s="8" t="s">
        <v>10</v>
      </c>
      <c r="N140" s="8"/>
      <c r="O140" s="9"/>
      <c r="P140" s="9"/>
      <c r="Q140" s="10"/>
      <c r="R140" s="9" t="s">
        <v>14</v>
      </c>
      <c r="S140" s="19"/>
    </row>
    <row r="141" spans="1:19" ht="54" customHeight="1" x14ac:dyDescent="0.25">
      <c r="A141" s="16" t="s">
        <v>13</v>
      </c>
      <c r="B141" s="9" t="s">
        <v>682</v>
      </c>
      <c r="C141" s="9" t="s">
        <v>18</v>
      </c>
      <c r="D141" s="9" t="s">
        <v>658</v>
      </c>
      <c r="E141" s="9" t="s">
        <v>683</v>
      </c>
      <c r="F141" s="9" t="s">
        <v>67</v>
      </c>
      <c r="G141" s="9" t="s">
        <v>684</v>
      </c>
      <c r="H141" s="9" t="s">
        <v>685</v>
      </c>
      <c r="I141" s="8" t="s">
        <v>37</v>
      </c>
      <c r="J141" s="8" t="s">
        <v>45</v>
      </c>
      <c r="K141" s="8" t="s">
        <v>175</v>
      </c>
      <c r="L141" s="8" t="s">
        <v>31</v>
      </c>
      <c r="M141" s="8" t="s">
        <v>10</v>
      </c>
      <c r="N141" s="8"/>
      <c r="O141" s="9"/>
      <c r="P141" s="9"/>
      <c r="Q141" s="10"/>
      <c r="R141" s="9" t="s">
        <v>14</v>
      </c>
      <c r="S141" s="19"/>
    </row>
    <row r="142" spans="1:19" ht="54" customHeight="1" x14ac:dyDescent="0.25">
      <c r="A142" s="16" t="s">
        <v>23</v>
      </c>
      <c r="B142" s="9" t="s">
        <v>686</v>
      </c>
      <c r="C142" s="9" t="s">
        <v>18</v>
      </c>
      <c r="D142" s="9" t="s">
        <v>658</v>
      </c>
      <c r="E142" s="9" t="s">
        <v>687</v>
      </c>
      <c r="F142" s="9" t="s">
        <v>67</v>
      </c>
      <c r="G142" s="9" t="s">
        <v>688</v>
      </c>
      <c r="H142" s="9" t="s">
        <v>689</v>
      </c>
      <c r="I142" s="8" t="s">
        <v>30</v>
      </c>
      <c r="J142" s="8" t="s">
        <v>690</v>
      </c>
      <c r="K142" s="8" t="s">
        <v>175</v>
      </c>
      <c r="L142" s="8" t="s">
        <v>22</v>
      </c>
      <c r="M142" s="8" t="s">
        <v>20</v>
      </c>
      <c r="N142" s="8"/>
      <c r="O142" s="9" t="s">
        <v>1227</v>
      </c>
      <c r="P142" s="9" t="s">
        <v>1214</v>
      </c>
      <c r="Q142" s="10">
        <v>46238</v>
      </c>
      <c r="R142" s="9" t="s">
        <v>14</v>
      </c>
      <c r="S142" s="19"/>
    </row>
    <row r="143" spans="1:19" ht="54" customHeight="1" x14ac:dyDescent="0.25">
      <c r="A143" s="16" t="s">
        <v>23</v>
      </c>
      <c r="B143" s="9" t="s">
        <v>691</v>
      </c>
      <c r="C143" s="9" t="s">
        <v>18</v>
      </c>
      <c r="D143" s="9" t="s">
        <v>658</v>
      </c>
      <c r="E143" s="9" t="s">
        <v>692</v>
      </c>
      <c r="F143" s="9" t="s">
        <v>67</v>
      </c>
      <c r="G143" s="9" t="s">
        <v>693</v>
      </c>
      <c r="H143" s="9" t="s">
        <v>694</v>
      </c>
      <c r="I143" s="8" t="s">
        <v>30</v>
      </c>
      <c r="J143" s="8" t="s">
        <v>690</v>
      </c>
      <c r="K143" s="8" t="s">
        <v>175</v>
      </c>
      <c r="L143" s="8" t="s">
        <v>22</v>
      </c>
      <c r="M143" s="8" t="s">
        <v>20</v>
      </c>
      <c r="N143" s="8"/>
      <c r="O143" s="9" t="s">
        <v>1227</v>
      </c>
      <c r="P143" s="9" t="s">
        <v>1214</v>
      </c>
      <c r="Q143" s="10">
        <v>46238</v>
      </c>
      <c r="R143" s="9" t="s">
        <v>14</v>
      </c>
      <c r="S143" s="19"/>
    </row>
    <row r="144" spans="1:19" ht="54" customHeight="1" x14ac:dyDescent="0.25">
      <c r="A144" s="16" t="s">
        <v>23</v>
      </c>
      <c r="B144" s="9" t="s">
        <v>695</v>
      </c>
      <c r="C144" s="9" t="s">
        <v>18</v>
      </c>
      <c r="D144" s="9" t="s">
        <v>658</v>
      </c>
      <c r="E144" s="9" t="s">
        <v>696</v>
      </c>
      <c r="F144" s="9" t="s">
        <v>67</v>
      </c>
      <c r="G144" s="9" t="s">
        <v>697</v>
      </c>
      <c r="H144" s="9" t="s">
        <v>698</v>
      </c>
      <c r="I144" s="8" t="s">
        <v>30</v>
      </c>
      <c r="J144" s="8" t="s">
        <v>699</v>
      </c>
      <c r="K144" s="8" t="s">
        <v>105</v>
      </c>
      <c r="L144" s="8" t="s">
        <v>31</v>
      </c>
      <c r="M144" s="8" t="s">
        <v>20</v>
      </c>
      <c r="N144" s="8"/>
      <c r="O144" s="9" t="s">
        <v>1227</v>
      </c>
      <c r="P144" s="9" t="s">
        <v>1214</v>
      </c>
      <c r="Q144" s="10">
        <v>46238</v>
      </c>
      <c r="R144" s="9" t="s">
        <v>14</v>
      </c>
      <c r="S144" s="19"/>
    </row>
    <row r="145" spans="1:19" ht="54" customHeight="1" x14ac:dyDescent="0.25">
      <c r="A145" s="16" t="s">
        <v>13</v>
      </c>
      <c r="B145" s="9" t="s">
        <v>700</v>
      </c>
      <c r="C145" s="9" t="s">
        <v>18</v>
      </c>
      <c r="D145" s="9" t="s">
        <v>701</v>
      </c>
      <c r="E145" s="9" t="s">
        <v>702</v>
      </c>
      <c r="F145" s="9" t="s">
        <v>67</v>
      </c>
      <c r="G145" s="9" t="s">
        <v>703</v>
      </c>
      <c r="H145" s="9" t="s">
        <v>704</v>
      </c>
      <c r="I145" s="8" t="s">
        <v>30</v>
      </c>
      <c r="J145" s="8" t="s">
        <v>35</v>
      </c>
      <c r="K145" s="8" t="s">
        <v>90</v>
      </c>
      <c r="L145" s="8" t="s">
        <v>22</v>
      </c>
      <c r="M145" s="8" t="s">
        <v>10</v>
      </c>
      <c r="N145" s="8"/>
      <c r="O145" s="9"/>
      <c r="P145" s="9"/>
      <c r="Q145" s="10"/>
      <c r="R145" s="9" t="s">
        <v>14</v>
      </c>
      <c r="S145" s="19"/>
    </row>
    <row r="146" spans="1:19" ht="54" customHeight="1" x14ac:dyDescent="0.25">
      <c r="A146" s="16" t="s">
        <v>23</v>
      </c>
      <c r="B146" s="9" t="s">
        <v>705</v>
      </c>
      <c r="C146" s="9" t="s">
        <v>18</v>
      </c>
      <c r="D146" s="9" t="s">
        <v>701</v>
      </c>
      <c r="E146" s="9" t="s">
        <v>706</v>
      </c>
      <c r="F146" s="9" t="s">
        <v>67</v>
      </c>
      <c r="G146" s="9" t="s">
        <v>707</v>
      </c>
      <c r="H146" s="9" t="s">
        <v>708</v>
      </c>
      <c r="I146" s="8" t="s">
        <v>11</v>
      </c>
      <c r="J146" s="8" t="s">
        <v>35</v>
      </c>
      <c r="K146" s="8" t="s">
        <v>709</v>
      </c>
      <c r="L146" s="8" t="s">
        <v>31</v>
      </c>
      <c r="M146" s="8" t="s">
        <v>20</v>
      </c>
      <c r="N146" s="8"/>
      <c r="O146" s="9" t="s">
        <v>1228</v>
      </c>
      <c r="P146" s="9" t="s">
        <v>1214</v>
      </c>
      <c r="Q146" s="10">
        <v>46238</v>
      </c>
      <c r="R146" s="9" t="s">
        <v>14</v>
      </c>
      <c r="S146" s="19"/>
    </row>
    <row r="147" spans="1:19" ht="54" customHeight="1" x14ac:dyDescent="0.25">
      <c r="A147" s="16" t="s">
        <v>23</v>
      </c>
      <c r="B147" s="9" t="s">
        <v>710</v>
      </c>
      <c r="C147" s="9" t="s">
        <v>18</v>
      </c>
      <c r="D147" s="9" t="s">
        <v>701</v>
      </c>
      <c r="E147" s="9" t="s">
        <v>711</v>
      </c>
      <c r="F147" s="9" t="s">
        <v>67</v>
      </c>
      <c r="G147" s="9" t="s">
        <v>712</v>
      </c>
      <c r="H147" s="9" t="s">
        <v>713</v>
      </c>
      <c r="I147" s="8" t="s">
        <v>11</v>
      </c>
      <c r="J147" s="8" t="s">
        <v>714</v>
      </c>
      <c r="K147" s="8" t="s">
        <v>715</v>
      </c>
      <c r="L147" s="8" t="s">
        <v>31</v>
      </c>
      <c r="M147" s="8" t="s">
        <v>20</v>
      </c>
      <c r="N147" s="8"/>
      <c r="O147" s="9" t="s">
        <v>1228</v>
      </c>
      <c r="P147" s="9" t="s">
        <v>1214</v>
      </c>
      <c r="Q147" s="10">
        <v>46238</v>
      </c>
      <c r="R147" s="9" t="s">
        <v>14</v>
      </c>
      <c r="S147" s="19"/>
    </row>
    <row r="148" spans="1:19" ht="54" customHeight="1" x14ac:dyDescent="0.25">
      <c r="A148" s="16" t="s">
        <v>23</v>
      </c>
      <c r="B148" s="9" t="s">
        <v>716</v>
      </c>
      <c r="C148" s="9" t="s">
        <v>18</v>
      </c>
      <c r="D148" s="9" t="s">
        <v>701</v>
      </c>
      <c r="E148" s="9" t="s">
        <v>717</v>
      </c>
      <c r="F148" s="9" t="s">
        <v>67</v>
      </c>
      <c r="G148" s="9" t="s">
        <v>718</v>
      </c>
      <c r="H148" s="9" t="s">
        <v>719</v>
      </c>
      <c r="I148" s="8" t="s">
        <v>30</v>
      </c>
      <c r="J148" s="8" t="s">
        <v>35</v>
      </c>
      <c r="K148" s="8" t="s">
        <v>720</v>
      </c>
      <c r="L148" s="8" t="s">
        <v>31</v>
      </c>
      <c r="M148" s="8" t="s">
        <v>42</v>
      </c>
      <c r="N148" s="8"/>
      <c r="O148" s="9" t="s">
        <v>1217</v>
      </c>
      <c r="P148" s="9" t="s">
        <v>1214</v>
      </c>
      <c r="Q148" s="10">
        <v>46238</v>
      </c>
      <c r="R148" s="9" t="s">
        <v>14</v>
      </c>
      <c r="S148" s="19" t="s">
        <v>1218</v>
      </c>
    </row>
    <row r="149" spans="1:19" ht="54" customHeight="1" x14ac:dyDescent="0.25">
      <c r="A149" s="16" t="s">
        <v>13</v>
      </c>
      <c r="B149" s="9" t="s">
        <v>721</v>
      </c>
      <c r="C149" s="9" t="s">
        <v>18</v>
      </c>
      <c r="D149" s="9" t="s">
        <v>701</v>
      </c>
      <c r="E149" s="9" t="s">
        <v>722</v>
      </c>
      <c r="F149" s="9" t="s">
        <v>67</v>
      </c>
      <c r="G149" s="9" t="s">
        <v>723</v>
      </c>
      <c r="H149" s="9" t="s">
        <v>724</v>
      </c>
      <c r="I149" s="8" t="s">
        <v>11</v>
      </c>
      <c r="J149" s="8" t="s">
        <v>116</v>
      </c>
      <c r="K149" s="8" t="s">
        <v>725</v>
      </c>
      <c r="L149" s="8" t="s">
        <v>22</v>
      </c>
      <c r="M149" s="8" t="s">
        <v>10</v>
      </c>
      <c r="N149" s="8"/>
      <c r="O149" s="9"/>
      <c r="P149" s="9"/>
      <c r="Q149" s="10"/>
      <c r="R149" s="9" t="s">
        <v>14</v>
      </c>
      <c r="S149" s="19"/>
    </row>
    <row r="150" spans="1:19" ht="54" customHeight="1" x14ac:dyDescent="0.25">
      <c r="A150" s="16" t="s">
        <v>13</v>
      </c>
      <c r="B150" s="9" t="s">
        <v>726</v>
      </c>
      <c r="C150" s="9" t="s">
        <v>18</v>
      </c>
      <c r="D150" s="9" t="s">
        <v>701</v>
      </c>
      <c r="E150" s="9" t="s">
        <v>727</v>
      </c>
      <c r="F150" s="9" t="s">
        <v>67</v>
      </c>
      <c r="G150" s="9" t="s">
        <v>728</v>
      </c>
      <c r="H150" s="9" t="s">
        <v>729</v>
      </c>
      <c r="I150" s="8" t="s">
        <v>11</v>
      </c>
      <c r="J150" s="8" t="s">
        <v>730</v>
      </c>
      <c r="K150" s="8" t="s">
        <v>725</v>
      </c>
      <c r="L150" s="8" t="s">
        <v>31</v>
      </c>
      <c r="M150" s="8" t="s">
        <v>10</v>
      </c>
      <c r="N150" s="8"/>
      <c r="O150" s="9"/>
      <c r="P150" s="9"/>
      <c r="Q150" s="10"/>
      <c r="R150" s="9" t="s">
        <v>14</v>
      </c>
      <c r="S150" s="19"/>
    </row>
    <row r="151" spans="1:19" ht="54" customHeight="1" x14ac:dyDescent="0.25">
      <c r="A151" s="16" t="s">
        <v>13</v>
      </c>
      <c r="B151" s="9" t="s">
        <v>731</v>
      </c>
      <c r="C151" s="9" t="s">
        <v>18</v>
      </c>
      <c r="D151" s="9" t="s">
        <v>701</v>
      </c>
      <c r="E151" s="9" t="s">
        <v>732</v>
      </c>
      <c r="F151" s="9" t="s">
        <v>67</v>
      </c>
      <c r="G151" s="9" t="s">
        <v>733</v>
      </c>
      <c r="H151" s="9" t="s">
        <v>734</v>
      </c>
      <c r="I151" s="8" t="s">
        <v>11</v>
      </c>
      <c r="J151" s="8" t="s">
        <v>100</v>
      </c>
      <c r="K151" s="8" t="s">
        <v>725</v>
      </c>
      <c r="L151" s="8" t="s">
        <v>31</v>
      </c>
      <c r="M151" s="8" t="s">
        <v>10</v>
      </c>
      <c r="N151" s="8"/>
      <c r="O151" s="9"/>
      <c r="P151" s="9"/>
      <c r="Q151" s="10"/>
      <c r="R151" s="9" t="s">
        <v>14</v>
      </c>
      <c r="S151" s="19"/>
    </row>
    <row r="152" spans="1:19" ht="54" customHeight="1" x14ac:dyDescent="0.25">
      <c r="A152" s="16" t="s">
        <v>13</v>
      </c>
      <c r="B152" s="9" t="s">
        <v>735</v>
      </c>
      <c r="C152" s="9" t="s">
        <v>18</v>
      </c>
      <c r="D152" s="9" t="s">
        <v>701</v>
      </c>
      <c r="E152" s="9" t="s">
        <v>736</v>
      </c>
      <c r="F152" s="9" t="s">
        <v>67</v>
      </c>
      <c r="G152" s="9" t="s">
        <v>737</v>
      </c>
      <c r="H152" s="9" t="s">
        <v>738</v>
      </c>
      <c r="I152" s="8" t="s">
        <v>21</v>
      </c>
      <c r="J152" s="8" t="s">
        <v>739</v>
      </c>
      <c r="K152" s="8" t="s">
        <v>725</v>
      </c>
      <c r="L152" s="8" t="s">
        <v>31</v>
      </c>
      <c r="M152" s="8" t="s">
        <v>10</v>
      </c>
      <c r="N152" s="8"/>
      <c r="O152" s="9"/>
      <c r="P152" s="9"/>
      <c r="Q152" s="10"/>
      <c r="R152" s="9" t="s">
        <v>14</v>
      </c>
      <c r="S152" s="19"/>
    </row>
    <row r="153" spans="1:19" ht="54" customHeight="1" x14ac:dyDescent="0.25">
      <c r="A153" s="16" t="s">
        <v>13</v>
      </c>
      <c r="B153" s="9" t="s">
        <v>740</v>
      </c>
      <c r="C153" s="9" t="s">
        <v>18</v>
      </c>
      <c r="D153" s="9" t="s">
        <v>701</v>
      </c>
      <c r="E153" s="9" t="s">
        <v>741</v>
      </c>
      <c r="F153" s="9" t="s">
        <v>67</v>
      </c>
      <c r="G153" s="9" t="s">
        <v>742</v>
      </c>
      <c r="H153" s="9" t="s">
        <v>743</v>
      </c>
      <c r="I153" s="8" t="s">
        <v>11</v>
      </c>
      <c r="J153" s="8" t="s">
        <v>744</v>
      </c>
      <c r="K153" s="8" t="s">
        <v>725</v>
      </c>
      <c r="L153" s="8" t="s">
        <v>31</v>
      </c>
      <c r="M153" s="8" t="s">
        <v>10</v>
      </c>
      <c r="N153" s="8"/>
      <c r="O153" s="9"/>
      <c r="P153" s="9"/>
      <c r="Q153" s="10"/>
      <c r="R153" s="9" t="s">
        <v>14</v>
      </c>
      <c r="S153" s="19"/>
    </row>
    <row r="154" spans="1:19" ht="54" customHeight="1" x14ac:dyDescent="0.25">
      <c r="A154" s="16" t="s">
        <v>13</v>
      </c>
      <c r="B154" s="9" t="s">
        <v>745</v>
      </c>
      <c r="C154" s="9" t="s">
        <v>18</v>
      </c>
      <c r="D154" s="9" t="s">
        <v>701</v>
      </c>
      <c r="E154" s="9" t="s">
        <v>746</v>
      </c>
      <c r="F154" s="9" t="s">
        <v>67</v>
      </c>
      <c r="G154" s="9" t="s">
        <v>747</v>
      </c>
      <c r="H154" s="9" t="s">
        <v>748</v>
      </c>
      <c r="I154" s="8" t="s">
        <v>30</v>
      </c>
      <c r="J154" s="8" t="s">
        <v>35</v>
      </c>
      <c r="K154" s="8" t="s">
        <v>90</v>
      </c>
      <c r="L154" s="8" t="s">
        <v>22</v>
      </c>
      <c r="M154" s="8" t="s">
        <v>10</v>
      </c>
      <c r="N154" s="8"/>
      <c r="O154" s="9"/>
      <c r="P154" s="9"/>
      <c r="Q154" s="10"/>
      <c r="R154" s="9" t="s">
        <v>14</v>
      </c>
      <c r="S154" s="19"/>
    </row>
    <row r="155" spans="1:19" ht="54" customHeight="1" x14ac:dyDescent="0.25">
      <c r="A155" s="16" t="s">
        <v>23</v>
      </c>
      <c r="B155" s="9" t="s">
        <v>749</v>
      </c>
      <c r="C155" s="9" t="s">
        <v>18</v>
      </c>
      <c r="D155" s="9" t="s">
        <v>701</v>
      </c>
      <c r="E155" s="9" t="s">
        <v>750</v>
      </c>
      <c r="F155" s="9" t="s">
        <v>67</v>
      </c>
      <c r="G155" s="9" t="s">
        <v>751</v>
      </c>
      <c r="H155" s="9" t="s">
        <v>752</v>
      </c>
      <c r="I155" s="8" t="s">
        <v>11</v>
      </c>
      <c r="J155" s="8" t="s">
        <v>730</v>
      </c>
      <c r="K155" s="8" t="s">
        <v>105</v>
      </c>
      <c r="L155" s="8" t="s">
        <v>12</v>
      </c>
      <c r="M155" s="8" t="s">
        <v>20</v>
      </c>
      <c r="N155" s="8"/>
      <c r="O155" s="9" t="s">
        <v>1228</v>
      </c>
      <c r="P155" s="9" t="s">
        <v>1214</v>
      </c>
      <c r="Q155" s="10">
        <v>46238</v>
      </c>
      <c r="R155" s="9" t="s">
        <v>14</v>
      </c>
      <c r="S155" s="19"/>
    </row>
    <row r="156" spans="1:19" ht="54" customHeight="1" x14ac:dyDescent="0.25">
      <c r="A156" s="16" t="s">
        <v>13</v>
      </c>
      <c r="B156" s="9" t="s">
        <v>753</v>
      </c>
      <c r="C156" s="9" t="s">
        <v>18</v>
      </c>
      <c r="D156" s="9" t="s">
        <v>701</v>
      </c>
      <c r="E156" s="9" t="s">
        <v>754</v>
      </c>
      <c r="F156" s="9" t="s">
        <v>67</v>
      </c>
      <c r="G156" s="9" t="s">
        <v>755</v>
      </c>
      <c r="H156" s="9" t="s">
        <v>756</v>
      </c>
      <c r="I156" s="8" t="s">
        <v>37</v>
      </c>
      <c r="J156" s="8" t="s">
        <v>730</v>
      </c>
      <c r="K156" s="8" t="s">
        <v>757</v>
      </c>
      <c r="L156" s="8" t="s">
        <v>31</v>
      </c>
      <c r="M156" s="8" t="s">
        <v>10</v>
      </c>
      <c r="N156" s="8"/>
      <c r="O156" s="9"/>
      <c r="P156" s="9"/>
      <c r="Q156" s="10"/>
      <c r="R156" s="9" t="s">
        <v>14</v>
      </c>
      <c r="S156" s="19"/>
    </row>
    <row r="157" spans="1:19" ht="54" customHeight="1" x14ac:dyDescent="0.25">
      <c r="A157" s="16" t="s">
        <v>23</v>
      </c>
      <c r="B157" s="9" t="s">
        <v>758</v>
      </c>
      <c r="C157" s="9" t="s">
        <v>18</v>
      </c>
      <c r="D157" s="9" t="s">
        <v>701</v>
      </c>
      <c r="E157" s="9" t="s">
        <v>759</v>
      </c>
      <c r="F157" s="9" t="s">
        <v>67</v>
      </c>
      <c r="G157" s="9" t="s">
        <v>760</v>
      </c>
      <c r="H157" s="9" t="s">
        <v>761</v>
      </c>
      <c r="I157" s="8" t="s">
        <v>30</v>
      </c>
      <c r="J157" s="8" t="s">
        <v>762</v>
      </c>
      <c r="K157" s="8" t="s">
        <v>105</v>
      </c>
      <c r="L157" s="8" t="s">
        <v>31</v>
      </c>
      <c r="M157" s="8" t="s">
        <v>20</v>
      </c>
      <c r="N157" s="8"/>
      <c r="O157" s="9" t="s">
        <v>1228</v>
      </c>
      <c r="P157" s="9" t="s">
        <v>1214</v>
      </c>
      <c r="Q157" s="10">
        <v>46238</v>
      </c>
      <c r="R157" s="9" t="s">
        <v>14</v>
      </c>
      <c r="S157" s="19"/>
    </row>
    <row r="158" spans="1:19" ht="54" customHeight="1" x14ac:dyDescent="0.25">
      <c r="A158" s="16" t="s">
        <v>23</v>
      </c>
      <c r="B158" s="9" t="s">
        <v>763</v>
      </c>
      <c r="C158" s="9" t="s">
        <v>18</v>
      </c>
      <c r="D158" s="9" t="s">
        <v>701</v>
      </c>
      <c r="E158" s="9" t="s">
        <v>764</v>
      </c>
      <c r="F158" s="9" t="s">
        <v>67</v>
      </c>
      <c r="G158" s="9" t="s">
        <v>765</v>
      </c>
      <c r="H158" s="9" t="s">
        <v>766</v>
      </c>
      <c r="I158" s="8" t="s">
        <v>11</v>
      </c>
      <c r="J158" s="8" t="s">
        <v>767</v>
      </c>
      <c r="K158" s="8" t="s">
        <v>71</v>
      </c>
      <c r="L158" s="8" t="s">
        <v>22</v>
      </c>
      <c r="M158" s="8" t="s">
        <v>20</v>
      </c>
      <c r="N158" s="8"/>
      <c r="O158" s="9" t="s">
        <v>1228</v>
      </c>
      <c r="P158" s="9" t="s">
        <v>1214</v>
      </c>
      <c r="Q158" s="10">
        <v>46238</v>
      </c>
      <c r="R158" s="9" t="s">
        <v>14</v>
      </c>
      <c r="S158" s="19"/>
    </row>
    <row r="159" spans="1:19" ht="54" customHeight="1" x14ac:dyDescent="0.25">
      <c r="A159" s="16" t="s">
        <v>23</v>
      </c>
      <c r="B159" s="9" t="s">
        <v>768</v>
      </c>
      <c r="C159" s="9" t="s">
        <v>18</v>
      </c>
      <c r="D159" s="9" t="s">
        <v>769</v>
      </c>
      <c r="E159" s="9" t="s">
        <v>770</v>
      </c>
      <c r="F159" s="9" t="s">
        <v>67</v>
      </c>
      <c r="G159" s="9" t="s">
        <v>771</v>
      </c>
      <c r="H159" s="9" t="s">
        <v>772</v>
      </c>
      <c r="I159" s="8" t="s">
        <v>11</v>
      </c>
      <c r="J159" s="8" t="s">
        <v>19</v>
      </c>
      <c r="K159" s="8" t="s">
        <v>90</v>
      </c>
      <c r="L159" s="8" t="s">
        <v>12</v>
      </c>
      <c r="M159" s="8" t="s">
        <v>20</v>
      </c>
      <c r="N159" s="8"/>
      <c r="O159" s="9" t="s">
        <v>1229</v>
      </c>
      <c r="P159" s="9" t="s">
        <v>1214</v>
      </c>
      <c r="Q159" s="10">
        <v>46238</v>
      </c>
      <c r="R159" s="9" t="s">
        <v>14</v>
      </c>
      <c r="S159" s="19"/>
    </row>
    <row r="160" spans="1:19" ht="54" customHeight="1" x14ac:dyDescent="0.25">
      <c r="A160" s="16" t="s">
        <v>23</v>
      </c>
      <c r="B160" s="9" t="s">
        <v>773</v>
      </c>
      <c r="C160" s="9" t="s">
        <v>18</v>
      </c>
      <c r="D160" s="9" t="s">
        <v>769</v>
      </c>
      <c r="E160" s="9" t="s">
        <v>774</v>
      </c>
      <c r="F160" s="9" t="s">
        <v>67</v>
      </c>
      <c r="G160" s="9" t="s">
        <v>775</v>
      </c>
      <c r="H160" s="9" t="s">
        <v>776</v>
      </c>
      <c r="I160" s="8" t="s">
        <v>30</v>
      </c>
      <c r="J160" s="8" t="s">
        <v>19</v>
      </c>
      <c r="K160" s="8" t="s">
        <v>90</v>
      </c>
      <c r="L160" s="8" t="s">
        <v>12</v>
      </c>
      <c r="M160" s="8" t="s">
        <v>20</v>
      </c>
      <c r="N160" s="8"/>
      <c r="O160" s="9" t="s">
        <v>1229</v>
      </c>
      <c r="P160" s="9" t="s">
        <v>1214</v>
      </c>
      <c r="Q160" s="10">
        <v>46238</v>
      </c>
      <c r="R160" s="9" t="s">
        <v>14</v>
      </c>
      <c r="S160" s="19"/>
    </row>
    <row r="161" spans="1:19" ht="54" customHeight="1" x14ac:dyDescent="0.25">
      <c r="A161" s="16" t="s">
        <v>23</v>
      </c>
      <c r="B161" s="9" t="s">
        <v>777</v>
      </c>
      <c r="C161" s="9" t="s">
        <v>18</v>
      </c>
      <c r="D161" s="9" t="s">
        <v>769</v>
      </c>
      <c r="E161" s="9" t="s">
        <v>778</v>
      </c>
      <c r="F161" s="9" t="s">
        <v>67</v>
      </c>
      <c r="G161" s="9" t="s">
        <v>779</v>
      </c>
      <c r="H161" s="9" t="s">
        <v>780</v>
      </c>
      <c r="I161" s="8" t="s">
        <v>11</v>
      </c>
      <c r="J161" s="8" t="s">
        <v>19</v>
      </c>
      <c r="K161" s="8" t="s">
        <v>95</v>
      </c>
      <c r="L161" s="8" t="s">
        <v>12</v>
      </c>
      <c r="M161" s="8" t="s">
        <v>20</v>
      </c>
      <c r="N161" s="8"/>
      <c r="O161" s="9" t="s">
        <v>1229</v>
      </c>
      <c r="P161" s="9" t="s">
        <v>1214</v>
      </c>
      <c r="Q161" s="10">
        <v>46238</v>
      </c>
      <c r="R161" s="9" t="s">
        <v>14</v>
      </c>
      <c r="S161" s="19"/>
    </row>
    <row r="162" spans="1:19" ht="54" customHeight="1" x14ac:dyDescent="0.25">
      <c r="A162" s="16" t="s">
        <v>23</v>
      </c>
      <c r="B162" s="9" t="s">
        <v>781</v>
      </c>
      <c r="C162" s="9" t="s">
        <v>18</v>
      </c>
      <c r="D162" s="9" t="s">
        <v>769</v>
      </c>
      <c r="E162" s="9" t="s">
        <v>782</v>
      </c>
      <c r="F162" s="9" t="s">
        <v>67</v>
      </c>
      <c r="G162" s="9" t="s">
        <v>783</v>
      </c>
      <c r="H162" s="9" t="s">
        <v>784</v>
      </c>
      <c r="I162" s="8" t="s">
        <v>11</v>
      </c>
      <c r="J162" s="8" t="s">
        <v>19</v>
      </c>
      <c r="K162" s="8" t="s">
        <v>95</v>
      </c>
      <c r="L162" s="8" t="s">
        <v>12</v>
      </c>
      <c r="M162" s="8" t="s">
        <v>20</v>
      </c>
      <c r="N162" s="8"/>
      <c r="O162" s="9" t="s">
        <v>1229</v>
      </c>
      <c r="P162" s="9" t="s">
        <v>1214</v>
      </c>
      <c r="Q162" s="10">
        <v>46238</v>
      </c>
      <c r="R162" s="9" t="s">
        <v>14</v>
      </c>
      <c r="S162" s="19"/>
    </row>
    <row r="163" spans="1:19" ht="54" customHeight="1" x14ac:dyDescent="0.25">
      <c r="A163" s="16" t="s">
        <v>23</v>
      </c>
      <c r="B163" s="9" t="s">
        <v>785</v>
      </c>
      <c r="C163" s="9" t="s">
        <v>18</v>
      </c>
      <c r="D163" s="9" t="s">
        <v>769</v>
      </c>
      <c r="E163" s="9" t="s">
        <v>786</v>
      </c>
      <c r="F163" s="9" t="s">
        <v>67</v>
      </c>
      <c r="G163" s="9" t="s">
        <v>787</v>
      </c>
      <c r="H163" s="9" t="s">
        <v>788</v>
      </c>
      <c r="I163" s="8" t="s">
        <v>30</v>
      </c>
      <c r="J163" s="8" t="s">
        <v>789</v>
      </c>
      <c r="K163" s="8" t="s">
        <v>71</v>
      </c>
      <c r="L163" s="8" t="s">
        <v>12</v>
      </c>
      <c r="M163" s="8" t="s">
        <v>20</v>
      </c>
      <c r="N163" s="8"/>
      <c r="O163" s="9" t="s">
        <v>1229</v>
      </c>
      <c r="P163" s="9" t="s">
        <v>1214</v>
      </c>
      <c r="Q163" s="10">
        <v>46238</v>
      </c>
      <c r="R163" s="9" t="s">
        <v>14</v>
      </c>
      <c r="S163" s="19"/>
    </row>
    <row r="164" spans="1:19" ht="54" customHeight="1" x14ac:dyDescent="0.25">
      <c r="A164" s="16" t="s">
        <v>23</v>
      </c>
      <c r="B164" s="9" t="s">
        <v>790</v>
      </c>
      <c r="C164" s="9" t="s">
        <v>18</v>
      </c>
      <c r="D164" s="9" t="s">
        <v>769</v>
      </c>
      <c r="E164" s="9" t="s">
        <v>791</v>
      </c>
      <c r="F164" s="9" t="s">
        <v>67</v>
      </c>
      <c r="G164" s="9" t="s">
        <v>792</v>
      </c>
      <c r="H164" s="9" t="s">
        <v>793</v>
      </c>
      <c r="I164" s="8" t="s">
        <v>11</v>
      </c>
      <c r="J164" s="8" t="s">
        <v>789</v>
      </c>
      <c r="K164" s="8" t="s">
        <v>71</v>
      </c>
      <c r="L164" s="8" t="s">
        <v>22</v>
      </c>
      <c r="M164" s="8" t="s">
        <v>20</v>
      </c>
      <c r="N164" s="8"/>
      <c r="O164" s="9" t="s">
        <v>1229</v>
      </c>
      <c r="P164" s="9" t="s">
        <v>1214</v>
      </c>
      <c r="Q164" s="10">
        <v>46238</v>
      </c>
      <c r="R164" s="9" t="s">
        <v>14</v>
      </c>
      <c r="S164" s="19"/>
    </row>
    <row r="165" spans="1:19" ht="54" customHeight="1" x14ac:dyDescent="0.25">
      <c r="A165" s="16" t="s">
        <v>23</v>
      </c>
      <c r="B165" s="9" t="s">
        <v>794</v>
      </c>
      <c r="C165" s="9" t="s">
        <v>18</v>
      </c>
      <c r="D165" s="9" t="s">
        <v>769</v>
      </c>
      <c r="E165" s="9" t="s">
        <v>795</v>
      </c>
      <c r="F165" s="9" t="s">
        <v>67</v>
      </c>
      <c r="G165" s="9" t="s">
        <v>796</v>
      </c>
      <c r="H165" s="9" t="s">
        <v>797</v>
      </c>
      <c r="I165" s="8" t="s">
        <v>30</v>
      </c>
      <c r="J165" s="8" t="s">
        <v>48</v>
      </c>
      <c r="K165" s="8" t="s">
        <v>71</v>
      </c>
      <c r="L165" s="8" t="s">
        <v>31</v>
      </c>
      <c r="M165" s="8" t="s">
        <v>20</v>
      </c>
      <c r="N165" s="8"/>
      <c r="O165" s="9" t="s">
        <v>1229</v>
      </c>
      <c r="P165" s="9" t="s">
        <v>1214</v>
      </c>
      <c r="Q165" s="10">
        <v>46238</v>
      </c>
      <c r="R165" s="9" t="s">
        <v>14</v>
      </c>
      <c r="S165" s="19"/>
    </row>
    <row r="166" spans="1:19" ht="54" customHeight="1" x14ac:dyDescent="0.25">
      <c r="A166" s="16" t="s">
        <v>23</v>
      </c>
      <c r="B166" s="9" t="s">
        <v>798</v>
      </c>
      <c r="C166" s="9" t="s">
        <v>18</v>
      </c>
      <c r="D166" s="9" t="s">
        <v>769</v>
      </c>
      <c r="E166" s="9" t="s">
        <v>799</v>
      </c>
      <c r="F166" s="9" t="s">
        <v>67</v>
      </c>
      <c r="G166" s="9" t="s">
        <v>800</v>
      </c>
      <c r="H166" s="9" t="s">
        <v>801</v>
      </c>
      <c r="I166" s="8" t="s">
        <v>11</v>
      </c>
      <c r="J166" s="8" t="s">
        <v>802</v>
      </c>
      <c r="K166" s="8" t="s">
        <v>105</v>
      </c>
      <c r="L166" s="8" t="s">
        <v>31</v>
      </c>
      <c r="M166" s="8" t="s">
        <v>20</v>
      </c>
      <c r="N166" s="8"/>
      <c r="O166" s="9" t="s">
        <v>1229</v>
      </c>
      <c r="P166" s="9" t="s">
        <v>1214</v>
      </c>
      <c r="Q166" s="10">
        <v>46238</v>
      </c>
      <c r="R166" s="9" t="s">
        <v>14</v>
      </c>
      <c r="S166" s="19"/>
    </row>
    <row r="167" spans="1:19" ht="54" customHeight="1" x14ac:dyDescent="0.25">
      <c r="A167" s="16" t="s">
        <v>23</v>
      </c>
      <c r="B167" s="9" t="s">
        <v>803</v>
      </c>
      <c r="C167" s="9" t="s">
        <v>18</v>
      </c>
      <c r="D167" s="9" t="s">
        <v>769</v>
      </c>
      <c r="E167" s="9" t="s">
        <v>804</v>
      </c>
      <c r="F167" s="9" t="s">
        <v>67</v>
      </c>
      <c r="G167" s="9" t="s">
        <v>805</v>
      </c>
      <c r="H167" s="9" t="s">
        <v>806</v>
      </c>
      <c r="I167" s="8" t="s">
        <v>30</v>
      </c>
      <c r="J167" s="8" t="s">
        <v>807</v>
      </c>
      <c r="K167" s="8" t="s">
        <v>347</v>
      </c>
      <c r="L167" s="8" t="s">
        <v>31</v>
      </c>
      <c r="M167" s="8" t="s">
        <v>20</v>
      </c>
      <c r="N167" s="8"/>
      <c r="O167" s="9" t="s">
        <v>1229</v>
      </c>
      <c r="P167" s="9" t="s">
        <v>1214</v>
      </c>
      <c r="Q167" s="10">
        <v>46238</v>
      </c>
      <c r="R167" s="9" t="s">
        <v>14</v>
      </c>
      <c r="S167" s="19"/>
    </row>
    <row r="168" spans="1:19" ht="54" customHeight="1" x14ac:dyDescent="0.25">
      <c r="A168" s="16" t="s">
        <v>23</v>
      </c>
      <c r="B168" s="9" t="s">
        <v>808</v>
      </c>
      <c r="C168" s="9" t="s">
        <v>18</v>
      </c>
      <c r="D168" s="9" t="s">
        <v>769</v>
      </c>
      <c r="E168" s="9" t="s">
        <v>809</v>
      </c>
      <c r="F168" s="9" t="s">
        <v>67</v>
      </c>
      <c r="G168" s="9" t="s">
        <v>810</v>
      </c>
      <c r="H168" s="9" t="s">
        <v>811</v>
      </c>
      <c r="I168" s="8" t="s">
        <v>11</v>
      </c>
      <c r="J168" s="8" t="s">
        <v>48</v>
      </c>
      <c r="K168" s="8" t="s">
        <v>812</v>
      </c>
      <c r="L168" s="8" t="s">
        <v>22</v>
      </c>
      <c r="M168" s="8" t="s">
        <v>20</v>
      </c>
      <c r="N168" s="8"/>
      <c r="O168" s="9" t="s">
        <v>1229</v>
      </c>
      <c r="P168" s="9" t="s">
        <v>1214</v>
      </c>
      <c r="Q168" s="10">
        <v>46238</v>
      </c>
      <c r="R168" s="9" t="s">
        <v>14</v>
      </c>
      <c r="S168" s="19"/>
    </row>
    <row r="169" spans="1:19" ht="54" customHeight="1" x14ac:dyDescent="0.25">
      <c r="A169" s="16" t="s">
        <v>13</v>
      </c>
      <c r="B169" s="9" t="s">
        <v>813</v>
      </c>
      <c r="C169" s="9" t="s">
        <v>18</v>
      </c>
      <c r="D169" s="9" t="s">
        <v>769</v>
      </c>
      <c r="E169" s="9" t="s">
        <v>814</v>
      </c>
      <c r="F169" s="9" t="s">
        <v>67</v>
      </c>
      <c r="G169" s="9" t="s">
        <v>815</v>
      </c>
      <c r="H169" s="9" t="s">
        <v>816</v>
      </c>
      <c r="I169" s="8" t="s">
        <v>11</v>
      </c>
      <c r="J169" s="8" t="s">
        <v>48</v>
      </c>
      <c r="K169" s="8" t="s">
        <v>347</v>
      </c>
      <c r="L169" s="8" t="s">
        <v>31</v>
      </c>
      <c r="M169" s="8" t="s">
        <v>10</v>
      </c>
      <c r="N169" s="8"/>
      <c r="O169" s="9"/>
      <c r="P169" s="9"/>
      <c r="Q169" s="10"/>
      <c r="R169" s="9" t="s">
        <v>14</v>
      </c>
      <c r="S169" s="19"/>
    </row>
    <row r="170" spans="1:19" ht="54" customHeight="1" x14ac:dyDescent="0.25">
      <c r="A170" s="16" t="s">
        <v>13</v>
      </c>
      <c r="B170" s="9" t="s">
        <v>817</v>
      </c>
      <c r="C170" s="9" t="s">
        <v>18</v>
      </c>
      <c r="D170" s="9" t="s">
        <v>769</v>
      </c>
      <c r="E170" s="9" t="s">
        <v>818</v>
      </c>
      <c r="F170" s="9" t="s">
        <v>67</v>
      </c>
      <c r="G170" s="9" t="s">
        <v>819</v>
      </c>
      <c r="H170" s="9" t="s">
        <v>820</v>
      </c>
      <c r="I170" s="8" t="s">
        <v>11</v>
      </c>
      <c r="J170" s="8" t="s">
        <v>48</v>
      </c>
      <c r="K170" s="8" t="s">
        <v>347</v>
      </c>
      <c r="L170" s="8" t="s">
        <v>31</v>
      </c>
      <c r="M170" s="8" t="s">
        <v>10</v>
      </c>
      <c r="N170" s="8"/>
      <c r="O170" s="9"/>
      <c r="P170" s="9"/>
      <c r="Q170" s="10"/>
      <c r="R170" s="9" t="s">
        <v>14</v>
      </c>
      <c r="S170" s="19"/>
    </row>
    <row r="171" spans="1:19" ht="54" customHeight="1" x14ac:dyDescent="0.25">
      <c r="A171" s="16" t="s">
        <v>23</v>
      </c>
      <c r="B171" s="9" t="s">
        <v>1098</v>
      </c>
      <c r="C171" s="9" t="s">
        <v>18</v>
      </c>
      <c r="D171" s="9" t="s">
        <v>1099</v>
      </c>
      <c r="E171" s="9" t="s">
        <v>1100</v>
      </c>
      <c r="F171" s="9" t="s">
        <v>1101</v>
      </c>
      <c r="G171" s="9" t="s">
        <v>1102</v>
      </c>
      <c r="H171" s="9" t="s">
        <v>1103</v>
      </c>
      <c r="I171" s="8" t="s">
        <v>11</v>
      </c>
      <c r="J171" s="8" t="s">
        <v>35</v>
      </c>
      <c r="K171" s="8" t="s">
        <v>159</v>
      </c>
      <c r="L171" s="8" t="s">
        <v>22</v>
      </c>
      <c r="M171" s="8" t="s">
        <v>20</v>
      </c>
      <c r="N171" s="8"/>
      <c r="O171" s="9" t="s">
        <v>1230</v>
      </c>
      <c r="P171" s="9" t="s">
        <v>1214</v>
      </c>
      <c r="Q171" s="10">
        <v>46238</v>
      </c>
      <c r="R171" s="9" t="s">
        <v>14</v>
      </c>
      <c r="S171" s="19" t="s">
        <v>1104</v>
      </c>
    </row>
    <row r="172" spans="1:19" ht="54" customHeight="1" x14ac:dyDescent="0.25">
      <c r="A172" s="16" t="s">
        <v>23</v>
      </c>
      <c r="B172" s="9" t="s">
        <v>1105</v>
      </c>
      <c r="C172" s="9" t="s">
        <v>18</v>
      </c>
      <c r="D172" s="9" t="s">
        <v>1099</v>
      </c>
      <c r="E172" s="9" t="s">
        <v>1106</v>
      </c>
      <c r="F172" s="9" t="s">
        <v>1101</v>
      </c>
      <c r="G172" s="9" t="s">
        <v>1107</v>
      </c>
      <c r="H172" s="9" t="s">
        <v>1108</v>
      </c>
      <c r="I172" s="8" t="s">
        <v>11</v>
      </c>
      <c r="J172" s="8" t="s">
        <v>35</v>
      </c>
      <c r="K172" s="8" t="s">
        <v>159</v>
      </c>
      <c r="L172" s="8" t="s">
        <v>22</v>
      </c>
      <c r="M172" s="8" t="s">
        <v>20</v>
      </c>
      <c r="N172" s="8"/>
      <c r="O172" s="9" t="s">
        <v>1230</v>
      </c>
      <c r="P172" s="9" t="s">
        <v>1214</v>
      </c>
      <c r="Q172" s="10">
        <v>46238</v>
      </c>
      <c r="R172" s="9" t="s">
        <v>14</v>
      </c>
      <c r="S172" s="19" t="s">
        <v>1109</v>
      </c>
    </row>
    <row r="173" spans="1:19" ht="54" customHeight="1" x14ac:dyDescent="0.25">
      <c r="A173" s="16" t="s">
        <v>23</v>
      </c>
      <c r="B173" s="9" t="s">
        <v>1110</v>
      </c>
      <c r="C173" s="9" t="s">
        <v>18</v>
      </c>
      <c r="D173" s="9" t="s">
        <v>1099</v>
      </c>
      <c r="E173" s="9" t="s">
        <v>1111</v>
      </c>
      <c r="F173" s="9" t="s">
        <v>1101</v>
      </c>
      <c r="G173" s="9" t="s">
        <v>1112</v>
      </c>
      <c r="H173" s="9" t="s">
        <v>1113</v>
      </c>
      <c r="I173" s="8" t="s">
        <v>11</v>
      </c>
      <c r="J173" s="8" t="s">
        <v>44</v>
      </c>
      <c r="K173" s="8" t="s">
        <v>90</v>
      </c>
      <c r="L173" s="8" t="s">
        <v>12</v>
      </c>
      <c r="M173" s="8" t="s">
        <v>20</v>
      </c>
      <c r="N173" s="8"/>
      <c r="O173" s="9" t="s">
        <v>1230</v>
      </c>
      <c r="P173" s="9" t="s">
        <v>1214</v>
      </c>
      <c r="Q173" s="10">
        <v>46238</v>
      </c>
      <c r="R173" s="9" t="s">
        <v>14</v>
      </c>
      <c r="S173" s="19"/>
    </row>
    <row r="174" spans="1:19" ht="54" customHeight="1" x14ac:dyDescent="0.25">
      <c r="A174" s="16" t="s">
        <v>23</v>
      </c>
      <c r="B174" s="9" t="s">
        <v>1114</v>
      </c>
      <c r="C174" s="9" t="s">
        <v>18</v>
      </c>
      <c r="D174" s="9" t="s">
        <v>1099</v>
      </c>
      <c r="E174" s="9" t="s">
        <v>1115</v>
      </c>
      <c r="F174" s="9" t="s">
        <v>1101</v>
      </c>
      <c r="G174" s="9" t="s">
        <v>1116</v>
      </c>
      <c r="H174" s="9" t="s">
        <v>1117</v>
      </c>
      <c r="I174" s="8" t="s">
        <v>30</v>
      </c>
      <c r="J174" s="8" t="s">
        <v>189</v>
      </c>
      <c r="K174" s="8" t="s">
        <v>159</v>
      </c>
      <c r="L174" s="8" t="s">
        <v>12</v>
      </c>
      <c r="M174" s="8" t="s">
        <v>20</v>
      </c>
      <c r="N174" s="8"/>
      <c r="O174" s="9" t="s">
        <v>1230</v>
      </c>
      <c r="P174" s="9" t="s">
        <v>1214</v>
      </c>
      <c r="Q174" s="10">
        <v>46238</v>
      </c>
      <c r="R174" s="9" t="s">
        <v>14</v>
      </c>
      <c r="S174" s="19"/>
    </row>
    <row r="175" spans="1:19" ht="54" customHeight="1" x14ac:dyDescent="0.25">
      <c r="A175" s="16" t="s">
        <v>23</v>
      </c>
      <c r="B175" s="9" t="s">
        <v>1118</v>
      </c>
      <c r="C175" s="9" t="s">
        <v>18</v>
      </c>
      <c r="D175" s="9" t="s">
        <v>1099</v>
      </c>
      <c r="E175" s="9" t="s">
        <v>1119</v>
      </c>
      <c r="F175" s="9" t="s">
        <v>1101</v>
      </c>
      <c r="G175" s="9" t="s">
        <v>1120</v>
      </c>
      <c r="H175" s="9" t="s">
        <v>1121</v>
      </c>
      <c r="I175" s="8" t="s">
        <v>11</v>
      </c>
      <c r="J175" s="8" t="s">
        <v>44</v>
      </c>
      <c r="K175" s="8" t="s">
        <v>317</v>
      </c>
      <c r="L175" s="8" t="s">
        <v>12</v>
      </c>
      <c r="M175" s="8" t="s">
        <v>20</v>
      </c>
      <c r="N175" s="8"/>
      <c r="O175" s="9" t="s">
        <v>1230</v>
      </c>
      <c r="P175" s="9" t="s">
        <v>1214</v>
      </c>
      <c r="Q175" s="10">
        <v>46238</v>
      </c>
      <c r="R175" s="9" t="s">
        <v>14</v>
      </c>
      <c r="S175" s="19"/>
    </row>
    <row r="176" spans="1:19" ht="54" customHeight="1" x14ac:dyDescent="0.25">
      <c r="A176" s="16" t="s">
        <v>23</v>
      </c>
      <c r="B176" s="9" t="s">
        <v>1122</v>
      </c>
      <c r="C176" s="9" t="s">
        <v>18</v>
      </c>
      <c r="D176" s="9" t="s">
        <v>1099</v>
      </c>
      <c r="E176" s="9" t="s">
        <v>1123</v>
      </c>
      <c r="F176" s="9" t="s">
        <v>1101</v>
      </c>
      <c r="G176" s="9" t="s">
        <v>1124</v>
      </c>
      <c r="H176" s="9" t="s">
        <v>1125</v>
      </c>
      <c r="I176" s="8" t="s">
        <v>11</v>
      </c>
      <c r="J176" s="8" t="s">
        <v>44</v>
      </c>
      <c r="K176" s="8" t="s">
        <v>90</v>
      </c>
      <c r="L176" s="8" t="s">
        <v>12</v>
      </c>
      <c r="M176" s="8" t="s">
        <v>20</v>
      </c>
      <c r="N176" s="8"/>
      <c r="O176" s="9" t="s">
        <v>1230</v>
      </c>
      <c r="P176" s="9" t="s">
        <v>1214</v>
      </c>
      <c r="Q176" s="10">
        <v>46238</v>
      </c>
      <c r="R176" s="9" t="s">
        <v>14</v>
      </c>
      <c r="S176" s="19"/>
    </row>
    <row r="177" spans="1:19" ht="54" customHeight="1" x14ac:dyDescent="0.25">
      <c r="A177" s="16" t="s">
        <v>23</v>
      </c>
      <c r="B177" s="9" t="s">
        <v>1126</v>
      </c>
      <c r="C177" s="9" t="s">
        <v>18</v>
      </c>
      <c r="D177" s="9" t="s">
        <v>1099</v>
      </c>
      <c r="E177" s="9" t="s">
        <v>1127</v>
      </c>
      <c r="F177" s="9" t="s">
        <v>1101</v>
      </c>
      <c r="G177" s="9" t="s">
        <v>1128</v>
      </c>
      <c r="H177" s="9" t="s">
        <v>1129</v>
      </c>
      <c r="I177" s="8" t="s">
        <v>11</v>
      </c>
      <c r="J177" s="8" t="s">
        <v>44</v>
      </c>
      <c r="K177" s="8" t="s">
        <v>1130</v>
      </c>
      <c r="L177" s="8" t="s">
        <v>12</v>
      </c>
      <c r="M177" s="8" t="s">
        <v>20</v>
      </c>
      <c r="N177" s="8"/>
      <c r="O177" s="9" t="s">
        <v>1230</v>
      </c>
      <c r="P177" s="9" t="s">
        <v>1214</v>
      </c>
      <c r="Q177" s="10">
        <v>46238</v>
      </c>
      <c r="R177" s="9" t="s">
        <v>14</v>
      </c>
      <c r="S177" s="19"/>
    </row>
    <row r="178" spans="1:19" ht="54" customHeight="1" x14ac:dyDescent="0.25">
      <c r="A178" s="16" t="s">
        <v>23</v>
      </c>
      <c r="B178" s="9" t="s">
        <v>1131</v>
      </c>
      <c r="C178" s="9" t="s">
        <v>18</v>
      </c>
      <c r="D178" s="9" t="s">
        <v>1099</v>
      </c>
      <c r="E178" s="9" t="s">
        <v>1132</v>
      </c>
      <c r="F178" s="9" t="s">
        <v>1101</v>
      </c>
      <c r="G178" s="9" t="s">
        <v>1133</v>
      </c>
      <c r="H178" s="9" t="s">
        <v>1134</v>
      </c>
      <c r="I178" s="8" t="s">
        <v>11</v>
      </c>
      <c r="J178" s="8" t="s">
        <v>44</v>
      </c>
      <c r="K178" s="8" t="s">
        <v>90</v>
      </c>
      <c r="L178" s="8" t="s">
        <v>12</v>
      </c>
      <c r="M178" s="8" t="s">
        <v>20</v>
      </c>
      <c r="N178" s="8"/>
      <c r="O178" s="9" t="s">
        <v>1230</v>
      </c>
      <c r="P178" s="9" t="s">
        <v>1214</v>
      </c>
      <c r="Q178" s="10">
        <v>46238</v>
      </c>
      <c r="R178" s="9" t="s">
        <v>14</v>
      </c>
      <c r="S178" s="19" t="s">
        <v>1135</v>
      </c>
    </row>
    <row r="179" spans="1:19" ht="54" customHeight="1" x14ac:dyDescent="0.25">
      <c r="A179" s="16" t="s">
        <v>23</v>
      </c>
      <c r="B179" s="9" t="s">
        <v>1136</v>
      </c>
      <c r="C179" s="9" t="s">
        <v>18</v>
      </c>
      <c r="D179" s="9" t="s">
        <v>1099</v>
      </c>
      <c r="E179" s="9" t="s">
        <v>1137</v>
      </c>
      <c r="F179" s="9" t="s">
        <v>1101</v>
      </c>
      <c r="G179" s="9" t="s">
        <v>1138</v>
      </c>
      <c r="H179" s="9" t="s">
        <v>1139</v>
      </c>
      <c r="I179" s="8" t="s">
        <v>11</v>
      </c>
      <c r="J179" s="8" t="s">
        <v>547</v>
      </c>
      <c r="K179" s="8" t="s">
        <v>175</v>
      </c>
      <c r="L179" s="8" t="s">
        <v>12</v>
      </c>
      <c r="M179" s="8" t="s">
        <v>20</v>
      </c>
      <c r="N179" s="8"/>
      <c r="O179" s="9" t="s">
        <v>1230</v>
      </c>
      <c r="P179" s="9" t="s">
        <v>1214</v>
      </c>
      <c r="Q179" s="10">
        <v>46238</v>
      </c>
      <c r="R179" s="9" t="s">
        <v>14</v>
      </c>
      <c r="S179" s="19"/>
    </row>
    <row r="180" spans="1:19" ht="54" customHeight="1" x14ac:dyDescent="0.25">
      <c r="A180" s="16" t="s">
        <v>23</v>
      </c>
      <c r="B180" s="9" t="s">
        <v>1140</v>
      </c>
      <c r="C180" s="9" t="s">
        <v>18</v>
      </c>
      <c r="D180" s="9" t="s">
        <v>1099</v>
      </c>
      <c r="E180" s="9" t="s">
        <v>1141</v>
      </c>
      <c r="F180" s="9" t="s">
        <v>1101</v>
      </c>
      <c r="G180" s="9" t="s">
        <v>1142</v>
      </c>
      <c r="H180" s="9" t="s">
        <v>1143</v>
      </c>
      <c r="I180" s="8" t="s">
        <v>11</v>
      </c>
      <c r="J180" s="8" t="s">
        <v>571</v>
      </c>
      <c r="K180" s="8" t="s">
        <v>90</v>
      </c>
      <c r="L180" s="8" t="s">
        <v>12</v>
      </c>
      <c r="M180" s="8" t="s">
        <v>20</v>
      </c>
      <c r="N180" s="8"/>
      <c r="O180" s="9" t="s">
        <v>1230</v>
      </c>
      <c r="P180" s="9" t="s">
        <v>1214</v>
      </c>
      <c r="Q180" s="10">
        <v>46238</v>
      </c>
      <c r="R180" s="9" t="s">
        <v>14</v>
      </c>
      <c r="S180" s="19"/>
    </row>
    <row r="181" spans="1:19" ht="54" customHeight="1" x14ac:dyDescent="0.25">
      <c r="A181" s="16" t="s">
        <v>23</v>
      </c>
      <c r="B181" s="9" t="s">
        <v>1144</v>
      </c>
      <c r="C181" s="9" t="s">
        <v>18</v>
      </c>
      <c r="D181" s="9" t="s">
        <v>1099</v>
      </c>
      <c r="E181" s="9" t="s">
        <v>1145</v>
      </c>
      <c r="F181" s="9" t="s">
        <v>1101</v>
      </c>
      <c r="G181" s="9" t="s">
        <v>1146</v>
      </c>
      <c r="H181" s="9" t="s">
        <v>1147</v>
      </c>
      <c r="I181" s="8" t="s">
        <v>30</v>
      </c>
      <c r="J181" s="8" t="s">
        <v>35</v>
      </c>
      <c r="K181" s="8" t="s">
        <v>159</v>
      </c>
      <c r="L181" s="8" t="s">
        <v>22</v>
      </c>
      <c r="M181" s="8" t="s">
        <v>20</v>
      </c>
      <c r="N181" s="8"/>
      <c r="O181" s="9" t="s">
        <v>1230</v>
      </c>
      <c r="P181" s="9" t="s">
        <v>1214</v>
      </c>
      <c r="Q181" s="10">
        <v>46238</v>
      </c>
      <c r="R181" s="9" t="s">
        <v>14</v>
      </c>
      <c r="S181" s="19"/>
    </row>
    <row r="182" spans="1:19" ht="54" customHeight="1" x14ac:dyDescent="0.25">
      <c r="A182" s="16" t="s">
        <v>23</v>
      </c>
      <c r="B182" s="9" t="s">
        <v>1148</v>
      </c>
      <c r="C182" s="9" t="s">
        <v>18</v>
      </c>
      <c r="D182" s="9" t="s">
        <v>1099</v>
      </c>
      <c r="E182" s="9" t="s">
        <v>1149</v>
      </c>
      <c r="F182" s="9" t="s">
        <v>1101</v>
      </c>
      <c r="G182" s="9" t="s">
        <v>1150</v>
      </c>
      <c r="H182" s="9" t="s">
        <v>1151</v>
      </c>
      <c r="I182" s="8" t="s">
        <v>11</v>
      </c>
      <c r="J182" s="8" t="s">
        <v>316</v>
      </c>
      <c r="K182" s="8" t="s">
        <v>159</v>
      </c>
      <c r="L182" s="8" t="s">
        <v>12</v>
      </c>
      <c r="M182" s="8" t="s">
        <v>20</v>
      </c>
      <c r="N182" s="8"/>
      <c r="O182" s="9" t="s">
        <v>1230</v>
      </c>
      <c r="P182" s="9" t="s">
        <v>1214</v>
      </c>
      <c r="Q182" s="10">
        <v>46238</v>
      </c>
      <c r="R182" s="9" t="s">
        <v>14</v>
      </c>
      <c r="S182" s="19"/>
    </row>
    <row r="183" spans="1:19" ht="54" customHeight="1" x14ac:dyDescent="0.25">
      <c r="A183" s="16" t="s">
        <v>23</v>
      </c>
      <c r="B183" s="9" t="s">
        <v>1152</v>
      </c>
      <c r="C183" s="9" t="s">
        <v>18</v>
      </c>
      <c r="D183" s="9" t="s">
        <v>1099</v>
      </c>
      <c r="E183" s="9" t="s">
        <v>1153</v>
      </c>
      <c r="F183" s="9" t="s">
        <v>1101</v>
      </c>
      <c r="G183" s="9" t="s">
        <v>1154</v>
      </c>
      <c r="H183" s="9" t="s">
        <v>1155</v>
      </c>
      <c r="I183" s="8" t="s">
        <v>30</v>
      </c>
      <c r="J183" s="8" t="s">
        <v>316</v>
      </c>
      <c r="K183" s="8" t="s">
        <v>159</v>
      </c>
      <c r="L183" s="8" t="s">
        <v>12</v>
      </c>
      <c r="M183" s="8" t="s">
        <v>20</v>
      </c>
      <c r="N183" s="8"/>
      <c r="O183" s="9" t="s">
        <v>1230</v>
      </c>
      <c r="P183" s="9" t="s">
        <v>1214</v>
      </c>
      <c r="Q183" s="10">
        <v>46238</v>
      </c>
      <c r="R183" s="9" t="s">
        <v>14</v>
      </c>
      <c r="S183" s="19"/>
    </row>
    <row r="184" spans="1:19" ht="40.5" x14ac:dyDescent="0.25">
      <c r="A184" s="16" t="s">
        <v>13</v>
      </c>
      <c r="B184" s="9" t="s">
        <v>1156</v>
      </c>
      <c r="C184" s="9" t="s">
        <v>18</v>
      </c>
      <c r="D184" s="9" t="s">
        <v>1099</v>
      </c>
      <c r="E184" s="9" t="s">
        <v>1157</v>
      </c>
      <c r="F184" s="9" t="s">
        <v>1101</v>
      </c>
      <c r="G184" s="9" t="s">
        <v>1158</v>
      </c>
      <c r="H184" s="9" t="s">
        <v>1159</v>
      </c>
      <c r="I184" s="8" t="s">
        <v>30</v>
      </c>
      <c r="J184" s="8" t="s">
        <v>352</v>
      </c>
      <c r="K184" s="8" t="s">
        <v>159</v>
      </c>
      <c r="L184" s="8" t="s">
        <v>22</v>
      </c>
      <c r="M184" s="8" t="s">
        <v>10</v>
      </c>
      <c r="N184" s="8"/>
      <c r="O184" s="9"/>
      <c r="P184" s="9"/>
      <c r="Q184" s="10"/>
      <c r="R184" s="9" t="s">
        <v>14</v>
      </c>
      <c r="S184" s="19"/>
    </row>
    <row r="185" spans="1:19" ht="40.5" x14ac:dyDescent="0.25">
      <c r="A185" s="16" t="s">
        <v>23</v>
      </c>
      <c r="B185" s="9" t="s">
        <v>1160</v>
      </c>
      <c r="C185" s="9" t="s">
        <v>18</v>
      </c>
      <c r="D185" s="9" t="s">
        <v>1099</v>
      </c>
      <c r="E185" s="9" t="s">
        <v>1161</v>
      </c>
      <c r="F185" s="9" t="s">
        <v>1101</v>
      </c>
      <c r="G185" s="9" t="s">
        <v>1162</v>
      </c>
      <c r="H185" s="9" t="s">
        <v>1163</v>
      </c>
      <c r="I185" s="8" t="s">
        <v>11</v>
      </c>
      <c r="J185" s="8" t="s">
        <v>44</v>
      </c>
      <c r="K185" s="8" t="s">
        <v>317</v>
      </c>
      <c r="L185" s="8" t="s">
        <v>12</v>
      </c>
      <c r="M185" s="8" t="s">
        <v>20</v>
      </c>
      <c r="N185" s="8"/>
      <c r="O185" s="9" t="s">
        <v>1230</v>
      </c>
      <c r="P185" s="9" t="s">
        <v>1214</v>
      </c>
      <c r="Q185" s="10">
        <v>46238</v>
      </c>
      <c r="R185" s="9" t="s">
        <v>14</v>
      </c>
      <c r="S185" s="19"/>
    </row>
    <row r="186" spans="1:19" ht="40.5" x14ac:dyDescent="0.25">
      <c r="A186" s="16" t="s">
        <v>23</v>
      </c>
      <c r="B186" s="9" t="s">
        <v>1164</v>
      </c>
      <c r="C186" s="9" t="s">
        <v>18</v>
      </c>
      <c r="D186" s="9" t="s">
        <v>1099</v>
      </c>
      <c r="E186" s="9" t="s">
        <v>1165</v>
      </c>
      <c r="F186" s="9" t="s">
        <v>1101</v>
      </c>
      <c r="G186" s="9" t="s">
        <v>1166</v>
      </c>
      <c r="H186" s="9" t="s">
        <v>1167</v>
      </c>
      <c r="I186" s="8" t="s">
        <v>11</v>
      </c>
      <c r="J186" s="8" t="s">
        <v>601</v>
      </c>
      <c r="K186" s="8" t="s">
        <v>159</v>
      </c>
      <c r="L186" s="8" t="s">
        <v>12</v>
      </c>
      <c r="M186" s="8" t="s">
        <v>20</v>
      </c>
      <c r="N186" s="8"/>
      <c r="O186" s="9" t="s">
        <v>1230</v>
      </c>
      <c r="P186" s="9" t="s">
        <v>1214</v>
      </c>
      <c r="Q186" s="10">
        <v>46238</v>
      </c>
      <c r="R186" s="9" t="s">
        <v>14</v>
      </c>
      <c r="S186" s="19" t="s">
        <v>1168</v>
      </c>
    </row>
    <row r="187" spans="1:19" ht="40.5" x14ac:dyDescent="0.25">
      <c r="A187" s="16" t="s">
        <v>23</v>
      </c>
      <c r="B187" s="9" t="s">
        <v>1169</v>
      </c>
      <c r="C187" s="9" t="s">
        <v>18</v>
      </c>
      <c r="D187" s="9" t="s">
        <v>1099</v>
      </c>
      <c r="E187" s="9" t="s">
        <v>1170</v>
      </c>
      <c r="F187" s="9" t="s">
        <v>1101</v>
      </c>
      <c r="G187" s="9" t="s">
        <v>1171</v>
      </c>
      <c r="H187" s="9" t="s">
        <v>1172</v>
      </c>
      <c r="I187" s="8" t="s">
        <v>11</v>
      </c>
      <c r="J187" s="8" t="s">
        <v>352</v>
      </c>
      <c r="K187" s="8" t="s">
        <v>1130</v>
      </c>
      <c r="L187" s="8" t="s">
        <v>12</v>
      </c>
      <c r="M187" s="8" t="s">
        <v>20</v>
      </c>
      <c r="N187" s="8"/>
      <c r="O187" s="9" t="s">
        <v>1230</v>
      </c>
      <c r="P187" s="9" t="s">
        <v>1214</v>
      </c>
      <c r="Q187" s="10">
        <v>46238</v>
      </c>
      <c r="R187" s="9" t="s">
        <v>14</v>
      </c>
      <c r="S187" s="19" t="s">
        <v>1173</v>
      </c>
    </row>
    <row r="188" spans="1:19" ht="40.5" x14ac:dyDescent="0.25">
      <c r="A188" s="16" t="s">
        <v>23</v>
      </c>
      <c r="B188" s="9" t="s">
        <v>1174</v>
      </c>
      <c r="C188" s="9" t="s">
        <v>18</v>
      </c>
      <c r="D188" s="9" t="s">
        <v>1099</v>
      </c>
      <c r="E188" s="9" t="s">
        <v>1175</v>
      </c>
      <c r="F188" s="9" t="s">
        <v>1101</v>
      </c>
      <c r="G188" s="9" t="s">
        <v>1176</v>
      </c>
      <c r="H188" s="9" t="s">
        <v>1177</v>
      </c>
      <c r="I188" s="8" t="s">
        <v>11</v>
      </c>
      <c r="J188" s="8" t="s">
        <v>44</v>
      </c>
      <c r="K188" s="8" t="s">
        <v>90</v>
      </c>
      <c r="L188" s="8" t="s">
        <v>12</v>
      </c>
      <c r="M188" s="8" t="s">
        <v>20</v>
      </c>
      <c r="N188" s="8"/>
      <c r="O188" s="9" t="s">
        <v>1230</v>
      </c>
      <c r="P188" s="9" t="s">
        <v>1214</v>
      </c>
      <c r="Q188" s="10">
        <v>46238</v>
      </c>
      <c r="R188" s="9" t="s">
        <v>14</v>
      </c>
      <c r="S188" s="19"/>
    </row>
    <row r="189" spans="1:19" ht="40.5" x14ac:dyDescent="0.25">
      <c r="A189" s="16" t="s">
        <v>23</v>
      </c>
      <c r="B189" s="9" t="s">
        <v>1178</v>
      </c>
      <c r="C189" s="9" t="s">
        <v>18</v>
      </c>
      <c r="D189" s="9" t="s">
        <v>1099</v>
      </c>
      <c r="E189" s="9" t="s">
        <v>1179</v>
      </c>
      <c r="F189" s="9" t="s">
        <v>1101</v>
      </c>
      <c r="G189" s="9" t="s">
        <v>1180</v>
      </c>
      <c r="H189" s="9" t="s">
        <v>1181</v>
      </c>
      <c r="I189" s="8" t="s">
        <v>11</v>
      </c>
      <c r="J189" s="8" t="s">
        <v>44</v>
      </c>
      <c r="K189" s="8" t="s">
        <v>317</v>
      </c>
      <c r="L189" s="8" t="s">
        <v>12</v>
      </c>
      <c r="M189" s="8" t="s">
        <v>42</v>
      </c>
      <c r="N189" s="8"/>
      <c r="O189" s="9" t="s">
        <v>1217</v>
      </c>
      <c r="P189" s="9" t="s">
        <v>1214</v>
      </c>
      <c r="Q189" s="10">
        <v>46238</v>
      </c>
      <c r="R189" s="9" t="s">
        <v>14</v>
      </c>
      <c r="S189" s="19" t="s">
        <v>1218</v>
      </c>
    </row>
    <row r="190" spans="1:19" ht="40.5" x14ac:dyDescent="0.25">
      <c r="A190" s="16" t="s">
        <v>23</v>
      </c>
      <c r="B190" s="9" t="s">
        <v>1182</v>
      </c>
      <c r="C190" s="9" t="s">
        <v>18</v>
      </c>
      <c r="D190" s="9" t="s">
        <v>1099</v>
      </c>
      <c r="E190" s="9" t="s">
        <v>1183</v>
      </c>
      <c r="F190" s="9" t="s">
        <v>1101</v>
      </c>
      <c r="G190" s="9" t="s">
        <v>1184</v>
      </c>
      <c r="H190" s="9" t="s">
        <v>1185</v>
      </c>
      <c r="I190" s="8" t="s">
        <v>11</v>
      </c>
      <c r="J190" s="8" t="s">
        <v>44</v>
      </c>
      <c r="K190" s="8" t="s">
        <v>317</v>
      </c>
      <c r="L190" s="8" t="s">
        <v>12</v>
      </c>
      <c r="M190" s="8" t="s">
        <v>42</v>
      </c>
      <c r="N190" s="8"/>
      <c r="O190" s="9" t="s">
        <v>1217</v>
      </c>
      <c r="P190" s="9" t="s">
        <v>1214</v>
      </c>
      <c r="Q190" s="10">
        <v>46238</v>
      </c>
      <c r="R190" s="9" t="s">
        <v>14</v>
      </c>
      <c r="S190" s="19" t="s">
        <v>1218</v>
      </c>
    </row>
    <row r="191" spans="1:19" ht="54" x14ac:dyDescent="0.25">
      <c r="A191" s="16" t="s">
        <v>23</v>
      </c>
      <c r="B191" s="9" t="s">
        <v>1186</v>
      </c>
      <c r="C191" s="9" t="s">
        <v>18</v>
      </c>
      <c r="D191" s="9" t="s">
        <v>1099</v>
      </c>
      <c r="E191" s="9" t="s">
        <v>1187</v>
      </c>
      <c r="F191" s="9" t="s">
        <v>1101</v>
      </c>
      <c r="G191" s="9" t="s">
        <v>1188</v>
      </c>
      <c r="H191" s="9" t="s">
        <v>1189</v>
      </c>
      <c r="I191" s="8" t="s">
        <v>11</v>
      </c>
      <c r="J191" s="8" t="s">
        <v>35</v>
      </c>
      <c r="K191" s="8" t="s">
        <v>1190</v>
      </c>
      <c r="L191" s="8" t="s">
        <v>22</v>
      </c>
      <c r="M191" s="8" t="s">
        <v>42</v>
      </c>
      <c r="N191" s="8"/>
      <c r="O191" s="9" t="s">
        <v>1217</v>
      </c>
      <c r="P191" s="9" t="s">
        <v>1214</v>
      </c>
      <c r="Q191" s="10">
        <v>46238</v>
      </c>
      <c r="R191" s="9" t="s">
        <v>14</v>
      </c>
      <c r="S191" s="19" t="s">
        <v>1218</v>
      </c>
    </row>
    <row r="192" spans="1:19" ht="40.5" x14ac:dyDescent="0.25">
      <c r="A192" s="16" t="s">
        <v>23</v>
      </c>
      <c r="B192" s="9" t="s">
        <v>1191</v>
      </c>
      <c r="C192" s="9" t="s">
        <v>18</v>
      </c>
      <c r="D192" s="9" t="s">
        <v>1099</v>
      </c>
      <c r="E192" s="9" t="s">
        <v>1192</v>
      </c>
      <c r="F192" s="9" t="s">
        <v>1101</v>
      </c>
      <c r="G192" s="9" t="s">
        <v>1193</v>
      </c>
      <c r="H192" s="9" t="s">
        <v>1194</v>
      </c>
      <c r="I192" s="8" t="s">
        <v>30</v>
      </c>
      <c r="J192" s="8" t="s">
        <v>44</v>
      </c>
      <c r="K192" s="8" t="s">
        <v>90</v>
      </c>
      <c r="L192" s="8" t="s">
        <v>12</v>
      </c>
      <c r="M192" s="8" t="s">
        <v>20</v>
      </c>
      <c r="N192" s="8"/>
      <c r="O192" s="9" t="s">
        <v>1230</v>
      </c>
      <c r="P192" s="9" t="s">
        <v>1214</v>
      </c>
      <c r="Q192" s="10">
        <v>46238</v>
      </c>
      <c r="R192" s="9" t="s">
        <v>14</v>
      </c>
      <c r="S192" s="19"/>
    </row>
    <row r="193" spans="1:19" ht="27" x14ac:dyDescent="0.25">
      <c r="A193" s="16" t="s">
        <v>13</v>
      </c>
      <c r="B193" s="9" t="s">
        <v>822</v>
      </c>
      <c r="C193" s="9" t="s">
        <v>27</v>
      </c>
      <c r="D193" s="9" t="s">
        <v>821</v>
      </c>
      <c r="E193" s="9" t="s">
        <v>823</v>
      </c>
      <c r="F193" s="9" t="s">
        <v>67</v>
      </c>
      <c r="G193" s="9" t="s">
        <v>824</v>
      </c>
      <c r="H193" s="9" t="s">
        <v>825</v>
      </c>
      <c r="I193" s="8" t="s">
        <v>30</v>
      </c>
      <c r="J193" s="8" t="s">
        <v>826</v>
      </c>
      <c r="K193" s="8" t="s">
        <v>347</v>
      </c>
      <c r="L193" s="8" t="s">
        <v>31</v>
      </c>
      <c r="M193" s="8" t="s">
        <v>43</v>
      </c>
      <c r="N193" s="8"/>
      <c r="O193" s="9"/>
      <c r="P193" s="9"/>
      <c r="Q193" s="10"/>
      <c r="R193" s="9" t="s">
        <v>14</v>
      </c>
      <c r="S193" s="19"/>
    </row>
    <row r="194" spans="1:19" ht="27" x14ac:dyDescent="0.25">
      <c r="A194" s="16" t="s">
        <v>13</v>
      </c>
      <c r="B194" s="9" t="s">
        <v>827</v>
      </c>
      <c r="C194" s="9" t="s">
        <v>27</v>
      </c>
      <c r="D194" s="9" t="s">
        <v>821</v>
      </c>
      <c r="E194" s="9" t="s">
        <v>828</v>
      </c>
      <c r="F194" s="9" t="s">
        <v>67</v>
      </c>
      <c r="G194" s="9" t="s">
        <v>829</v>
      </c>
      <c r="H194" s="9" t="s">
        <v>830</v>
      </c>
      <c r="I194" s="8" t="s">
        <v>30</v>
      </c>
      <c r="J194" s="8" t="s">
        <v>831</v>
      </c>
      <c r="K194" s="8" t="s">
        <v>317</v>
      </c>
      <c r="L194" s="8" t="s">
        <v>31</v>
      </c>
      <c r="M194" s="8" t="s">
        <v>43</v>
      </c>
      <c r="N194" s="8"/>
      <c r="O194" s="9"/>
      <c r="P194" s="9"/>
      <c r="Q194" s="10"/>
      <c r="R194" s="9" t="s">
        <v>14</v>
      </c>
      <c r="S194" s="19"/>
    </row>
    <row r="195" spans="1:19" ht="27" x14ac:dyDescent="0.25">
      <c r="A195" s="16" t="s">
        <v>13</v>
      </c>
      <c r="B195" s="9" t="s">
        <v>832</v>
      </c>
      <c r="C195" s="9" t="s">
        <v>27</v>
      </c>
      <c r="D195" s="9" t="s">
        <v>821</v>
      </c>
      <c r="E195" s="9" t="s">
        <v>833</v>
      </c>
      <c r="F195" s="9" t="s">
        <v>67</v>
      </c>
      <c r="G195" s="9" t="s">
        <v>834</v>
      </c>
      <c r="H195" s="9" t="s">
        <v>835</v>
      </c>
      <c r="I195" s="8" t="s">
        <v>21</v>
      </c>
      <c r="J195" s="8" t="s">
        <v>836</v>
      </c>
      <c r="K195" s="8" t="s">
        <v>90</v>
      </c>
      <c r="L195" s="8" t="s">
        <v>31</v>
      </c>
      <c r="M195" s="8" t="s">
        <v>43</v>
      </c>
      <c r="N195" s="8"/>
      <c r="O195" s="9"/>
      <c r="P195" s="9"/>
      <c r="Q195" s="10"/>
      <c r="R195" s="9" t="s">
        <v>14</v>
      </c>
      <c r="S195" s="19"/>
    </row>
    <row r="196" spans="1:19" ht="27" x14ac:dyDescent="0.25">
      <c r="A196" s="16" t="s">
        <v>13</v>
      </c>
      <c r="B196" s="9" t="s">
        <v>837</v>
      </c>
      <c r="C196" s="9" t="s">
        <v>27</v>
      </c>
      <c r="D196" s="9" t="s">
        <v>821</v>
      </c>
      <c r="E196" s="9" t="s">
        <v>838</v>
      </c>
      <c r="F196" s="9" t="s">
        <v>67</v>
      </c>
      <c r="G196" s="9" t="s">
        <v>839</v>
      </c>
      <c r="H196" s="9" t="s">
        <v>840</v>
      </c>
      <c r="I196" s="8" t="s">
        <v>21</v>
      </c>
      <c r="J196" s="8" t="s">
        <v>841</v>
      </c>
      <c r="K196" s="8" t="s">
        <v>317</v>
      </c>
      <c r="L196" s="8" t="s">
        <v>31</v>
      </c>
      <c r="M196" s="8" t="s">
        <v>43</v>
      </c>
      <c r="N196" s="8"/>
      <c r="O196" s="9"/>
      <c r="P196" s="9"/>
      <c r="Q196" s="10"/>
      <c r="R196" s="9" t="s">
        <v>14</v>
      </c>
      <c r="S196" s="19"/>
    </row>
    <row r="197" spans="1:19" ht="27" x14ac:dyDescent="0.25">
      <c r="A197" s="16" t="s">
        <v>13</v>
      </c>
      <c r="B197" s="9" t="s">
        <v>842</v>
      </c>
      <c r="C197" s="9" t="s">
        <v>27</v>
      </c>
      <c r="D197" s="9" t="s">
        <v>821</v>
      </c>
      <c r="E197" s="9" t="s">
        <v>843</v>
      </c>
      <c r="F197" s="9" t="s">
        <v>67</v>
      </c>
      <c r="G197" s="9" t="s">
        <v>844</v>
      </c>
      <c r="H197" s="9" t="s">
        <v>845</v>
      </c>
      <c r="I197" s="8" t="s">
        <v>21</v>
      </c>
      <c r="J197" s="8" t="s">
        <v>846</v>
      </c>
      <c r="K197" s="8" t="s">
        <v>347</v>
      </c>
      <c r="L197" s="8" t="s">
        <v>31</v>
      </c>
      <c r="M197" s="8" t="s">
        <v>43</v>
      </c>
      <c r="N197" s="8"/>
      <c r="O197" s="9"/>
      <c r="P197" s="9"/>
      <c r="Q197" s="10"/>
      <c r="R197" s="9" t="s">
        <v>14</v>
      </c>
      <c r="S197" s="19"/>
    </row>
    <row r="198" spans="1:19" ht="27" x14ac:dyDescent="0.25">
      <c r="A198" s="16" t="s">
        <v>13</v>
      </c>
      <c r="B198" s="9" t="s">
        <v>847</v>
      </c>
      <c r="C198" s="9" t="s">
        <v>27</v>
      </c>
      <c r="D198" s="9" t="s">
        <v>821</v>
      </c>
      <c r="E198" s="9" t="s">
        <v>848</v>
      </c>
      <c r="F198" s="9" t="s">
        <v>67</v>
      </c>
      <c r="G198" s="9" t="s">
        <v>849</v>
      </c>
      <c r="H198" s="9" t="s">
        <v>850</v>
      </c>
      <c r="I198" s="8" t="s">
        <v>21</v>
      </c>
      <c r="J198" s="8" t="s">
        <v>851</v>
      </c>
      <c r="K198" s="8" t="s">
        <v>852</v>
      </c>
      <c r="L198" s="8" t="s">
        <v>31</v>
      </c>
      <c r="M198" s="8" t="s">
        <v>43</v>
      </c>
      <c r="N198" s="8"/>
      <c r="O198" s="9"/>
      <c r="P198" s="9"/>
      <c r="Q198" s="10"/>
      <c r="R198" s="9" t="s">
        <v>14</v>
      </c>
      <c r="S198" s="19"/>
    </row>
    <row r="199" spans="1:19" ht="27" x14ac:dyDescent="0.25">
      <c r="A199" s="16" t="s">
        <v>13</v>
      </c>
      <c r="B199" s="9" t="s">
        <v>853</v>
      </c>
      <c r="C199" s="9" t="s">
        <v>27</v>
      </c>
      <c r="D199" s="9" t="s">
        <v>821</v>
      </c>
      <c r="E199" s="9" t="s">
        <v>854</v>
      </c>
      <c r="F199" s="9" t="s">
        <v>67</v>
      </c>
      <c r="G199" s="9" t="s">
        <v>855</v>
      </c>
      <c r="H199" s="9" t="s">
        <v>856</v>
      </c>
      <c r="I199" s="8" t="s">
        <v>30</v>
      </c>
      <c r="J199" s="8" t="s">
        <v>851</v>
      </c>
      <c r="K199" s="8" t="s">
        <v>347</v>
      </c>
      <c r="L199" s="8" t="s">
        <v>31</v>
      </c>
      <c r="M199" s="8" t="s">
        <v>43</v>
      </c>
      <c r="N199" s="8"/>
      <c r="O199" s="9"/>
      <c r="P199" s="9"/>
      <c r="Q199" s="10"/>
      <c r="R199" s="9" t="s">
        <v>14</v>
      </c>
      <c r="S199" s="19"/>
    </row>
    <row r="200" spans="1:19" ht="27" x14ac:dyDescent="0.25">
      <c r="A200" s="16" t="s">
        <v>13</v>
      </c>
      <c r="B200" s="9" t="s">
        <v>857</v>
      </c>
      <c r="C200" s="9" t="s">
        <v>27</v>
      </c>
      <c r="D200" s="9" t="s">
        <v>821</v>
      </c>
      <c r="E200" s="9" t="s">
        <v>858</v>
      </c>
      <c r="F200" s="9" t="s">
        <v>67</v>
      </c>
      <c r="G200" s="9" t="s">
        <v>859</v>
      </c>
      <c r="H200" s="9" t="s">
        <v>860</v>
      </c>
      <c r="I200" s="8" t="s">
        <v>21</v>
      </c>
      <c r="J200" s="8" t="s">
        <v>861</v>
      </c>
      <c r="K200" s="8" t="s">
        <v>90</v>
      </c>
      <c r="L200" s="8" t="s">
        <v>31</v>
      </c>
      <c r="M200" s="8" t="s">
        <v>43</v>
      </c>
      <c r="N200" s="8"/>
      <c r="O200" s="9"/>
      <c r="P200" s="9"/>
      <c r="Q200" s="10"/>
      <c r="R200" s="9" t="s">
        <v>14</v>
      </c>
      <c r="S200" s="19"/>
    </row>
    <row r="201" spans="1:19" ht="27" x14ac:dyDescent="0.25">
      <c r="A201" s="16" t="s">
        <v>13</v>
      </c>
      <c r="B201" s="9" t="s">
        <v>862</v>
      </c>
      <c r="C201" s="9" t="s">
        <v>27</v>
      </c>
      <c r="D201" s="9" t="s">
        <v>821</v>
      </c>
      <c r="E201" s="9" t="s">
        <v>863</v>
      </c>
      <c r="F201" s="9" t="s">
        <v>67</v>
      </c>
      <c r="G201" s="9" t="s">
        <v>864</v>
      </c>
      <c r="H201" s="9" t="s">
        <v>865</v>
      </c>
      <c r="I201" s="8" t="s">
        <v>21</v>
      </c>
      <c r="J201" s="8" t="s">
        <v>866</v>
      </c>
      <c r="K201" s="8" t="s">
        <v>90</v>
      </c>
      <c r="L201" s="8" t="s">
        <v>31</v>
      </c>
      <c r="M201" s="8" t="s">
        <v>43</v>
      </c>
      <c r="N201" s="8"/>
      <c r="O201" s="9"/>
      <c r="P201" s="9"/>
      <c r="Q201" s="10"/>
      <c r="R201" s="9" t="s">
        <v>14</v>
      </c>
      <c r="S201" s="19"/>
    </row>
    <row r="202" spans="1:19" ht="27" x14ac:dyDescent="0.25">
      <c r="A202" s="16" t="s">
        <v>13</v>
      </c>
      <c r="B202" s="9" t="s">
        <v>867</v>
      </c>
      <c r="C202" s="9" t="s">
        <v>27</v>
      </c>
      <c r="D202" s="9" t="s">
        <v>821</v>
      </c>
      <c r="E202" s="9" t="s">
        <v>868</v>
      </c>
      <c r="F202" s="9" t="s">
        <v>67</v>
      </c>
      <c r="G202" s="9" t="s">
        <v>869</v>
      </c>
      <c r="H202" s="9" t="s">
        <v>870</v>
      </c>
      <c r="I202" s="8" t="s">
        <v>30</v>
      </c>
      <c r="J202" s="8" t="s">
        <v>871</v>
      </c>
      <c r="K202" s="8" t="s">
        <v>347</v>
      </c>
      <c r="L202" s="8" t="s">
        <v>31</v>
      </c>
      <c r="M202" s="8" t="s">
        <v>43</v>
      </c>
      <c r="N202" s="8"/>
      <c r="O202" s="9"/>
      <c r="P202" s="9"/>
      <c r="Q202" s="10"/>
      <c r="R202" s="9" t="s">
        <v>14</v>
      </c>
      <c r="S202" s="19"/>
    </row>
    <row r="203" spans="1:19" ht="27" x14ac:dyDescent="0.25">
      <c r="A203" s="16" t="s">
        <v>13</v>
      </c>
      <c r="B203" s="9" t="s">
        <v>872</v>
      </c>
      <c r="C203" s="9" t="s">
        <v>27</v>
      </c>
      <c r="D203" s="9" t="s">
        <v>821</v>
      </c>
      <c r="E203" s="9" t="s">
        <v>873</v>
      </c>
      <c r="F203" s="9" t="s">
        <v>67</v>
      </c>
      <c r="G203" s="9" t="s">
        <v>874</v>
      </c>
      <c r="H203" s="9" t="s">
        <v>875</v>
      </c>
      <c r="I203" s="8" t="s">
        <v>37</v>
      </c>
      <c r="J203" s="8" t="s">
        <v>836</v>
      </c>
      <c r="K203" s="8" t="s">
        <v>347</v>
      </c>
      <c r="L203" s="8" t="s">
        <v>31</v>
      </c>
      <c r="M203" s="8" t="s">
        <v>43</v>
      </c>
      <c r="N203" s="8"/>
      <c r="O203" s="9"/>
      <c r="P203" s="9"/>
      <c r="Q203" s="10"/>
      <c r="R203" s="9" t="s">
        <v>14</v>
      </c>
      <c r="S203" s="19"/>
    </row>
    <row r="204" spans="1:19" ht="27" x14ac:dyDescent="0.25">
      <c r="A204" s="17" t="s">
        <v>13</v>
      </c>
      <c r="B204" s="13" t="s">
        <v>876</v>
      </c>
      <c r="C204" s="13" t="s">
        <v>27</v>
      </c>
      <c r="D204" s="13" t="s">
        <v>821</v>
      </c>
      <c r="E204" s="13" t="s">
        <v>877</v>
      </c>
      <c r="F204" s="13" t="s">
        <v>67</v>
      </c>
      <c r="G204" s="13" t="s">
        <v>878</v>
      </c>
      <c r="H204" s="13" t="s">
        <v>879</v>
      </c>
      <c r="I204" s="12" t="s">
        <v>30</v>
      </c>
      <c r="J204" s="12" t="s">
        <v>880</v>
      </c>
      <c r="K204" s="12" t="s">
        <v>347</v>
      </c>
      <c r="L204" s="12" t="s">
        <v>31</v>
      </c>
      <c r="M204" s="12" t="s">
        <v>43</v>
      </c>
      <c r="N204" s="12"/>
      <c r="O204" s="13"/>
      <c r="P204" s="13"/>
      <c r="Q204" s="14"/>
      <c r="R204" s="13" t="s">
        <v>14</v>
      </c>
      <c r="S204" s="20"/>
    </row>
  </sheetData>
  <conditionalFormatting sqref="I2:I204">
    <cfRule type="cellIs" dxfId="81" priority="7" stopIfTrue="1" operator="equal">
      <formula>"Release Gate"</formula>
    </cfRule>
    <cfRule type="cellIs" dxfId="80" priority="8" stopIfTrue="1" operator="equal">
      <formula>"P0"</formula>
    </cfRule>
    <cfRule type="cellIs" dxfId="79" priority="9" stopIfTrue="1" operator="equal">
      <formula>"P1"</formula>
    </cfRule>
    <cfRule type="cellIs" dxfId="78" priority="10" stopIfTrue="1" operator="equal">
      <formula>"P2"</formula>
    </cfRule>
  </conditionalFormatting>
  <conditionalFormatting sqref="M2:M204">
    <cfRule type="cellIs" dxfId="77" priority="1" stopIfTrue="1" operator="equal">
      <formula>"Pass"</formula>
    </cfRule>
    <cfRule type="cellIs" dxfId="76" priority="2" stopIfTrue="1" operator="equal">
      <formula>"Fail"</formula>
    </cfRule>
    <cfRule type="cellIs" dxfId="75" priority="3" stopIfTrue="1" operator="equal">
      <formula>"Blocked"</formula>
    </cfRule>
    <cfRule type="cellIs" dxfId="74" priority="4" stopIfTrue="1" operator="equal">
      <formula>"Not Run"</formula>
    </cfRule>
    <cfRule type="cellIs" dxfId="73" priority="5" stopIfTrue="1" operator="equal">
      <formula>"Deferred"</formula>
    </cfRule>
    <cfRule type="cellIs" dxfId="72" priority="6" stopIfTrue="1" operator="equal">
      <formula>"N/A"</formula>
    </cfRule>
  </conditionalFormatting>
  <dataValidations count="7">
    <dataValidation type="list" allowBlank="1" showInputMessage="1" showErrorMessage="1" errorTitle="Select a valid checklist value" error="Choose a value from the dropdown list." sqref="A2:A204" xr:uid="{F2DEA0F0-B95E-40DD-87D5-BAA63B6416CC}">
      <formula1>CheckOptions</formula1>
    </dataValidation>
    <dataValidation type="list" allowBlank="1" showInputMessage="1" showErrorMessage="1" errorTitle="Select a valid checklist value" error="Choose a value from the dropdown list." sqref="C2:C204" xr:uid="{FF843537-4D52-4334-90C8-B39D297BB5E0}">
      <formula1>ScopeOptions</formula1>
    </dataValidation>
    <dataValidation type="list" allowBlank="1" showInputMessage="1" showErrorMessage="1" errorTitle="Select a valid checklist value" error="Choose a value from the dropdown list." sqref="I2:I204" xr:uid="{EAA45FDF-844E-4D91-BFBE-516C872A3CEC}">
      <formula1>PriorityOptions</formula1>
    </dataValidation>
    <dataValidation type="list" allowBlank="1" showInputMessage="1" showErrorMessage="1" errorTitle="Select a valid checklist value" error="Choose a value from the dropdown list." sqref="J2:J204" xr:uid="{576141B5-9E2A-452B-B431-44096F9032D1}">
      <formula1>TestTypeOptions</formula1>
    </dataValidation>
    <dataValidation type="list" allowBlank="1" showInputMessage="1" showErrorMessage="1" errorTitle="Select a valid checklist value" error="Choose a value from the dropdown list." sqref="L2:L204" xr:uid="{D3654A7E-55DB-4D94-BE24-D0372256C3F9}">
      <formula1>AutomationOptions</formula1>
    </dataValidation>
    <dataValidation type="list" allowBlank="1" showInputMessage="1" showErrorMessage="1" errorTitle="Select a valid checklist value" error="Choose a value from the dropdown list." sqref="M2:M204" xr:uid="{142EEBA5-2D63-4B0D-AC12-E12B8A95FAE7}">
      <formula1>StatusOptions</formula1>
    </dataValidation>
    <dataValidation type="list" allowBlank="1" showInputMessage="1" showErrorMessage="1" errorTitle="Select a valid checklist value" error="Choose a value from the dropdown list." sqref="R2:R204" xr:uid="{6DE3CEBF-F793-4DDE-84E7-F7BBCD33B00C}">
      <formula1>RetestOptions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D5A9-E509-4B87-95C6-E7451A6D12ED}">
  <sheetPr>
    <tabColor rgb="FF265272"/>
  </sheetPr>
  <dimension ref="A1:S5"/>
  <sheetViews>
    <sheetView showGridLines="0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1" width="12.140625" customWidth="1"/>
    <col min="2" max="2" width="16.140625" customWidth="1"/>
    <col min="3" max="3" width="24.7109375" customWidth="1"/>
    <col min="4" max="4" width="10.7109375" customWidth="1"/>
    <col min="5" max="5" width="46.7109375" customWidth="1"/>
    <col min="6" max="6" width="13.7109375" customWidth="1"/>
    <col min="7" max="7" width="14.7109375" customWidth="1"/>
    <col min="8" max="8" width="18.42578125" customWidth="1"/>
    <col min="9" max="9" width="18" customWidth="1"/>
    <col min="10" max="10" width="17.7109375" customWidth="1"/>
    <col min="11" max="11" width="13.7109375" customWidth="1"/>
    <col min="12" max="12" width="17.140625" customWidth="1"/>
    <col min="13" max="13" width="13.7109375" customWidth="1"/>
    <col min="14" max="14" width="20.5703125" customWidth="1"/>
    <col min="15" max="15" width="14.7109375" customWidth="1"/>
    <col min="16" max="16" width="19.28515625" customWidth="1"/>
    <col min="17" max="17" width="14.7109375" customWidth="1"/>
    <col min="18" max="19" width="40.7109375" customWidth="1"/>
  </cols>
  <sheetData>
    <row r="1" spans="1:19" ht="33.950000000000003" customHeight="1" x14ac:dyDescent="0.25">
      <c r="A1" s="15" t="s">
        <v>49</v>
      </c>
      <c r="B1" s="11" t="s">
        <v>881</v>
      </c>
      <c r="C1" s="11" t="s">
        <v>882</v>
      </c>
      <c r="D1" s="11" t="s">
        <v>883</v>
      </c>
      <c r="E1" s="11" t="s">
        <v>884</v>
      </c>
      <c r="F1" s="11" t="s">
        <v>885</v>
      </c>
      <c r="G1" s="11" t="s">
        <v>886</v>
      </c>
      <c r="H1" s="11" t="s">
        <v>887</v>
      </c>
      <c r="I1" s="11" t="s">
        <v>888</v>
      </c>
      <c r="J1" s="11" t="s">
        <v>889</v>
      </c>
      <c r="K1" s="11" t="s">
        <v>890</v>
      </c>
      <c r="L1" s="11" t="s">
        <v>891</v>
      </c>
      <c r="M1" s="11" t="s">
        <v>892</v>
      </c>
      <c r="N1" s="11" t="s">
        <v>893</v>
      </c>
      <c r="O1" s="11" t="s">
        <v>894</v>
      </c>
      <c r="P1" s="11" t="s">
        <v>895</v>
      </c>
      <c r="Q1" s="11" t="s">
        <v>896</v>
      </c>
      <c r="R1" s="11" t="s">
        <v>897</v>
      </c>
      <c r="S1" s="18" t="s">
        <v>63</v>
      </c>
    </row>
    <row r="2" spans="1:19" ht="54" customHeight="1" x14ac:dyDescent="0.25">
      <c r="A2" s="21" t="s">
        <v>23</v>
      </c>
      <c r="B2" s="9">
        <v>1</v>
      </c>
      <c r="C2" s="9" t="s">
        <v>898</v>
      </c>
      <c r="D2" s="9">
        <v>3</v>
      </c>
      <c r="E2" s="9" t="s">
        <v>899</v>
      </c>
      <c r="F2" s="9" t="s">
        <v>20</v>
      </c>
      <c r="G2" s="9" t="s">
        <v>20</v>
      </c>
      <c r="H2" s="9" t="s">
        <v>20</v>
      </c>
      <c r="I2" s="9" t="s">
        <v>20</v>
      </c>
      <c r="J2" s="9" t="s">
        <v>20</v>
      </c>
      <c r="K2" s="9" t="s">
        <v>20</v>
      </c>
      <c r="L2" s="9" t="s">
        <v>20</v>
      </c>
      <c r="M2" s="9" t="s">
        <v>20</v>
      </c>
      <c r="N2" s="9" t="s">
        <v>20</v>
      </c>
      <c r="O2" s="9" t="s">
        <v>20</v>
      </c>
      <c r="P2" s="9" t="s">
        <v>20</v>
      </c>
      <c r="Q2" s="10">
        <v>46238</v>
      </c>
      <c r="R2" s="9" t="s">
        <v>1446</v>
      </c>
      <c r="S2" s="19" t="s">
        <v>900</v>
      </c>
    </row>
    <row r="3" spans="1:19" ht="54" customHeight="1" x14ac:dyDescent="0.25">
      <c r="A3" s="21" t="s">
        <v>23</v>
      </c>
      <c r="B3" s="9">
        <v>2</v>
      </c>
      <c r="C3" s="9" t="s">
        <v>901</v>
      </c>
      <c r="D3" s="9">
        <v>2</v>
      </c>
      <c r="E3" s="9" t="s">
        <v>902</v>
      </c>
      <c r="F3" s="9" t="s">
        <v>20</v>
      </c>
      <c r="G3" s="9" t="s">
        <v>20</v>
      </c>
      <c r="H3" s="9" t="s">
        <v>20</v>
      </c>
      <c r="I3" s="9" t="s">
        <v>20</v>
      </c>
      <c r="J3" s="9" t="s">
        <v>20</v>
      </c>
      <c r="K3" s="9" t="s">
        <v>20</v>
      </c>
      <c r="L3" s="9" t="s">
        <v>20</v>
      </c>
      <c r="M3" s="9" t="s">
        <v>20</v>
      </c>
      <c r="N3" s="9" t="s">
        <v>20</v>
      </c>
      <c r="O3" s="9" t="s">
        <v>20</v>
      </c>
      <c r="P3" s="9" t="s">
        <v>20</v>
      </c>
      <c r="Q3" s="10">
        <v>46238</v>
      </c>
      <c r="R3" s="9" t="s">
        <v>1446</v>
      </c>
      <c r="S3" s="19" t="s">
        <v>903</v>
      </c>
    </row>
    <row r="4" spans="1:19" ht="54" customHeight="1" x14ac:dyDescent="0.25">
      <c r="A4" s="21" t="s">
        <v>23</v>
      </c>
      <c r="B4" s="9">
        <v>3</v>
      </c>
      <c r="C4" s="9" t="s">
        <v>904</v>
      </c>
      <c r="D4" s="9">
        <v>3</v>
      </c>
      <c r="E4" s="9" t="s">
        <v>905</v>
      </c>
      <c r="F4" s="9" t="s">
        <v>20</v>
      </c>
      <c r="G4" s="9" t="s">
        <v>20</v>
      </c>
      <c r="H4" s="9" t="s">
        <v>20</v>
      </c>
      <c r="I4" s="9" t="s">
        <v>20</v>
      </c>
      <c r="J4" s="9" t="s">
        <v>20</v>
      </c>
      <c r="K4" s="9" t="s">
        <v>20</v>
      </c>
      <c r="L4" s="9" t="s">
        <v>20</v>
      </c>
      <c r="M4" s="9" t="s">
        <v>20</v>
      </c>
      <c r="N4" s="9" t="s">
        <v>20</v>
      </c>
      <c r="O4" s="9" t="s">
        <v>20</v>
      </c>
      <c r="P4" s="9" t="s">
        <v>20</v>
      </c>
      <c r="Q4" s="10">
        <v>46238</v>
      </c>
      <c r="R4" s="9" t="s">
        <v>1446</v>
      </c>
      <c r="S4" s="19" t="s">
        <v>906</v>
      </c>
    </row>
    <row r="5" spans="1:19" ht="54" customHeight="1" x14ac:dyDescent="0.25">
      <c r="A5" s="22" t="s">
        <v>23</v>
      </c>
      <c r="B5" s="13">
        <v>4</v>
      </c>
      <c r="C5" s="13" t="s">
        <v>907</v>
      </c>
      <c r="D5" s="13">
        <v>2</v>
      </c>
      <c r="E5" s="13" t="s">
        <v>908</v>
      </c>
      <c r="F5" s="13" t="s">
        <v>20</v>
      </c>
      <c r="G5" s="13" t="s">
        <v>20</v>
      </c>
      <c r="H5" s="13" t="s">
        <v>20</v>
      </c>
      <c r="I5" s="13" t="s">
        <v>20</v>
      </c>
      <c r="J5" s="13" t="s">
        <v>20</v>
      </c>
      <c r="K5" s="13" t="s">
        <v>20</v>
      </c>
      <c r="L5" s="13" t="s">
        <v>20</v>
      </c>
      <c r="M5" s="13" t="s">
        <v>20</v>
      </c>
      <c r="N5" s="13" t="s">
        <v>20</v>
      </c>
      <c r="O5" s="13" t="s">
        <v>20</v>
      </c>
      <c r="P5" s="13" t="s">
        <v>20</v>
      </c>
      <c r="Q5" s="14">
        <v>46238</v>
      </c>
      <c r="R5" s="13" t="s">
        <v>1446</v>
      </c>
      <c r="S5" s="20" t="s">
        <v>909</v>
      </c>
    </row>
  </sheetData>
  <conditionalFormatting sqref="F2:F5">
    <cfRule type="cellIs" dxfId="71" priority="1" stopIfTrue="1" operator="equal">
      <formula>"Pass"</formula>
    </cfRule>
    <cfRule type="cellIs" dxfId="70" priority="2" stopIfTrue="1" operator="equal">
      <formula>"Fail"</formula>
    </cfRule>
    <cfRule type="cellIs" dxfId="69" priority="3" stopIfTrue="1" operator="equal">
      <formula>"Blocked"</formula>
    </cfRule>
    <cfRule type="cellIs" dxfId="68" priority="4" stopIfTrue="1" operator="equal">
      <formula>"Not Run"</formula>
    </cfRule>
    <cfRule type="cellIs" dxfId="67" priority="5" stopIfTrue="1" operator="equal">
      <formula>"Deferred"</formula>
    </cfRule>
    <cfRule type="cellIs" dxfId="66" priority="6" stopIfTrue="1" operator="equal">
      <formula>"N/A"</formula>
    </cfRule>
  </conditionalFormatting>
  <conditionalFormatting sqref="G2:G5">
    <cfRule type="cellIs" dxfId="65" priority="7" stopIfTrue="1" operator="equal">
      <formula>"Pass"</formula>
    </cfRule>
    <cfRule type="cellIs" dxfId="64" priority="8" stopIfTrue="1" operator="equal">
      <formula>"Fail"</formula>
    </cfRule>
    <cfRule type="cellIs" dxfId="63" priority="9" stopIfTrue="1" operator="equal">
      <formula>"Blocked"</formula>
    </cfRule>
    <cfRule type="cellIs" dxfId="62" priority="10" stopIfTrue="1" operator="equal">
      <formula>"Not Run"</formula>
    </cfRule>
    <cfRule type="cellIs" dxfId="61" priority="11" stopIfTrue="1" operator="equal">
      <formula>"Deferred"</formula>
    </cfRule>
    <cfRule type="cellIs" dxfId="60" priority="12" stopIfTrue="1" operator="equal">
      <formula>"N/A"</formula>
    </cfRule>
  </conditionalFormatting>
  <conditionalFormatting sqref="H2:H5">
    <cfRule type="cellIs" dxfId="59" priority="13" stopIfTrue="1" operator="equal">
      <formula>"Pass"</formula>
    </cfRule>
    <cfRule type="cellIs" dxfId="58" priority="14" stopIfTrue="1" operator="equal">
      <formula>"Fail"</formula>
    </cfRule>
    <cfRule type="cellIs" dxfId="57" priority="15" stopIfTrue="1" operator="equal">
      <formula>"Blocked"</formula>
    </cfRule>
    <cfRule type="cellIs" dxfId="56" priority="16" stopIfTrue="1" operator="equal">
      <formula>"Not Run"</formula>
    </cfRule>
    <cfRule type="cellIs" dxfId="55" priority="17" stopIfTrue="1" operator="equal">
      <formula>"Deferred"</formula>
    </cfRule>
    <cfRule type="cellIs" dxfId="54" priority="18" stopIfTrue="1" operator="equal">
      <formula>"N/A"</formula>
    </cfRule>
  </conditionalFormatting>
  <conditionalFormatting sqref="I2:I5">
    <cfRule type="cellIs" dxfId="53" priority="19" stopIfTrue="1" operator="equal">
      <formula>"Pass"</formula>
    </cfRule>
    <cfRule type="cellIs" dxfId="52" priority="20" stopIfTrue="1" operator="equal">
      <formula>"Fail"</formula>
    </cfRule>
    <cfRule type="cellIs" dxfId="51" priority="21" stopIfTrue="1" operator="equal">
      <formula>"Blocked"</formula>
    </cfRule>
    <cfRule type="cellIs" dxfId="50" priority="22" stopIfTrue="1" operator="equal">
      <formula>"Not Run"</formula>
    </cfRule>
    <cfRule type="cellIs" dxfId="49" priority="23" stopIfTrue="1" operator="equal">
      <formula>"Deferred"</formula>
    </cfRule>
    <cfRule type="cellIs" dxfId="48" priority="24" stopIfTrue="1" operator="equal">
      <formula>"N/A"</formula>
    </cfRule>
  </conditionalFormatting>
  <conditionalFormatting sqref="J2:J5">
    <cfRule type="cellIs" dxfId="47" priority="25" stopIfTrue="1" operator="equal">
      <formula>"Pass"</formula>
    </cfRule>
    <cfRule type="cellIs" dxfId="46" priority="26" stopIfTrue="1" operator="equal">
      <formula>"Fail"</formula>
    </cfRule>
    <cfRule type="cellIs" dxfId="45" priority="27" stopIfTrue="1" operator="equal">
      <formula>"Blocked"</formula>
    </cfRule>
    <cfRule type="cellIs" dxfId="44" priority="28" stopIfTrue="1" operator="equal">
      <formula>"Not Run"</formula>
    </cfRule>
    <cfRule type="cellIs" dxfId="43" priority="29" stopIfTrue="1" operator="equal">
      <formula>"Deferred"</formula>
    </cfRule>
    <cfRule type="cellIs" dxfId="42" priority="30" stopIfTrue="1" operator="equal">
      <formula>"N/A"</formula>
    </cfRule>
  </conditionalFormatting>
  <conditionalFormatting sqref="K2:K5">
    <cfRule type="cellIs" dxfId="41" priority="31" stopIfTrue="1" operator="equal">
      <formula>"Pass"</formula>
    </cfRule>
    <cfRule type="cellIs" dxfId="40" priority="32" stopIfTrue="1" operator="equal">
      <formula>"Fail"</formula>
    </cfRule>
    <cfRule type="cellIs" dxfId="39" priority="33" stopIfTrue="1" operator="equal">
      <formula>"Blocked"</formula>
    </cfRule>
    <cfRule type="cellIs" dxfId="38" priority="34" stopIfTrue="1" operator="equal">
      <formula>"Not Run"</formula>
    </cfRule>
    <cfRule type="cellIs" dxfId="37" priority="35" stopIfTrue="1" operator="equal">
      <formula>"Deferred"</formula>
    </cfRule>
    <cfRule type="cellIs" dxfId="36" priority="36" stopIfTrue="1" operator="equal">
      <formula>"N/A"</formula>
    </cfRule>
  </conditionalFormatting>
  <conditionalFormatting sqref="L2:L5">
    <cfRule type="cellIs" dxfId="35" priority="37" stopIfTrue="1" operator="equal">
      <formula>"Pass"</formula>
    </cfRule>
    <cfRule type="cellIs" dxfId="34" priority="38" stopIfTrue="1" operator="equal">
      <formula>"Fail"</formula>
    </cfRule>
    <cfRule type="cellIs" dxfId="33" priority="39" stopIfTrue="1" operator="equal">
      <formula>"Blocked"</formula>
    </cfRule>
    <cfRule type="cellIs" dxfId="32" priority="40" stopIfTrue="1" operator="equal">
      <formula>"Not Run"</formula>
    </cfRule>
    <cfRule type="cellIs" dxfId="31" priority="41" stopIfTrue="1" operator="equal">
      <formula>"Deferred"</formula>
    </cfRule>
    <cfRule type="cellIs" dxfId="30" priority="42" stopIfTrue="1" operator="equal">
      <formula>"N/A"</formula>
    </cfRule>
  </conditionalFormatting>
  <conditionalFormatting sqref="M2:M5">
    <cfRule type="cellIs" dxfId="29" priority="43" stopIfTrue="1" operator="equal">
      <formula>"Pass"</formula>
    </cfRule>
    <cfRule type="cellIs" dxfId="28" priority="44" stopIfTrue="1" operator="equal">
      <formula>"Fail"</formula>
    </cfRule>
    <cfRule type="cellIs" dxfId="27" priority="45" stopIfTrue="1" operator="equal">
      <formula>"Blocked"</formula>
    </cfRule>
    <cfRule type="cellIs" dxfId="26" priority="46" stopIfTrue="1" operator="equal">
      <formula>"Not Run"</formula>
    </cfRule>
    <cfRule type="cellIs" dxfId="25" priority="47" stopIfTrue="1" operator="equal">
      <formula>"Deferred"</formula>
    </cfRule>
    <cfRule type="cellIs" dxfId="24" priority="48" stopIfTrue="1" operator="equal">
      <formula>"N/A"</formula>
    </cfRule>
  </conditionalFormatting>
  <conditionalFormatting sqref="N2:N5">
    <cfRule type="cellIs" dxfId="23" priority="49" stopIfTrue="1" operator="equal">
      <formula>"Pass"</formula>
    </cfRule>
    <cfRule type="cellIs" dxfId="22" priority="50" stopIfTrue="1" operator="equal">
      <formula>"Fail"</formula>
    </cfRule>
    <cfRule type="cellIs" dxfId="21" priority="51" stopIfTrue="1" operator="equal">
      <formula>"Blocked"</formula>
    </cfRule>
    <cfRule type="cellIs" dxfId="20" priority="52" stopIfTrue="1" operator="equal">
      <formula>"Not Run"</formula>
    </cfRule>
    <cfRule type="cellIs" dxfId="19" priority="53" stopIfTrue="1" operator="equal">
      <formula>"Deferred"</formula>
    </cfRule>
    <cfRule type="cellIs" dxfId="18" priority="54" stopIfTrue="1" operator="equal">
      <formula>"N/A"</formula>
    </cfRule>
  </conditionalFormatting>
  <conditionalFormatting sqref="O2:O5">
    <cfRule type="cellIs" dxfId="17" priority="55" stopIfTrue="1" operator="equal">
      <formula>"Pass"</formula>
    </cfRule>
    <cfRule type="cellIs" dxfId="16" priority="56" stopIfTrue="1" operator="equal">
      <formula>"Fail"</formula>
    </cfRule>
    <cfRule type="cellIs" dxfId="15" priority="57" stopIfTrue="1" operator="equal">
      <formula>"Blocked"</formula>
    </cfRule>
    <cfRule type="cellIs" dxfId="14" priority="58" stopIfTrue="1" operator="equal">
      <formula>"Not Run"</formula>
    </cfRule>
    <cfRule type="cellIs" dxfId="13" priority="59" stopIfTrue="1" operator="equal">
      <formula>"Deferred"</formula>
    </cfRule>
    <cfRule type="cellIs" dxfId="12" priority="60" stopIfTrue="1" operator="equal">
      <formula>"N/A"</formula>
    </cfRule>
  </conditionalFormatting>
  <conditionalFormatting sqref="P2:P5">
    <cfRule type="cellIs" dxfId="11" priority="61" stopIfTrue="1" operator="equal">
      <formula>"Pass"</formula>
    </cfRule>
    <cfRule type="cellIs" dxfId="10" priority="62" stopIfTrue="1" operator="equal">
      <formula>"Fail"</formula>
    </cfRule>
    <cfRule type="cellIs" dxfId="9" priority="63" stopIfTrue="1" operator="equal">
      <formula>"Blocked"</formula>
    </cfRule>
    <cfRule type="cellIs" dxfId="8" priority="64" stopIfTrue="1" operator="equal">
      <formula>"Not Run"</formula>
    </cfRule>
    <cfRule type="cellIs" dxfId="7" priority="65" stopIfTrue="1" operator="equal">
      <formula>"Deferred"</formula>
    </cfRule>
    <cfRule type="cellIs" dxfId="6" priority="66" stopIfTrue="1" operator="equal">
      <formula>"N/A"</formula>
    </cfRule>
  </conditionalFormatting>
  <dataValidations count="2">
    <dataValidation type="list" allowBlank="1" showInputMessage="1" showErrorMessage="1" errorTitle="Select a valid checklist value" error="Choose a value from the dropdown list." sqref="A2:A5" xr:uid="{5FB5722B-2A11-430A-AFD6-E476D64184C5}">
      <formula1>CheckOptions</formula1>
    </dataValidation>
    <dataValidation type="list" allowBlank="1" showInputMessage="1" showErrorMessage="1" errorTitle="Select a valid checklist value" error="Choose a value from the dropdown list." sqref="F2:P5" xr:uid="{93D0B2A4-B725-4311-8AC3-2DBF89F128FB}">
      <formula1>StatusOptions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7F80-8D72-46BF-883B-AA24589B991F}">
  <sheetPr>
    <tabColor rgb="FF265272"/>
  </sheetPr>
  <dimension ref="A1:P1000"/>
  <sheetViews>
    <sheetView showGridLines="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13.7109375" customWidth="1"/>
    <col min="2" max="2" width="36.7109375" customWidth="1"/>
    <col min="3" max="3" width="12.7109375" customWidth="1"/>
    <col min="4" max="4" width="24.7109375" customWidth="1"/>
    <col min="5" max="5" width="22.7109375" customWidth="1"/>
    <col min="6" max="6" width="46.7109375" customWidth="1"/>
    <col min="7" max="8" width="38.7109375" customWidth="1"/>
    <col min="9" max="9" width="15.7109375" customWidth="1"/>
    <col min="10" max="10" width="18.7109375" customWidth="1"/>
    <col min="11" max="11" width="13.7109375" customWidth="1"/>
    <col min="12" max="12" width="21.85546875" customWidth="1"/>
    <col min="13" max="13" width="15.7109375" customWidth="1"/>
    <col min="14" max="14" width="13.85546875" customWidth="1"/>
    <col min="15" max="15" width="38.7109375" customWidth="1"/>
    <col min="16" max="16" width="34.7109375" customWidth="1"/>
  </cols>
  <sheetData>
    <row r="1" spans="1:16" ht="33.950000000000003" customHeight="1" x14ac:dyDescent="0.25">
      <c r="A1" s="7" t="s">
        <v>58</v>
      </c>
      <c r="B1" s="7" t="s">
        <v>884</v>
      </c>
      <c r="C1" s="7" t="s">
        <v>6</v>
      </c>
      <c r="D1" s="7" t="s">
        <v>51</v>
      </c>
      <c r="E1" s="7" t="s">
        <v>910</v>
      </c>
      <c r="F1" s="7" t="s">
        <v>911</v>
      </c>
      <c r="G1" s="7" t="s">
        <v>912</v>
      </c>
      <c r="H1" s="7" t="s">
        <v>913</v>
      </c>
      <c r="I1" s="7" t="s">
        <v>0</v>
      </c>
      <c r="J1" s="7" t="s">
        <v>914</v>
      </c>
      <c r="K1" s="7" t="s">
        <v>915</v>
      </c>
      <c r="L1" s="7" t="s">
        <v>916</v>
      </c>
      <c r="M1" s="7" t="s">
        <v>917</v>
      </c>
      <c r="N1" s="7" t="s">
        <v>918</v>
      </c>
      <c r="O1" s="7" t="s">
        <v>919</v>
      </c>
      <c r="P1" s="7" t="s">
        <v>63</v>
      </c>
    </row>
    <row r="2" spans="1:16" ht="48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10"/>
      <c r="L2" s="9"/>
      <c r="M2" s="9"/>
      <c r="N2" s="10"/>
      <c r="O2" s="9"/>
      <c r="P2" s="9" t="s">
        <v>1238</v>
      </c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3"/>
      <c r="M3" s="23"/>
      <c r="N3" s="24"/>
      <c r="O3" s="23"/>
      <c r="P3" s="23"/>
    </row>
    <row r="4" spans="1:16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3"/>
      <c r="M4" s="23"/>
      <c r="N4" s="24"/>
      <c r="O4" s="23"/>
      <c r="P4" s="23"/>
    </row>
    <row r="5" spans="1:16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4"/>
      <c r="L5" s="23"/>
      <c r="M5" s="23"/>
      <c r="N5" s="24"/>
      <c r="O5" s="23"/>
      <c r="P5" s="23"/>
    </row>
    <row r="6" spans="1:16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4"/>
      <c r="L6" s="23"/>
      <c r="M6" s="23"/>
      <c r="N6" s="24"/>
      <c r="O6" s="23"/>
      <c r="P6" s="23"/>
    </row>
    <row r="7" spans="1:16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4"/>
      <c r="L7" s="23"/>
      <c r="M7" s="23"/>
      <c r="N7" s="24"/>
      <c r="O7" s="23"/>
      <c r="P7" s="23"/>
    </row>
    <row r="8" spans="1:1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4"/>
      <c r="L8" s="23"/>
      <c r="M8" s="23"/>
      <c r="N8" s="24"/>
      <c r="O8" s="23"/>
      <c r="P8" s="23"/>
    </row>
    <row r="9" spans="1:16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4"/>
      <c r="L9" s="23"/>
      <c r="M9" s="23"/>
      <c r="N9" s="24"/>
      <c r="O9" s="23"/>
      <c r="P9" s="23"/>
    </row>
    <row r="10" spans="1:16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3"/>
      <c r="M10" s="23"/>
      <c r="N10" s="24"/>
      <c r="O10" s="23"/>
      <c r="P10" s="23"/>
    </row>
    <row r="11" spans="1:16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23"/>
      <c r="M11" s="23"/>
      <c r="N11" s="24"/>
      <c r="O11" s="23"/>
      <c r="P11" s="23"/>
    </row>
    <row r="12" spans="1:16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23"/>
      <c r="M12" s="23"/>
      <c r="N12" s="24"/>
      <c r="O12" s="23"/>
      <c r="P12" s="23"/>
    </row>
    <row r="13" spans="1:16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4"/>
      <c r="O13" s="23"/>
      <c r="P13" s="23"/>
    </row>
    <row r="14" spans="1:16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23"/>
      <c r="M14" s="23"/>
      <c r="N14" s="24"/>
      <c r="O14" s="23"/>
      <c r="P14" s="23"/>
    </row>
    <row r="15" spans="1:16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3"/>
      <c r="M15" s="23"/>
      <c r="N15" s="24"/>
      <c r="O15" s="23"/>
      <c r="P15" s="23"/>
    </row>
    <row r="16" spans="1:16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3"/>
      <c r="M16" s="23"/>
      <c r="N16" s="24"/>
      <c r="O16" s="23"/>
      <c r="P16" s="23"/>
    </row>
    <row r="17" spans="1:16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4"/>
      <c r="L17" s="23"/>
      <c r="M17" s="23"/>
      <c r="N17" s="24"/>
      <c r="O17" s="23"/>
      <c r="P17" s="23"/>
    </row>
    <row r="18" spans="1:16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4"/>
      <c r="O18" s="23"/>
      <c r="P18" s="23"/>
    </row>
    <row r="19" spans="1:16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3"/>
      <c r="M19" s="23"/>
      <c r="N19" s="24"/>
      <c r="O19" s="23"/>
      <c r="P19" s="23"/>
    </row>
    <row r="20" spans="1:16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23"/>
      <c r="M20" s="23"/>
      <c r="N20" s="24"/>
      <c r="O20" s="23"/>
      <c r="P20" s="23"/>
    </row>
    <row r="21" spans="1:16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4"/>
      <c r="L21" s="23"/>
      <c r="M21" s="23"/>
      <c r="N21" s="24"/>
      <c r="O21" s="23"/>
      <c r="P21" s="23"/>
    </row>
    <row r="22" spans="1:16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4"/>
      <c r="O22" s="23"/>
      <c r="P22" s="23"/>
    </row>
    <row r="23" spans="1:16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23"/>
      <c r="M23" s="23"/>
      <c r="N23" s="24"/>
      <c r="O23" s="23"/>
      <c r="P23" s="23"/>
    </row>
    <row r="24" spans="1:16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23"/>
      <c r="M24" s="23"/>
      <c r="N24" s="24"/>
      <c r="O24" s="23"/>
      <c r="P24" s="23"/>
    </row>
    <row r="25" spans="1:16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4"/>
      <c r="L25" s="23"/>
      <c r="M25" s="23"/>
      <c r="N25" s="24"/>
      <c r="O25" s="23"/>
      <c r="P25" s="23"/>
    </row>
    <row r="26" spans="1:16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4"/>
      <c r="L26" s="23"/>
      <c r="M26" s="23"/>
      <c r="N26" s="24"/>
      <c r="O26" s="23"/>
      <c r="P26" s="23"/>
    </row>
    <row r="27" spans="1:16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4"/>
      <c r="L27" s="23"/>
      <c r="M27" s="23"/>
      <c r="N27" s="24"/>
      <c r="O27" s="23"/>
      <c r="P27" s="23"/>
    </row>
    <row r="28" spans="1:16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3"/>
      <c r="M28" s="23"/>
      <c r="N28" s="24"/>
      <c r="O28" s="23"/>
      <c r="P28" s="23"/>
    </row>
    <row r="29" spans="1:16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4"/>
      <c r="L29" s="23"/>
      <c r="M29" s="23"/>
      <c r="N29" s="24"/>
      <c r="O29" s="23"/>
      <c r="P29" s="23"/>
    </row>
    <row r="30" spans="1:16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4"/>
      <c r="L30" s="23"/>
      <c r="M30" s="23"/>
      <c r="N30" s="24"/>
      <c r="O30" s="23"/>
      <c r="P30" s="23"/>
    </row>
    <row r="31" spans="1:16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4"/>
      <c r="L31" s="23"/>
      <c r="M31" s="23"/>
      <c r="N31" s="24"/>
      <c r="O31" s="23"/>
      <c r="P31" s="23"/>
    </row>
    <row r="32" spans="1:16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4"/>
      <c r="L32" s="23"/>
      <c r="M32" s="23"/>
      <c r="N32" s="24"/>
      <c r="O32" s="23"/>
      <c r="P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4"/>
      <c r="L33" s="23"/>
      <c r="M33" s="23"/>
      <c r="N33" s="24"/>
      <c r="O33" s="23"/>
      <c r="P33" s="23"/>
    </row>
    <row r="34" spans="1:16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4"/>
      <c r="L34" s="23"/>
      <c r="M34" s="23"/>
      <c r="N34" s="24"/>
      <c r="O34" s="23"/>
      <c r="P34" s="23"/>
    </row>
    <row r="35" spans="1:16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4"/>
      <c r="L35" s="23"/>
      <c r="M35" s="23"/>
      <c r="N35" s="24"/>
      <c r="O35" s="23"/>
      <c r="P35" s="23"/>
    </row>
    <row r="36" spans="1:16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4"/>
      <c r="L36" s="23"/>
      <c r="M36" s="23"/>
      <c r="N36" s="24"/>
      <c r="O36" s="23"/>
      <c r="P36" s="23"/>
    </row>
    <row r="37" spans="1:16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4"/>
      <c r="L37" s="23"/>
      <c r="M37" s="23"/>
      <c r="N37" s="24"/>
      <c r="O37" s="23"/>
      <c r="P37" s="23"/>
    </row>
    <row r="38" spans="1:16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4"/>
      <c r="L38" s="23"/>
      <c r="M38" s="23"/>
      <c r="N38" s="24"/>
      <c r="O38" s="23"/>
      <c r="P38" s="23"/>
    </row>
    <row r="39" spans="1:16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  <c r="L39" s="23"/>
      <c r="M39" s="23"/>
      <c r="N39" s="24"/>
      <c r="O39" s="23"/>
      <c r="P39" s="23"/>
    </row>
    <row r="40" spans="1:16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4"/>
      <c r="L40" s="23"/>
      <c r="M40" s="23"/>
      <c r="N40" s="24"/>
      <c r="O40" s="23"/>
      <c r="P40" s="23"/>
    </row>
    <row r="41" spans="1:16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4"/>
      <c r="L41" s="23"/>
      <c r="M41" s="23"/>
      <c r="N41" s="24"/>
      <c r="O41" s="23"/>
      <c r="P41" s="23"/>
    </row>
    <row r="42" spans="1:16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23"/>
      <c r="M42" s="23"/>
      <c r="N42" s="24"/>
      <c r="O42" s="23"/>
      <c r="P42" s="23"/>
    </row>
    <row r="43" spans="1:16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4"/>
      <c r="L43" s="23"/>
      <c r="M43" s="23"/>
      <c r="N43" s="24"/>
      <c r="O43" s="23"/>
      <c r="P43" s="23"/>
    </row>
    <row r="44" spans="1:16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4"/>
      <c r="L44" s="23"/>
      <c r="M44" s="23"/>
      <c r="N44" s="24"/>
      <c r="O44" s="23"/>
      <c r="P44" s="23"/>
    </row>
    <row r="45" spans="1:16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4"/>
      <c r="L45" s="23"/>
      <c r="M45" s="23"/>
      <c r="N45" s="24"/>
      <c r="O45" s="23"/>
      <c r="P45" s="23"/>
    </row>
    <row r="46" spans="1:16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4"/>
      <c r="L46" s="23"/>
      <c r="M46" s="23"/>
      <c r="N46" s="24"/>
      <c r="O46" s="23"/>
      <c r="P46" s="23"/>
    </row>
    <row r="47" spans="1:16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4"/>
      <c r="L47" s="23"/>
      <c r="M47" s="23"/>
      <c r="N47" s="24"/>
      <c r="O47" s="23"/>
      <c r="P47" s="23"/>
    </row>
    <row r="48" spans="1:16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4"/>
      <c r="L48" s="23"/>
      <c r="M48" s="23"/>
      <c r="N48" s="24"/>
      <c r="O48" s="23"/>
      <c r="P48" s="23"/>
    </row>
    <row r="49" spans="1:16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4"/>
      <c r="L49" s="23"/>
      <c r="M49" s="23"/>
      <c r="N49" s="24"/>
      <c r="O49" s="23"/>
      <c r="P49" s="23"/>
    </row>
    <row r="50" spans="1:16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4"/>
      <c r="L50" s="23"/>
      <c r="M50" s="23"/>
      <c r="N50" s="24"/>
      <c r="O50" s="23"/>
      <c r="P50" s="23"/>
    </row>
    <row r="51" spans="1:16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4"/>
      <c r="L51" s="23"/>
      <c r="M51" s="23"/>
      <c r="N51" s="24"/>
      <c r="O51" s="23"/>
      <c r="P51" s="23"/>
    </row>
    <row r="52" spans="1:16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4"/>
      <c r="L52" s="23"/>
      <c r="M52" s="23"/>
      <c r="N52" s="24"/>
      <c r="O52" s="23"/>
      <c r="P52" s="23"/>
    </row>
    <row r="53" spans="1:16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4"/>
      <c r="L53" s="23"/>
      <c r="M53" s="23"/>
      <c r="N53" s="24"/>
      <c r="O53" s="23"/>
      <c r="P53" s="23"/>
    </row>
    <row r="54" spans="1:16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4"/>
      <c r="L54" s="23"/>
      <c r="M54" s="23"/>
      <c r="N54" s="24"/>
      <c r="O54" s="23"/>
      <c r="P54" s="23"/>
    </row>
    <row r="55" spans="1:16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4"/>
      <c r="L55" s="23"/>
      <c r="M55" s="23"/>
      <c r="N55" s="24"/>
      <c r="O55" s="23"/>
      <c r="P55" s="23"/>
    </row>
    <row r="56" spans="1:16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4"/>
      <c r="L56" s="23"/>
      <c r="M56" s="23"/>
      <c r="N56" s="24"/>
      <c r="O56" s="23"/>
      <c r="P56" s="23"/>
    </row>
    <row r="57" spans="1:16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4"/>
      <c r="L57" s="23"/>
      <c r="M57" s="23"/>
      <c r="N57" s="24"/>
      <c r="O57" s="23"/>
      <c r="P57" s="23"/>
    </row>
    <row r="58" spans="1:16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4"/>
      <c r="L58" s="23"/>
      <c r="M58" s="23"/>
      <c r="N58" s="24"/>
      <c r="O58" s="23"/>
      <c r="P58" s="23"/>
    </row>
    <row r="59" spans="1:16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4"/>
      <c r="L59" s="23"/>
      <c r="M59" s="23"/>
      <c r="N59" s="24"/>
      <c r="O59" s="23"/>
      <c r="P59" s="23"/>
    </row>
    <row r="60" spans="1:16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4"/>
      <c r="L60" s="23"/>
      <c r="M60" s="23"/>
      <c r="N60" s="24"/>
      <c r="O60" s="23"/>
      <c r="P60" s="23"/>
    </row>
    <row r="61" spans="1:16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4"/>
      <c r="L61" s="23"/>
      <c r="M61" s="23"/>
      <c r="N61" s="24"/>
      <c r="O61" s="23"/>
      <c r="P61" s="23"/>
    </row>
    <row r="62" spans="1:16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4"/>
      <c r="L62" s="23"/>
      <c r="M62" s="23"/>
      <c r="N62" s="24"/>
      <c r="O62" s="23"/>
      <c r="P62" s="23"/>
    </row>
    <row r="63" spans="1:16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4"/>
      <c r="L63" s="23"/>
      <c r="M63" s="23"/>
      <c r="N63" s="24"/>
      <c r="O63" s="23"/>
      <c r="P63" s="23"/>
    </row>
    <row r="64" spans="1:16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4"/>
      <c r="L64" s="23"/>
      <c r="M64" s="23"/>
      <c r="N64" s="24"/>
      <c r="O64" s="23"/>
      <c r="P64" s="23"/>
    </row>
    <row r="65" spans="1:16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4"/>
      <c r="L65" s="23"/>
      <c r="M65" s="23"/>
      <c r="N65" s="24"/>
      <c r="O65" s="23"/>
      <c r="P65" s="23"/>
    </row>
    <row r="66" spans="1:16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4"/>
      <c r="L66" s="23"/>
      <c r="M66" s="23"/>
      <c r="N66" s="24"/>
      <c r="O66" s="23"/>
      <c r="P66" s="23"/>
    </row>
    <row r="67" spans="1:16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4"/>
      <c r="L67" s="23"/>
      <c r="M67" s="23"/>
      <c r="N67" s="24"/>
      <c r="O67" s="23"/>
      <c r="P67" s="23"/>
    </row>
    <row r="68" spans="1:16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4"/>
      <c r="L68" s="23"/>
      <c r="M68" s="23"/>
      <c r="N68" s="24"/>
      <c r="O68" s="23"/>
      <c r="P68" s="23"/>
    </row>
    <row r="69" spans="1:16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4"/>
      <c r="L69" s="23"/>
      <c r="M69" s="23"/>
      <c r="N69" s="24"/>
      <c r="O69" s="23"/>
      <c r="P69" s="23"/>
    </row>
    <row r="70" spans="1:16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4"/>
      <c r="L70" s="23"/>
      <c r="M70" s="23"/>
      <c r="N70" s="24"/>
      <c r="O70" s="23"/>
      <c r="P70" s="23"/>
    </row>
    <row r="71" spans="1:16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4"/>
      <c r="L71" s="23"/>
      <c r="M71" s="23"/>
      <c r="N71" s="24"/>
      <c r="O71" s="23"/>
      <c r="P71" s="23"/>
    </row>
    <row r="72" spans="1:16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4"/>
      <c r="L72" s="23"/>
      <c r="M72" s="23"/>
      <c r="N72" s="24"/>
      <c r="O72" s="23"/>
      <c r="P72" s="23"/>
    </row>
    <row r="73" spans="1:16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4"/>
      <c r="L73" s="23"/>
      <c r="M73" s="23"/>
      <c r="N73" s="24"/>
      <c r="O73" s="23"/>
      <c r="P73" s="23"/>
    </row>
    <row r="74" spans="1:16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4"/>
      <c r="L74" s="23"/>
      <c r="M74" s="23"/>
      <c r="N74" s="24"/>
      <c r="O74" s="23"/>
      <c r="P74" s="23"/>
    </row>
    <row r="75" spans="1:16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4"/>
      <c r="L75" s="23"/>
      <c r="M75" s="23"/>
      <c r="N75" s="24"/>
      <c r="O75" s="23"/>
      <c r="P75" s="23"/>
    </row>
    <row r="76" spans="1:16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4"/>
      <c r="L76" s="23"/>
      <c r="M76" s="23"/>
      <c r="N76" s="24"/>
      <c r="O76" s="23"/>
      <c r="P76" s="23"/>
    </row>
    <row r="77" spans="1:16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4"/>
      <c r="L77" s="23"/>
      <c r="M77" s="23"/>
      <c r="N77" s="24"/>
      <c r="O77" s="23"/>
      <c r="P77" s="23"/>
    </row>
    <row r="78" spans="1:16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4"/>
      <c r="L78" s="23"/>
      <c r="M78" s="23"/>
      <c r="N78" s="24"/>
      <c r="O78" s="23"/>
      <c r="P78" s="23"/>
    </row>
    <row r="79" spans="1:16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4"/>
      <c r="L79" s="23"/>
      <c r="M79" s="23"/>
      <c r="N79" s="24"/>
      <c r="O79" s="23"/>
      <c r="P79" s="23"/>
    </row>
    <row r="80" spans="1:16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4"/>
      <c r="L80" s="23"/>
      <c r="M80" s="23"/>
      <c r="N80" s="24"/>
      <c r="O80" s="23"/>
      <c r="P80" s="23"/>
    </row>
    <row r="81" spans="1:16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4"/>
      <c r="L81" s="23"/>
      <c r="M81" s="23"/>
      <c r="N81" s="24"/>
      <c r="O81" s="23"/>
      <c r="P81" s="23"/>
    </row>
    <row r="82" spans="1:16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4"/>
      <c r="L82" s="23"/>
      <c r="M82" s="23"/>
      <c r="N82" s="24"/>
      <c r="O82" s="23"/>
      <c r="P82" s="23"/>
    </row>
    <row r="83" spans="1:16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4"/>
      <c r="L83" s="23"/>
      <c r="M83" s="23"/>
      <c r="N83" s="24"/>
      <c r="O83" s="23"/>
      <c r="P83" s="23"/>
    </row>
    <row r="84" spans="1:16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4"/>
      <c r="L84" s="23"/>
      <c r="M84" s="23"/>
      <c r="N84" s="24"/>
      <c r="O84" s="23"/>
      <c r="P84" s="23"/>
    </row>
    <row r="85" spans="1:16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4"/>
      <c r="L85" s="23"/>
      <c r="M85" s="23"/>
      <c r="N85" s="24"/>
      <c r="O85" s="23"/>
      <c r="P85" s="23"/>
    </row>
    <row r="86" spans="1:16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4"/>
      <c r="L86" s="23"/>
      <c r="M86" s="23"/>
      <c r="N86" s="24"/>
      <c r="O86" s="23"/>
      <c r="P86" s="23"/>
    </row>
    <row r="87" spans="1:16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4"/>
      <c r="L87" s="23"/>
      <c r="M87" s="23"/>
      <c r="N87" s="24"/>
      <c r="O87" s="23"/>
      <c r="P87" s="23"/>
    </row>
    <row r="88" spans="1:16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4"/>
      <c r="L88" s="23"/>
      <c r="M88" s="23"/>
      <c r="N88" s="24"/>
      <c r="O88" s="23"/>
      <c r="P88" s="23"/>
    </row>
    <row r="89" spans="1:16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4"/>
      <c r="L89" s="23"/>
      <c r="M89" s="23"/>
      <c r="N89" s="24"/>
      <c r="O89" s="23"/>
      <c r="P89" s="23"/>
    </row>
    <row r="90" spans="1:16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4"/>
      <c r="L90" s="23"/>
      <c r="M90" s="23"/>
      <c r="N90" s="24"/>
      <c r="O90" s="23"/>
      <c r="P90" s="23"/>
    </row>
    <row r="91" spans="1:16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4"/>
      <c r="L91" s="23"/>
      <c r="M91" s="23"/>
      <c r="N91" s="24"/>
      <c r="O91" s="23"/>
      <c r="P91" s="23"/>
    </row>
    <row r="92" spans="1:16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4"/>
      <c r="L92" s="23"/>
      <c r="M92" s="23"/>
      <c r="N92" s="24"/>
      <c r="O92" s="23"/>
      <c r="P92" s="23"/>
    </row>
    <row r="93" spans="1:16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4"/>
      <c r="L93" s="23"/>
      <c r="M93" s="23"/>
      <c r="N93" s="24"/>
      <c r="O93" s="23"/>
      <c r="P93" s="23"/>
    </row>
    <row r="94" spans="1:16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4"/>
      <c r="L94" s="23"/>
      <c r="M94" s="23"/>
      <c r="N94" s="24"/>
      <c r="O94" s="23"/>
      <c r="P94" s="23"/>
    </row>
    <row r="95" spans="1:16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4"/>
      <c r="L95" s="23"/>
      <c r="M95" s="23"/>
      <c r="N95" s="24"/>
      <c r="O95" s="23"/>
      <c r="P95" s="23"/>
    </row>
    <row r="96" spans="1:16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4"/>
      <c r="L96" s="23"/>
      <c r="M96" s="23"/>
      <c r="N96" s="24"/>
      <c r="O96" s="23"/>
      <c r="P96" s="23"/>
    </row>
    <row r="97" spans="1:16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4"/>
      <c r="L97" s="23"/>
      <c r="M97" s="23"/>
      <c r="N97" s="24"/>
      <c r="O97" s="23"/>
      <c r="P97" s="23"/>
    </row>
    <row r="98" spans="1:16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4"/>
      <c r="L98" s="23"/>
      <c r="M98" s="23"/>
      <c r="N98" s="24"/>
      <c r="O98" s="23"/>
      <c r="P98" s="23"/>
    </row>
    <row r="99" spans="1:16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4"/>
      <c r="L99" s="23"/>
      <c r="M99" s="23"/>
      <c r="N99" s="24"/>
      <c r="O99" s="23"/>
      <c r="P99" s="23"/>
    </row>
    <row r="100" spans="1:16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4"/>
      <c r="L100" s="23"/>
      <c r="M100" s="23"/>
      <c r="N100" s="24"/>
      <c r="O100" s="23"/>
      <c r="P100" s="23"/>
    </row>
    <row r="101" spans="1:16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4"/>
      <c r="L101" s="23"/>
      <c r="M101" s="23"/>
      <c r="N101" s="24"/>
      <c r="O101" s="23"/>
      <c r="P101" s="23"/>
    </row>
    <row r="102" spans="1:16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4"/>
      <c r="L102" s="23"/>
      <c r="M102" s="23"/>
      <c r="N102" s="24"/>
      <c r="O102" s="23"/>
      <c r="P102" s="23"/>
    </row>
    <row r="103" spans="1:16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4"/>
      <c r="L103" s="23"/>
      <c r="M103" s="23"/>
      <c r="N103" s="24"/>
      <c r="O103" s="23"/>
      <c r="P103" s="23"/>
    </row>
    <row r="104" spans="1:16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4"/>
      <c r="L104" s="23"/>
      <c r="M104" s="23"/>
      <c r="N104" s="24"/>
      <c r="O104" s="23"/>
      <c r="P104" s="23"/>
    </row>
    <row r="105" spans="1:16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4"/>
      <c r="L105" s="23"/>
      <c r="M105" s="23"/>
      <c r="N105" s="24"/>
      <c r="O105" s="23"/>
      <c r="P105" s="23"/>
    </row>
    <row r="106" spans="1:16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4"/>
      <c r="L106" s="23"/>
      <c r="M106" s="23"/>
      <c r="N106" s="24"/>
      <c r="O106" s="23"/>
      <c r="P106" s="23"/>
    </row>
    <row r="107" spans="1:16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4"/>
      <c r="L107" s="23"/>
      <c r="M107" s="23"/>
      <c r="N107" s="24"/>
      <c r="O107" s="23"/>
      <c r="P107" s="23"/>
    </row>
    <row r="108" spans="1:16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4"/>
      <c r="L108" s="23"/>
      <c r="M108" s="23"/>
      <c r="N108" s="24"/>
      <c r="O108" s="23"/>
      <c r="P108" s="23"/>
    </row>
    <row r="109" spans="1:16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4"/>
      <c r="L109" s="23"/>
      <c r="M109" s="23"/>
      <c r="N109" s="24"/>
      <c r="O109" s="23"/>
      <c r="P109" s="23"/>
    </row>
    <row r="110" spans="1:16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4"/>
      <c r="L110" s="23"/>
      <c r="M110" s="23"/>
      <c r="N110" s="24"/>
      <c r="O110" s="23"/>
      <c r="P110" s="23"/>
    </row>
    <row r="111" spans="1:16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4"/>
      <c r="L111" s="23"/>
      <c r="M111" s="23"/>
      <c r="N111" s="24"/>
      <c r="O111" s="23"/>
      <c r="P111" s="23"/>
    </row>
    <row r="112" spans="1:16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4"/>
      <c r="L112" s="23"/>
      <c r="M112" s="23"/>
      <c r="N112" s="24"/>
      <c r="O112" s="23"/>
      <c r="P112" s="23"/>
    </row>
    <row r="113" spans="1:16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4"/>
      <c r="L113" s="23"/>
      <c r="M113" s="23"/>
      <c r="N113" s="24"/>
      <c r="O113" s="23"/>
      <c r="P113" s="23"/>
    </row>
    <row r="114" spans="1:16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4"/>
      <c r="L114" s="23"/>
      <c r="M114" s="23"/>
      <c r="N114" s="24"/>
      <c r="O114" s="23"/>
      <c r="P114" s="23"/>
    </row>
    <row r="115" spans="1:16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4"/>
      <c r="L115" s="23"/>
      <c r="M115" s="23"/>
      <c r="N115" s="24"/>
      <c r="O115" s="23"/>
      <c r="P115" s="23"/>
    </row>
    <row r="116" spans="1:16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4"/>
      <c r="L116" s="23"/>
      <c r="M116" s="23"/>
      <c r="N116" s="24"/>
      <c r="O116" s="23"/>
      <c r="P116" s="23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4"/>
      <c r="L117" s="23"/>
      <c r="M117" s="23"/>
      <c r="N117" s="24"/>
      <c r="O117" s="23"/>
      <c r="P117" s="23"/>
    </row>
    <row r="118" spans="1:16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4"/>
      <c r="L118" s="23"/>
      <c r="M118" s="23"/>
      <c r="N118" s="24"/>
      <c r="O118" s="23"/>
      <c r="P118" s="23"/>
    </row>
    <row r="119" spans="1:16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4"/>
      <c r="L119" s="23"/>
      <c r="M119" s="23"/>
      <c r="N119" s="24"/>
      <c r="O119" s="23"/>
      <c r="P119" s="23"/>
    </row>
    <row r="120" spans="1:16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4"/>
      <c r="L120" s="23"/>
      <c r="M120" s="23"/>
      <c r="N120" s="24"/>
      <c r="O120" s="23"/>
      <c r="P120" s="23"/>
    </row>
    <row r="121" spans="1:16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4"/>
      <c r="L121" s="23"/>
      <c r="M121" s="23"/>
      <c r="N121" s="24"/>
      <c r="O121" s="23"/>
      <c r="P121" s="23"/>
    </row>
    <row r="122" spans="1:16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4"/>
      <c r="L122" s="23"/>
      <c r="M122" s="23"/>
      <c r="N122" s="24"/>
      <c r="O122" s="23"/>
      <c r="P122" s="23"/>
    </row>
    <row r="123" spans="1:16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4"/>
      <c r="L123" s="23"/>
      <c r="M123" s="23"/>
      <c r="N123" s="24"/>
      <c r="O123" s="23"/>
      <c r="P123" s="23"/>
    </row>
    <row r="124" spans="1:16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4"/>
      <c r="L124" s="23"/>
      <c r="M124" s="23"/>
      <c r="N124" s="24"/>
      <c r="O124" s="23"/>
      <c r="P124" s="23"/>
    </row>
    <row r="125" spans="1:16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4"/>
      <c r="L125" s="23"/>
      <c r="M125" s="23"/>
      <c r="N125" s="24"/>
      <c r="O125" s="23"/>
      <c r="P125" s="23"/>
    </row>
    <row r="126" spans="1:16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4"/>
      <c r="L126" s="23"/>
      <c r="M126" s="23"/>
      <c r="N126" s="24"/>
      <c r="O126" s="23"/>
      <c r="P126" s="23"/>
    </row>
    <row r="127" spans="1:16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4"/>
      <c r="L127" s="23"/>
      <c r="M127" s="23"/>
      <c r="N127" s="24"/>
      <c r="O127" s="23"/>
      <c r="P127" s="23"/>
    </row>
    <row r="128" spans="1:16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4"/>
      <c r="L128" s="23"/>
      <c r="M128" s="23"/>
      <c r="N128" s="24"/>
      <c r="O128" s="23"/>
      <c r="P128" s="23"/>
    </row>
    <row r="129" spans="1:16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4"/>
      <c r="L129" s="23"/>
      <c r="M129" s="23"/>
      <c r="N129" s="24"/>
      <c r="O129" s="23"/>
      <c r="P129" s="23"/>
    </row>
    <row r="130" spans="1:16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4"/>
      <c r="L130" s="23"/>
      <c r="M130" s="23"/>
      <c r="N130" s="24"/>
      <c r="O130" s="23"/>
      <c r="P130" s="23"/>
    </row>
    <row r="131" spans="1:16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4"/>
      <c r="L131" s="23"/>
      <c r="M131" s="23"/>
      <c r="N131" s="24"/>
      <c r="O131" s="23"/>
      <c r="P131" s="23"/>
    </row>
    <row r="132" spans="1:16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4"/>
      <c r="L132" s="23"/>
      <c r="M132" s="23"/>
      <c r="N132" s="24"/>
      <c r="O132" s="23"/>
      <c r="P132" s="23"/>
    </row>
    <row r="133" spans="1:16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4"/>
      <c r="L133" s="23"/>
      <c r="M133" s="23"/>
      <c r="N133" s="24"/>
      <c r="O133" s="23"/>
      <c r="P133" s="23"/>
    </row>
    <row r="134" spans="1:16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4"/>
      <c r="L134" s="23"/>
      <c r="M134" s="23"/>
      <c r="N134" s="24"/>
      <c r="O134" s="23"/>
      <c r="P134" s="23"/>
    </row>
    <row r="135" spans="1:16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4"/>
      <c r="L135" s="23"/>
      <c r="M135" s="23"/>
      <c r="N135" s="24"/>
      <c r="O135" s="23"/>
      <c r="P135" s="23"/>
    </row>
    <row r="136" spans="1:16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4"/>
      <c r="L136" s="23"/>
      <c r="M136" s="23"/>
      <c r="N136" s="24"/>
      <c r="O136" s="23"/>
      <c r="P136" s="23"/>
    </row>
    <row r="137" spans="1:16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4"/>
      <c r="L137" s="23"/>
      <c r="M137" s="23"/>
      <c r="N137" s="24"/>
      <c r="O137" s="23"/>
      <c r="P137" s="23"/>
    </row>
    <row r="138" spans="1:16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4"/>
      <c r="L138" s="23"/>
      <c r="M138" s="23"/>
      <c r="N138" s="24"/>
      <c r="O138" s="23"/>
      <c r="P138" s="23"/>
    </row>
    <row r="139" spans="1:16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4"/>
      <c r="L139" s="23"/>
      <c r="M139" s="23"/>
      <c r="N139" s="24"/>
      <c r="O139" s="23"/>
      <c r="P139" s="23"/>
    </row>
    <row r="140" spans="1:16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4"/>
      <c r="L140" s="23"/>
      <c r="M140" s="23"/>
      <c r="N140" s="24"/>
      <c r="O140" s="23"/>
      <c r="P140" s="23"/>
    </row>
    <row r="141" spans="1:16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4"/>
      <c r="L141" s="23"/>
      <c r="M141" s="23"/>
      <c r="N141" s="24"/>
      <c r="O141" s="23"/>
      <c r="P141" s="23"/>
    </row>
    <row r="142" spans="1:16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4"/>
      <c r="L142" s="23"/>
      <c r="M142" s="23"/>
      <c r="N142" s="24"/>
      <c r="O142" s="23"/>
      <c r="P142" s="23"/>
    </row>
    <row r="143" spans="1:16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4"/>
      <c r="L143" s="23"/>
      <c r="M143" s="23"/>
      <c r="N143" s="24"/>
      <c r="O143" s="23"/>
      <c r="P143" s="23"/>
    </row>
    <row r="144" spans="1:16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4"/>
      <c r="L144" s="23"/>
      <c r="M144" s="23"/>
      <c r="N144" s="24"/>
      <c r="O144" s="23"/>
      <c r="P144" s="23"/>
    </row>
    <row r="145" spans="1:16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4"/>
      <c r="L145" s="23"/>
      <c r="M145" s="23"/>
      <c r="N145" s="24"/>
      <c r="O145" s="23"/>
      <c r="P145" s="23"/>
    </row>
    <row r="146" spans="1:16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4"/>
      <c r="L146" s="23"/>
      <c r="M146" s="23"/>
      <c r="N146" s="24"/>
      <c r="O146" s="23"/>
      <c r="P146" s="23"/>
    </row>
    <row r="147" spans="1:16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4"/>
      <c r="L147" s="23"/>
      <c r="M147" s="23"/>
      <c r="N147" s="24"/>
      <c r="O147" s="23"/>
      <c r="P147" s="23"/>
    </row>
    <row r="148" spans="1:16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4"/>
      <c r="L148" s="23"/>
      <c r="M148" s="23"/>
      <c r="N148" s="24"/>
      <c r="O148" s="23"/>
      <c r="P148" s="23"/>
    </row>
    <row r="149" spans="1:16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4"/>
      <c r="L149" s="23"/>
      <c r="M149" s="23"/>
      <c r="N149" s="24"/>
      <c r="O149" s="23"/>
      <c r="P149" s="23"/>
    </row>
    <row r="150" spans="1:16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4"/>
      <c r="L150" s="23"/>
      <c r="M150" s="23"/>
      <c r="N150" s="24"/>
      <c r="O150" s="23"/>
      <c r="P150" s="23"/>
    </row>
    <row r="151" spans="1:16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4"/>
      <c r="L151" s="23"/>
      <c r="M151" s="23"/>
      <c r="N151" s="24"/>
      <c r="O151" s="23"/>
      <c r="P151" s="23"/>
    </row>
    <row r="152" spans="1:16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4"/>
      <c r="L152" s="23"/>
      <c r="M152" s="23"/>
      <c r="N152" s="24"/>
      <c r="O152" s="23"/>
      <c r="P152" s="23"/>
    </row>
    <row r="153" spans="1:16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4"/>
      <c r="L153" s="23"/>
      <c r="M153" s="23"/>
      <c r="N153" s="24"/>
      <c r="O153" s="23"/>
      <c r="P153" s="23"/>
    </row>
    <row r="154" spans="1:16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4"/>
      <c r="L154" s="23"/>
      <c r="M154" s="23"/>
      <c r="N154" s="24"/>
      <c r="O154" s="23"/>
      <c r="P154" s="23"/>
    </row>
    <row r="155" spans="1:16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4"/>
      <c r="L155" s="23"/>
      <c r="M155" s="23"/>
      <c r="N155" s="24"/>
      <c r="O155" s="23"/>
      <c r="P155" s="23"/>
    </row>
    <row r="156" spans="1:16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4"/>
      <c r="L156" s="23"/>
      <c r="M156" s="23"/>
      <c r="N156" s="24"/>
      <c r="O156" s="23"/>
      <c r="P156" s="23"/>
    </row>
    <row r="157" spans="1:16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4"/>
      <c r="L157" s="23"/>
      <c r="M157" s="23"/>
      <c r="N157" s="24"/>
      <c r="O157" s="23"/>
      <c r="P157" s="23"/>
    </row>
    <row r="158" spans="1:16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4"/>
      <c r="L158" s="23"/>
      <c r="M158" s="23"/>
      <c r="N158" s="24"/>
      <c r="O158" s="23"/>
      <c r="P158" s="23"/>
    </row>
    <row r="159" spans="1:16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4"/>
      <c r="L159" s="23"/>
      <c r="M159" s="23"/>
      <c r="N159" s="24"/>
      <c r="O159" s="23"/>
      <c r="P159" s="23"/>
    </row>
    <row r="160" spans="1:16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4"/>
      <c r="L160" s="23"/>
      <c r="M160" s="23"/>
      <c r="N160" s="24"/>
      <c r="O160" s="23"/>
      <c r="P160" s="23"/>
    </row>
    <row r="161" spans="1:16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4"/>
      <c r="L161" s="23"/>
      <c r="M161" s="23"/>
      <c r="N161" s="24"/>
      <c r="O161" s="23"/>
      <c r="P161" s="23"/>
    </row>
    <row r="162" spans="1:16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4"/>
      <c r="L162" s="23"/>
      <c r="M162" s="23"/>
      <c r="N162" s="24"/>
      <c r="O162" s="23"/>
      <c r="P162" s="23"/>
    </row>
    <row r="163" spans="1:16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4"/>
      <c r="L163" s="23"/>
      <c r="M163" s="23"/>
      <c r="N163" s="24"/>
      <c r="O163" s="23"/>
      <c r="P163" s="23"/>
    </row>
    <row r="164" spans="1:16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4"/>
      <c r="L164" s="23"/>
      <c r="M164" s="23"/>
      <c r="N164" s="24"/>
      <c r="O164" s="23"/>
      <c r="P164" s="23"/>
    </row>
    <row r="165" spans="1:16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4"/>
      <c r="L165" s="23"/>
      <c r="M165" s="23"/>
      <c r="N165" s="24"/>
      <c r="O165" s="23"/>
      <c r="P165" s="23"/>
    </row>
    <row r="166" spans="1:16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4"/>
      <c r="L166" s="23"/>
      <c r="M166" s="23"/>
      <c r="N166" s="24"/>
      <c r="O166" s="23"/>
      <c r="P166" s="23"/>
    </row>
    <row r="167" spans="1:16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4"/>
      <c r="L167" s="23"/>
      <c r="M167" s="23"/>
      <c r="N167" s="24"/>
      <c r="O167" s="23"/>
      <c r="P167" s="23"/>
    </row>
    <row r="168" spans="1:16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4"/>
      <c r="L168" s="23"/>
      <c r="M168" s="23"/>
      <c r="N168" s="24"/>
      <c r="O168" s="23"/>
      <c r="P168" s="23"/>
    </row>
    <row r="169" spans="1:16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4"/>
      <c r="L169" s="23"/>
      <c r="M169" s="23"/>
      <c r="N169" s="24"/>
      <c r="O169" s="23"/>
      <c r="P169" s="23"/>
    </row>
    <row r="170" spans="1:16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4"/>
      <c r="L170" s="23"/>
      <c r="M170" s="23"/>
      <c r="N170" s="24"/>
      <c r="O170" s="23"/>
      <c r="P170" s="23"/>
    </row>
    <row r="171" spans="1:16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4"/>
      <c r="L171" s="23"/>
      <c r="M171" s="23"/>
      <c r="N171" s="24"/>
      <c r="O171" s="23"/>
      <c r="P171" s="23"/>
    </row>
    <row r="172" spans="1:16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4"/>
      <c r="L172" s="23"/>
      <c r="M172" s="23"/>
      <c r="N172" s="24"/>
      <c r="O172" s="23"/>
      <c r="P172" s="23"/>
    </row>
    <row r="173" spans="1:16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4"/>
      <c r="L173" s="23"/>
      <c r="M173" s="23"/>
      <c r="N173" s="24"/>
      <c r="O173" s="23"/>
      <c r="P173" s="23"/>
    </row>
    <row r="174" spans="1:16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4"/>
      <c r="L174" s="23"/>
      <c r="M174" s="23"/>
      <c r="N174" s="24"/>
      <c r="O174" s="23"/>
      <c r="P174" s="23"/>
    </row>
    <row r="175" spans="1:16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4"/>
      <c r="L175" s="23"/>
      <c r="M175" s="23"/>
      <c r="N175" s="24"/>
      <c r="O175" s="23"/>
      <c r="P175" s="23"/>
    </row>
    <row r="176" spans="1:16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4"/>
      <c r="L176" s="23"/>
      <c r="M176" s="23"/>
      <c r="N176" s="24"/>
      <c r="O176" s="23"/>
      <c r="P176" s="23"/>
    </row>
    <row r="177" spans="1:16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4"/>
      <c r="L177" s="23"/>
      <c r="M177" s="23"/>
      <c r="N177" s="24"/>
      <c r="O177" s="23"/>
      <c r="P177" s="23"/>
    </row>
    <row r="178" spans="1:16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4"/>
      <c r="L178" s="23"/>
      <c r="M178" s="23"/>
      <c r="N178" s="24"/>
      <c r="O178" s="23"/>
      <c r="P178" s="23"/>
    </row>
    <row r="179" spans="1:16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4"/>
      <c r="L179" s="23"/>
      <c r="M179" s="23"/>
      <c r="N179" s="24"/>
      <c r="O179" s="23"/>
      <c r="P179" s="23"/>
    </row>
    <row r="180" spans="1:16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4"/>
      <c r="L180" s="23"/>
      <c r="M180" s="23"/>
      <c r="N180" s="24"/>
      <c r="O180" s="23"/>
      <c r="P180" s="23"/>
    </row>
    <row r="181" spans="1:16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4"/>
      <c r="L181" s="23"/>
      <c r="M181" s="23"/>
      <c r="N181" s="24"/>
      <c r="O181" s="23"/>
      <c r="P181" s="23"/>
    </row>
    <row r="182" spans="1:16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4"/>
      <c r="L182" s="23"/>
      <c r="M182" s="23"/>
      <c r="N182" s="24"/>
      <c r="O182" s="23"/>
      <c r="P182" s="23"/>
    </row>
    <row r="183" spans="1:16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4"/>
      <c r="L183" s="23"/>
      <c r="M183" s="23"/>
      <c r="N183" s="24"/>
      <c r="O183" s="23"/>
      <c r="P183" s="23"/>
    </row>
    <row r="184" spans="1:16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4"/>
      <c r="L184" s="23"/>
      <c r="M184" s="23"/>
      <c r="N184" s="24"/>
      <c r="O184" s="23"/>
      <c r="P184" s="23"/>
    </row>
    <row r="185" spans="1:16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4"/>
      <c r="L185" s="23"/>
      <c r="M185" s="23"/>
      <c r="N185" s="24"/>
      <c r="O185" s="23"/>
      <c r="P185" s="23"/>
    </row>
    <row r="186" spans="1:16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4"/>
      <c r="L186" s="23"/>
      <c r="M186" s="23"/>
      <c r="N186" s="24"/>
      <c r="O186" s="23"/>
      <c r="P186" s="23"/>
    </row>
    <row r="187" spans="1:16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4"/>
      <c r="L187" s="23"/>
      <c r="M187" s="23"/>
      <c r="N187" s="24"/>
      <c r="O187" s="23"/>
      <c r="P187" s="23"/>
    </row>
    <row r="188" spans="1:16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4"/>
      <c r="L188" s="23"/>
      <c r="M188" s="23"/>
      <c r="N188" s="24"/>
      <c r="O188" s="23"/>
      <c r="P188" s="23"/>
    </row>
    <row r="189" spans="1:16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4"/>
      <c r="L189" s="23"/>
      <c r="M189" s="23"/>
      <c r="N189" s="24"/>
      <c r="O189" s="23"/>
      <c r="P189" s="23"/>
    </row>
    <row r="190" spans="1:16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4"/>
      <c r="L190" s="23"/>
      <c r="M190" s="23"/>
      <c r="N190" s="24"/>
      <c r="O190" s="23"/>
      <c r="P190" s="23"/>
    </row>
    <row r="191" spans="1:16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4"/>
      <c r="L191" s="23"/>
      <c r="M191" s="23"/>
      <c r="N191" s="24"/>
      <c r="O191" s="23"/>
      <c r="P191" s="23"/>
    </row>
    <row r="192" spans="1:16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4"/>
      <c r="L192" s="23"/>
      <c r="M192" s="23"/>
      <c r="N192" s="24"/>
      <c r="O192" s="23"/>
      <c r="P192" s="23"/>
    </row>
    <row r="193" spans="1:16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4"/>
      <c r="L193" s="23"/>
      <c r="M193" s="23"/>
      <c r="N193" s="24"/>
      <c r="O193" s="23"/>
      <c r="P193" s="23"/>
    </row>
    <row r="194" spans="1:16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4"/>
      <c r="L194" s="23"/>
      <c r="M194" s="23"/>
      <c r="N194" s="24"/>
      <c r="O194" s="23"/>
      <c r="P194" s="23"/>
    </row>
    <row r="195" spans="1:16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4"/>
      <c r="L195" s="23"/>
      <c r="M195" s="23"/>
      <c r="N195" s="24"/>
      <c r="O195" s="23"/>
      <c r="P195" s="23"/>
    </row>
    <row r="196" spans="1:16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4"/>
      <c r="L196" s="23"/>
      <c r="M196" s="23"/>
      <c r="N196" s="24"/>
      <c r="O196" s="23"/>
      <c r="P196" s="23"/>
    </row>
    <row r="197" spans="1:16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4"/>
      <c r="L197" s="23"/>
      <c r="M197" s="23"/>
      <c r="N197" s="24"/>
      <c r="O197" s="23"/>
      <c r="P197" s="23"/>
    </row>
    <row r="198" spans="1:16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4"/>
      <c r="L198" s="23"/>
      <c r="M198" s="23"/>
      <c r="N198" s="24"/>
      <c r="O198" s="23"/>
      <c r="P198" s="23"/>
    </row>
    <row r="199" spans="1:16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4"/>
      <c r="L199" s="23"/>
      <c r="M199" s="23"/>
      <c r="N199" s="24"/>
      <c r="O199" s="23"/>
      <c r="P199" s="23"/>
    </row>
    <row r="200" spans="1:16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4"/>
      <c r="L200" s="23"/>
      <c r="M200" s="23"/>
      <c r="N200" s="24"/>
      <c r="O200" s="23"/>
      <c r="P200" s="23"/>
    </row>
    <row r="201" spans="1:16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4"/>
      <c r="L201" s="23"/>
      <c r="M201" s="23"/>
      <c r="N201" s="24"/>
      <c r="O201" s="23"/>
      <c r="P201" s="23"/>
    </row>
    <row r="202" spans="1:16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4"/>
      <c r="L202" s="23"/>
      <c r="M202" s="23"/>
      <c r="N202" s="24"/>
      <c r="O202" s="23"/>
      <c r="P202" s="23"/>
    </row>
    <row r="203" spans="1:16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4"/>
      <c r="L203" s="23"/>
      <c r="M203" s="23"/>
      <c r="N203" s="24"/>
      <c r="O203" s="23"/>
      <c r="P203" s="23"/>
    </row>
    <row r="204" spans="1:16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4"/>
      <c r="L204" s="23"/>
      <c r="M204" s="23"/>
      <c r="N204" s="24"/>
      <c r="O204" s="23"/>
      <c r="P204" s="23"/>
    </row>
    <row r="205" spans="1:16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4"/>
      <c r="L205" s="23"/>
      <c r="M205" s="23"/>
      <c r="N205" s="24"/>
      <c r="O205" s="23"/>
      <c r="P205" s="23"/>
    </row>
    <row r="206" spans="1:16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4"/>
      <c r="L206" s="23"/>
      <c r="M206" s="23"/>
      <c r="N206" s="24"/>
      <c r="O206" s="23"/>
      <c r="P206" s="23"/>
    </row>
    <row r="207" spans="1:16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4"/>
      <c r="L207" s="23"/>
      <c r="M207" s="23"/>
      <c r="N207" s="24"/>
      <c r="O207" s="23"/>
      <c r="P207" s="23"/>
    </row>
    <row r="208" spans="1:16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4"/>
      <c r="L208" s="23"/>
      <c r="M208" s="23"/>
      <c r="N208" s="24"/>
      <c r="O208" s="23"/>
      <c r="P208" s="23"/>
    </row>
    <row r="209" spans="1:16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4"/>
      <c r="L209" s="23"/>
      <c r="M209" s="23"/>
      <c r="N209" s="24"/>
      <c r="O209" s="23"/>
      <c r="P209" s="23"/>
    </row>
    <row r="210" spans="1:16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4"/>
      <c r="L210" s="23"/>
      <c r="M210" s="23"/>
      <c r="N210" s="24"/>
      <c r="O210" s="23"/>
      <c r="P210" s="23"/>
    </row>
    <row r="211" spans="1:16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4"/>
      <c r="L211" s="23"/>
      <c r="M211" s="23"/>
      <c r="N211" s="24"/>
      <c r="O211" s="23"/>
      <c r="P211" s="23"/>
    </row>
    <row r="212" spans="1:16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4"/>
      <c r="L212" s="23"/>
      <c r="M212" s="23"/>
      <c r="N212" s="24"/>
      <c r="O212" s="23"/>
      <c r="P212" s="23"/>
    </row>
    <row r="213" spans="1:16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4"/>
      <c r="L213" s="23"/>
      <c r="M213" s="23"/>
      <c r="N213" s="24"/>
      <c r="O213" s="23"/>
      <c r="P213" s="23"/>
    </row>
    <row r="214" spans="1:16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4"/>
      <c r="L214" s="23"/>
      <c r="M214" s="23"/>
      <c r="N214" s="24"/>
      <c r="O214" s="23"/>
      <c r="P214" s="23"/>
    </row>
    <row r="215" spans="1:16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4"/>
      <c r="L215" s="23"/>
      <c r="M215" s="23"/>
      <c r="N215" s="24"/>
      <c r="O215" s="23"/>
      <c r="P215" s="23"/>
    </row>
    <row r="216" spans="1:16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4"/>
      <c r="L216" s="23"/>
      <c r="M216" s="23"/>
      <c r="N216" s="24"/>
      <c r="O216" s="23"/>
      <c r="P216" s="23"/>
    </row>
    <row r="217" spans="1:16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4"/>
      <c r="L217" s="23"/>
      <c r="M217" s="23"/>
      <c r="N217" s="24"/>
      <c r="O217" s="23"/>
      <c r="P217" s="23"/>
    </row>
    <row r="218" spans="1:16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4"/>
      <c r="L218" s="23"/>
      <c r="M218" s="23"/>
      <c r="N218" s="24"/>
      <c r="O218" s="23"/>
      <c r="P218" s="23"/>
    </row>
    <row r="219" spans="1:16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4"/>
      <c r="L219" s="23"/>
      <c r="M219" s="23"/>
      <c r="N219" s="24"/>
      <c r="O219" s="23"/>
      <c r="P219" s="23"/>
    </row>
    <row r="220" spans="1:16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4"/>
      <c r="L220" s="23"/>
      <c r="M220" s="23"/>
      <c r="N220" s="24"/>
      <c r="O220" s="23"/>
      <c r="P220" s="23"/>
    </row>
    <row r="221" spans="1:16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4"/>
      <c r="L221" s="23"/>
      <c r="M221" s="23"/>
      <c r="N221" s="24"/>
      <c r="O221" s="23"/>
      <c r="P221" s="23"/>
    </row>
    <row r="222" spans="1:16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4"/>
      <c r="L222" s="23"/>
      <c r="M222" s="23"/>
      <c r="N222" s="24"/>
      <c r="O222" s="23"/>
      <c r="P222" s="23"/>
    </row>
    <row r="223" spans="1:16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4"/>
      <c r="L223" s="23"/>
      <c r="M223" s="23"/>
      <c r="N223" s="24"/>
      <c r="O223" s="23"/>
      <c r="P223" s="23"/>
    </row>
    <row r="224" spans="1:16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4"/>
      <c r="L224" s="23"/>
      <c r="M224" s="23"/>
      <c r="N224" s="24"/>
      <c r="O224" s="23"/>
      <c r="P224" s="23"/>
    </row>
    <row r="225" spans="1:16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4"/>
      <c r="L225" s="23"/>
      <c r="M225" s="23"/>
      <c r="N225" s="24"/>
      <c r="O225" s="23"/>
      <c r="P225" s="23"/>
    </row>
    <row r="226" spans="1:16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4"/>
      <c r="L226" s="23"/>
      <c r="M226" s="23"/>
      <c r="N226" s="24"/>
      <c r="O226" s="23"/>
      <c r="P226" s="23"/>
    </row>
    <row r="227" spans="1:16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4"/>
      <c r="L227" s="23"/>
      <c r="M227" s="23"/>
      <c r="N227" s="24"/>
      <c r="O227" s="23"/>
      <c r="P227" s="23"/>
    </row>
    <row r="228" spans="1:16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4"/>
      <c r="L228" s="23"/>
      <c r="M228" s="23"/>
      <c r="N228" s="24"/>
      <c r="O228" s="23"/>
      <c r="P228" s="23"/>
    </row>
    <row r="229" spans="1:16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4"/>
      <c r="L229" s="23"/>
      <c r="M229" s="23"/>
      <c r="N229" s="24"/>
      <c r="O229" s="23"/>
      <c r="P229" s="23"/>
    </row>
    <row r="230" spans="1:16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4"/>
      <c r="L230" s="23"/>
      <c r="M230" s="23"/>
      <c r="N230" s="24"/>
      <c r="O230" s="23"/>
      <c r="P230" s="23"/>
    </row>
    <row r="231" spans="1:16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4"/>
      <c r="L231" s="23"/>
      <c r="M231" s="23"/>
      <c r="N231" s="24"/>
      <c r="O231" s="23"/>
      <c r="P231" s="23"/>
    </row>
    <row r="232" spans="1:16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4"/>
      <c r="L232" s="23"/>
      <c r="M232" s="23"/>
      <c r="N232" s="24"/>
      <c r="O232" s="23"/>
      <c r="P232" s="23"/>
    </row>
    <row r="233" spans="1:16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4"/>
      <c r="L233" s="23"/>
      <c r="M233" s="23"/>
      <c r="N233" s="24"/>
      <c r="O233" s="23"/>
      <c r="P233" s="23"/>
    </row>
    <row r="234" spans="1:16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4"/>
      <c r="L234" s="23"/>
      <c r="M234" s="23"/>
      <c r="N234" s="24"/>
      <c r="O234" s="23"/>
      <c r="P234" s="23"/>
    </row>
    <row r="235" spans="1:16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4"/>
      <c r="L235" s="23"/>
      <c r="M235" s="23"/>
      <c r="N235" s="24"/>
      <c r="O235" s="23"/>
      <c r="P235" s="23"/>
    </row>
    <row r="236" spans="1:16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4"/>
      <c r="L236" s="23"/>
      <c r="M236" s="23"/>
      <c r="N236" s="24"/>
      <c r="O236" s="23"/>
      <c r="P236" s="23"/>
    </row>
    <row r="237" spans="1:16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4"/>
      <c r="L237" s="23"/>
      <c r="M237" s="23"/>
      <c r="N237" s="24"/>
      <c r="O237" s="23"/>
      <c r="P237" s="23"/>
    </row>
    <row r="238" spans="1:16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4"/>
      <c r="L238" s="23"/>
      <c r="M238" s="23"/>
      <c r="N238" s="24"/>
      <c r="O238" s="23"/>
      <c r="P238" s="23"/>
    </row>
    <row r="239" spans="1:16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4"/>
      <c r="L239" s="23"/>
      <c r="M239" s="23"/>
      <c r="N239" s="24"/>
      <c r="O239" s="23"/>
      <c r="P239" s="23"/>
    </row>
    <row r="240" spans="1:16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4"/>
      <c r="L240" s="23"/>
      <c r="M240" s="23"/>
      <c r="N240" s="24"/>
      <c r="O240" s="23"/>
      <c r="P240" s="23"/>
    </row>
    <row r="241" spans="1:16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4"/>
      <c r="L241" s="23"/>
      <c r="M241" s="23"/>
      <c r="N241" s="24"/>
      <c r="O241" s="23"/>
      <c r="P241" s="23"/>
    </row>
    <row r="242" spans="1:16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4"/>
      <c r="L242" s="23"/>
      <c r="M242" s="23"/>
      <c r="N242" s="24"/>
      <c r="O242" s="23"/>
      <c r="P242" s="23"/>
    </row>
    <row r="243" spans="1:16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4"/>
      <c r="L243" s="23"/>
      <c r="M243" s="23"/>
      <c r="N243" s="24"/>
      <c r="O243" s="23"/>
      <c r="P243" s="23"/>
    </row>
    <row r="244" spans="1:16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4"/>
      <c r="L244" s="23"/>
      <c r="M244" s="23"/>
      <c r="N244" s="24"/>
      <c r="O244" s="23"/>
      <c r="P244" s="23"/>
    </row>
    <row r="245" spans="1:16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4"/>
      <c r="L245" s="23"/>
      <c r="M245" s="23"/>
      <c r="N245" s="24"/>
      <c r="O245" s="23"/>
      <c r="P245" s="23"/>
    </row>
    <row r="246" spans="1:16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4"/>
      <c r="L246" s="23"/>
      <c r="M246" s="23"/>
      <c r="N246" s="24"/>
      <c r="O246" s="23"/>
      <c r="P246" s="23"/>
    </row>
    <row r="247" spans="1:16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4"/>
      <c r="L247" s="23"/>
      <c r="M247" s="23"/>
      <c r="N247" s="24"/>
      <c r="O247" s="23"/>
      <c r="P247" s="23"/>
    </row>
    <row r="248" spans="1:16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4"/>
      <c r="L248" s="23"/>
      <c r="M248" s="23"/>
      <c r="N248" s="24"/>
      <c r="O248" s="23"/>
      <c r="P248" s="23"/>
    </row>
    <row r="249" spans="1:16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4"/>
      <c r="L249" s="23"/>
      <c r="M249" s="23"/>
      <c r="N249" s="24"/>
      <c r="O249" s="23"/>
      <c r="P249" s="23"/>
    </row>
    <row r="250" spans="1:16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4"/>
      <c r="L250" s="23"/>
      <c r="M250" s="23"/>
      <c r="N250" s="24"/>
      <c r="O250" s="23"/>
      <c r="P250" s="23"/>
    </row>
    <row r="251" spans="1:16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4"/>
      <c r="L251" s="23"/>
      <c r="M251" s="23"/>
      <c r="N251" s="24"/>
      <c r="O251" s="23"/>
      <c r="P251" s="23"/>
    </row>
    <row r="252" spans="1:16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4"/>
      <c r="L252" s="23"/>
      <c r="M252" s="23"/>
      <c r="N252" s="24"/>
      <c r="O252" s="23"/>
      <c r="P252" s="23"/>
    </row>
    <row r="253" spans="1:16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4"/>
      <c r="L253" s="23"/>
      <c r="M253" s="23"/>
      <c r="N253" s="24"/>
      <c r="O253" s="23"/>
      <c r="P253" s="23"/>
    </row>
    <row r="254" spans="1:16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4"/>
      <c r="L254" s="23"/>
      <c r="M254" s="23"/>
      <c r="N254" s="24"/>
      <c r="O254" s="23"/>
      <c r="P254" s="23"/>
    </row>
    <row r="255" spans="1:16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4"/>
      <c r="L255" s="23"/>
      <c r="M255" s="23"/>
      <c r="N255" s="24"/>
      <c r="O255" s="23"/>
      <c r="P255" s="23"/>
    </row>
    <row r="256" spans="1:16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4"/>
      <c r="L256" s="23"/>
      <c r="M256" s="23"/>
      <c r="N256" s="24"/>
      <c r="O256" s="23"/>
      <c r="P256" s="23"/>
    </row>
    <row r="257" spans="1:16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4"/>
      <c r="L257" s="23"/>
      <c r="M257" s="23"/>
      <c r="N257" s="24"/>
      <c r="O257" s="23"/>
      <c r="P257" s="23"/>
    </row>
    <row r="258" spans="1:16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4"/>
      <c r="L258" s="23"/>
      <c r="M258" s="23"/>
      <c r="N258" s="24"/>
      <c r="O258" s="23"/>
      <c r="P258" s="23"/>
    </row>
    <row r="259" spans="1:16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4"/>
      <c r="L259" s="23"/>
      <c r="M259" s="23"/>
      <c r="N259" s="24"/>
      <c r="O259" s="23"/>
      <c r="P259" s="23"/>
    </row>
    <row r="260" spans="1:16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4"/>
      <c r="L260" s="23"/>
      <c r="M260" s="23"/>
      <c r="N260" s="24"/>
      <c r="O260" s="23"/>
      <c r="P260" s="23"/>
    </row>
    <row r="261" spans="1:16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4"/>
      <c r="L261" s="23"/>
      <c r="M261" s="23"/>
      <c r="N261" s="24"/>
      <c r="O261" s="23"/>
      <c r="P261" s="23"/>
    </row>
    <row r="262" spans="1:16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4"/>
      <c r="L262" s="23"/>
      <c r="M262" s="23"/>
      <c r="N262" s="24"/>
      <c r="O262" s="23"/>
      <c r="P262" s="23"/>
    </row>
    <row r="263" spans="1:16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4"/>
      <c r="L263" s="23"/>
      <c r="M263" s="23"/>
      <c r="N263" s="24"/>
      <c r="O263" s="23"/>
      <c r="P263" s="23"/>
    </row>
    <row r="264" spans="1:16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4"/>
      <c r="L264" s="23"/>
      <c r="M264" s="23"/>
      <c r="N264" s="24"/>
      <c r="O264" s="23"/>
      <c r="P264" s="23"/>
    </row>
    <row r="265" spans="1:16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4"/>
      <c r="L265" s="23"/>
      <c r="M265" s="23"/>
      <c r="N265" s="24"/>
      <c r="O265" s="23"/>
      <c r="P265" s="23"/>
    </row>
    <row r="266" spans="1:16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4"/>
      <c r="L266" s="23"/>
      <c r="M266" s="23"/>
      <c r="N266" s="24"/>
      <c r="O266" s="23"/>
      <c r="P266" s="23"/>
    </row>
    <row r="267" spans="1:16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4"/>
      <c r="L267" s="23"/>
      <c r="M267" s="23"/>
      <c r="N267" s="24"/>
      <c r="O267" s="23"/>
      <c r="P267" s="23"/>
    </row>
    <row r="268" spans="1:16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4"/>
      <c r="L268" s="23"/>
      <c r="M268" s="23"/>
      <c r="N268" s="24"/>
      <c r="O268" s="23"/>
      <c r="P268" s="23"/>
    </row>
    <row r="269" spans="1:16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4"/>
      <c r="L269" s="23"/>
      <c r="M269" s="23"/>
      <c r="N269" s="24"/>
      <c r="O269" s="23"/>
      <c r="P269" s="23"/>
    </row>
    <row r="270" spans="1:16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4"/>
      <c r="L270" s="23"/>
      <c r="M270" s="23"/>
      <c r="N270" s="24"/>
      <c r="O270" s="23"/>
      <c r="P270" s="23"/>
    </row>
    <row r="271" spans="1:16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4"/>
      <c r="L271" s="23"/>
      <c r="M271" s="23"/>
      <c r="N271" s="24"/>
      <c r="O271" s="23"/>
      <c r="P271" s="23"/>
    </row>
    <row r="272" spans="1:16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4"/>
      <c r="L272" s="23"/>
      <c r="M272" s="23"/>
      <c r="N272" s="24"/>
      <c r="O272" s="23"/>
      <c r="P272" s="23"/>
    </row>
    <row r="273" spans="1:16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4"/>
      <c r="L273" s="23"/>
      <c r="M273" s="23"/>
      <c r="N273" s="24"/>
      <c r="O273" s="23"/>
      <c r="P273" s="23"/>
    </row>
    <row r="274" spans="1:16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4"/>
      <c r="L274" s="23"/>
      <c r="M274" s="23"/>
      <c r="N274" s="24"/>
      <c r="O274" s="23"/>
      <c r="P274" s="23"/>
    </row>
    <row r="275" spans="1:16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4"/>
      <c r="L275" s="23"/>
      <c r="M275" s="23"/>
      <c r="N275" s="24"/>
      <c r="O275" s="23"/>
      <c r="P275" s="23"/>
    </row>
    <row r="276" spans="1:16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4"/>
      <c r="L276" s="23"/>
      <c r="M276" s="23"/>
      <c r="N276" s="24"/>
      <c r="O276" s="23"/>
      <c r="P276" s="23"/>
    </row>
    <row r="277" spans="1:16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4"/>
      <c r="L277" s="23"/>
      <c r="M277" s="23"/>
      <c r="N277" s="24"/>
      <c r="O277" s="23"/>
      <c r="P277" s="23"/>
    </row>
    <row r="278" spans="1:16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4"/>
      <c r="L278" s="23"/>
      <c r="M278" s="23"/>
      <c r="N278" s="24"/>
      <c r="O278" s="23"/>
      <c r="P278" s="23"/>
    </row>
    <row r="279" spans="1:16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4"/>
      <c r="L279" s="23"/>
      <c r="M279" s="23"/>
      <c r="N279" s="24"/>
      <c r="O279" s="23"/>
      <c r="P279" s="23"/>
    </row>
    <row r="280" spans="1:16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4"/>
      <c r="L280" s="23"/>
      <c r="M280" s="23"/>
      <c r="N280" s="24"/>
      <c r="O280" s="23"/>
      <c r="P280" s="23"/>
    </row>
    <row r="281" spans="1:16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4"/>
      <c r="L281" s="23"/>
      <c r="M281" s="23"/>
      <c r="N281" s="24"/>
      <c r="O281" s="23"/>
      <c r="P281" s="23"/>
    </row>
    <row r="282" spans="1:16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4"/>
      <c r="L282" s="23"/>
      <c r="M282" s="23"/>
      <c r="N282" s="24"/>
      <c r="O282" s="23"/>
      <c r="P282" s="23"/>
    </row>
    <row r="283" spans="1:16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4"/>
      <c r="L283" s="23"/>
      <c r="M283" s="23"/>
      <c r="N283" s="24"/>
      <c r="O283" s="23"/>
      <c r="P283" s="23"/>
    </row>
    <row r="284" spans="1:16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4"/>
      <c r="L284" s="23"/>
      <c r="M284" s="23"/>
      <c r="N284" s="24"/>
      <c r="O284" s="23"/>
      <c r="P284" s="23"/>
    </row>
    <row r="285" spans="1:16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4"/>
      <c r="L285" s="23"/>
      <c r="M285" s="23"/>
      <c r="N285" s="24"/>
      <c r="O285" s="23"/>
      <c r="P285" s="23"/>
    </row>
    <row r="286" spans="1:16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4"/>
      <c r="L286" s="23"/>
      <c r="M286" s="23"/>
      <c r="N286" s="24"/>
      <c r="O286" s="23"/>
      <c r="P286" s="23"/>
    </row>
    <row r="287" spans="1:16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4"/>
      <c r="L287" s="23"/>
      <c r="M287" s="23"/>
      <c r="N287" s="24"/>
      <c r="O287" s="23"/>
      <c r="P287" s="23"/>
    </row>
    <row r="288" spans="1:16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4"/>
      <c r="L288" s="23"/>
      <c r="M288" s="23"/>
      <c r="N288" s="24"/>
      <c r="O288" s="23"/>
      <c r="P288" s="23"/>
    </row>
    <row r="289" spans="1:16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4"/>
      <c r="L289" s="23"/>
      <c r="M289" s="23"/>
      <c r="N289" s="24"/>
      <c r="O289" s="23"/>
      <c r="P289" s="23"/>
    </row>
    <row r="290" spans="1:16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4"/>
      <c r="L290" s="23"/>
      <c r="M290" s="23"/>
      <c r="N290" s="24"/>
      <c r="O290" s="23"/>
      <c r="P290" s="23"/>
    </row>
    <row r="291" spans="1:16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4"/>
      <c r="L291" s="23"/>
      <c r="M291" s="23"/>
      <c r="N291" s="24"/>
      <c r="O291" s="23"/>
      <c r="P291" s="23"/>
    </row>
    <row r="292" spans="1:16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4"/>
      <c r="L292" s="23"/>
      <c r="M292" s="23"/>
      <c r="N292" s="24"/>
      <c r="O292" s="23"/>
      <c r="P292" s="23"/>
    </row>
    <row r="293" spans="1:16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4"/>
      <c r="L293" s="23"/>
      <c r="M293" s="23"/>
      <c r="N293" s="24"/>
      <c r="O293" s="23"/>
      <c r="P293" s="23"/>
    </row>
    <row r="294" spans="1:16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4"/>
      <c r="L294" s="23"/>
      <c r="M294" s="23"/>
      <c r="N294" s="24"/>
      <c r="O294" s="23"/>
      <c r="P294" s="23"/>
    </row>
    <row r="295" spans="1:16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4"/>
      <c r="L295" s="23"/>
      <c r="M295" s="23"/>
      <c r="N295" s="24"/>
      <c r="O295" s="23"/>
      <c r="P295" s="23"/>
    </row>
    <row r="296" spans="1:16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4"/>
      <c r="L296" s="23"/>
      <c r="M296" s="23"/>
      <c r="N296" s="24"/>
      <c r="O296" s="23"/>
      <c r="P296" s="23"/>
    </row>
    <row r="297" spans="1:16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4"/>
      <c r="L297" s="23"/>
      <c r="M297" s="23"/>
      <c r="N297" s="24"/>
      <c r="O297" s="23"/>
      <c r="P297" s="23"/>
    </row>
    <row r="298" spans="1:16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4"/>
      <c r="L298" s="23"/>
      <c r="M298" s="23"/>
      <c r="N298" s="24"/>
      <c r="O298" s="23"/>
      <c r="P298" s="23"/>
    </row>
    <row r="299" spans="1:16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4"/>
      <c r="L299" s="23"/>
      <c r="M299" s="23"/>
      <c r="N299" s="24"/>
      <c r="O299" s="23"/>
      <c r="P299" s="23"/>
    </row>
    <row r="300" spans="1:16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4"/>
      <c r="L300" s="23"/>
      <c r="M300" s="23"/>
      <c r="N300" s="24"/>
      <c r="O300" s="23"/>
      <c r="P300" s="23"/>
    </row>
    <row r="301" spans="1:16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4"/>
      <c r="L301" s="23"/>
      <c r="M301" s="23"/>
      <c r="N301" s="24"/>
      <c r="O301" s="23"/>
      <c r="P301" s="23"/>
    </row>
    <row r="302" spans="1:16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4"/>
      <c r="L302" s="23"/>
      <c r="M302" s="23"/>
      <c r="N302" s="24"/>
      <c r="O302" s="23"/>
      <c r="P302" s="23"/>
    </row>
    <row r="303" spans="1:16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4"/>
      <c r="L303" s="23"/>
      <c r="M303" s="23"/>
      <c r="N303" s="24"/>
      <c r="O303" s="23"/>
      <c r="P303" s="23"/>
    </row>
    <row r="304" spans="1:16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4"/>
      <c r="L304" s="23"/>
      <c r="M304" s="23"/>
      <c r="N304" s="24"/>
      <c r="O304" s="23"/>
      <c r="P304" s="23"/>
    </row>
    <row r="305" spans="1:16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4"/>
      <c r="L305" s="23"/>
      <c r="M305" s="23"/>
      <c r="N305" s="24"/>
      <c r="O305" s="23"/>
      <c r="P305" s="23"/>
    </row>
    <row r="306" spans="1:16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4"/>
      <c r="L306" s="23"/>
      <c r="M306" s="23"/>
      <c r="N306" s="24"/>
      <c r="O306" s="23"/>
      <c r="P306" s="23"/>
    </row>
    <row r="307" spans="1:16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4"/>
      <c r="L307" s="23"/>
      <c r="M307" s="23"/>
      <c r="N307" s="24"/>
      <c r="O307" s="23"/>
      <c r="P307" s="23"/>
    </row>
    <row r="308" spans="1:16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4"/>
      <c r="L308" s="23"/>
      <c r="M308" s="23"/>
      <c r="N308" s="24"/>
      <c r="O308" s="23"/>
      <c r="P308" s="23"/>
    </row>
    <row r="309" spans="1:16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4"/>
      <c r="L309" s="23"/>
      <c r="M309" s="23"/>
      <c r="N309" s="24"/>
      <c r="O309" s="23"/>
      <c r="P309" s="23"/>
    </row>
    <row r="310" spans="1:16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4"/>
      <c r="L310" s="23"/>
      <c r="M310" s="23"/>
      <c r="N310" s="24"/>
      <c r="O310" s="23"/>
      <c r="P310" s="23"/>
    </row>
    <row r="311" spans="1:16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4"/>
      <c r="L311" s="23"/>
      <c r="M311" s="23"/>
      <c r="N311" s="24"/>
      <c r="O311" s="23"/>
      <c r="P311" s="23"/>
    </row>
    <row r="312" spans="1:16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4"/>
      <c r="L312" s="23"/>
      <c r="M312" s="23"/>
      <c r="N312" s="24"/>
      <c r="O312" s="23"/>
      <c r="P312" s="23"/>
    </row>
    <row r="313" spans="1:16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4"/>
      <c r="L313" s="23"/>
      <c r="M313" s="23"/>
      <c r="N313" s="24"/>
      <c r="O313" s="23"/>
      <c r="P313" s="23"/>
    </row>
    <row r="314" spans="1:16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4"/>
      <c r="L314" s="23"/>
      <c r="M314" s="23"/>
      <c r="N314" s="24"/>
      <c r="O314" s="23"/>
      <c r="P314" s="23"/>
    </row>
    <row r="315" spans="1:16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4"/>
      <c r="L315" s="23"/>
      <c r="M315" s="23"/>
      <c r="N315" s="24"/>
      <c r="O315" s="23"/>
      <c r="P315" s="23"/>
    </row>
    <row r="316" spans="1:16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4"/>
      <c r="L316" s="23"/>
      <c r="M316" s="23"/>
      <c r="N316" s="24"/>
      <c r="O316" s="23"/>
      <c r="P316" s="23"/>
    </row>
    <row r="317" spans="1:16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4"/>
      <c r="L317" s="23"/>
      <c r="M317" s="23"/>
      <c r="N317" s="24"/>
      <c r="O317" s="23"/>
      <c r="P317" s="23"/>
    </row>
    <row r="318" spans="1:16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4"/>
      <c r="L318" s="23"/>
      <c r="M318" s="23"/>
      <c r="N318" s="24"/>
      <c r="O318" s="23"/>
      <c r="P318" s="23"/>
    </row>
    <row r="319" spans="1:16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4"/>
      <c r="L319" s="23"/>
      <c r="M319" s="23"/>
      <c r="N319" s="24"/>
      <c r="O319" s="23"/>
      <c r="P319" s="23"/>
    </row>
    <row r="320" spans="1:16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4"/>
      <c r="L320" s="23"/>
      <c r="M320" s="23"/>
      <c r="N320" s="24"/>
      <c r="O320" s="23"/>
      <c r="P320" s="23"/>
    </row>
    <row r="321" spans="1:16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4"/>
      <c r="L321" s="23"/>
      <c r="M321" s="23"/>
      <c r="N321" s="24"/>
      <c r="O321" s="23"/>
      <c r="P321" s="23"/>
    </row>
    <row r="322" spans="1:16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4"/>
      <c r="L322" s="23"/>
      <c r="M322" s="23"/>
      <c r="N322" s="24"/>
      <c r="O322" s="23"/>
      <c r="P322" s="23"/>
    </row>
    <row r="323" spans="1:16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4"/>
      <c r="L323" s="23"/>
      <c r="M323" s="23"/>
      <c r="N323" s="24"/>
      <c r="O323" s="23"/>
      <c r="P323" s="23"/>
    </row>
    <row r="324" spans="1:16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4"/>
      <c r="L324" s="23"/>
      <c r="M324" s="23"/>
      <c r="N324" s="24"/>
      <c r="O324" s="23"/>
      <c r="P324" s="23"/>
    </row>
    <row r="325" spans="1:16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4"/>
      <c r="L325" s="23"/>
      <c r="M325" s="23"/>
      <c r="N325" s="24"/>
      <c r="O325" s="23"/>
      <c r="P325" s="23"/>
    </row>
    <row r="326" spans="1:16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4"/>
      <c r="L326" s="23"/>
      <c r="M326" s="23"/>
      <c r="N326" s="24"/>
      <c r="O326" s="23"/>
      <c r="P326" s="23"/>
    </row>
    <row r="327" spans="1:16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4"/>
      <c r="L327" s="23"/>
      <c r="M327" s="23"/>
      <c r="N327" s="24"/>
      <c r="O327" s="23"/>
      <c r="P327" s="23"/>
    </row>
    <row r="328" spans="1:16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4"/>
      <c r="L328" s="23"/>
      <c r="M328" s="23"/>
      <c r="N328" s="24"/>
      <c r="O328" s="23"/>
      <c r="P328" s="23"/>
    </row>
    <row r="329" spans="1:16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4"/>
      <c r="L329" s="23"/>
      <c r="M329" s="23"/>
      <c r="N329" s="24"/>
      <c r="O329" s="23"/>
      <c r="P329" s="23"/>
    </row>
    <row r="330" spans="1:16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4"/>
      <c r="L330" s="23"/>
      <c r="M330" s="23"/>
      <c r="N330" s="24"/>
      <c r="O330" s="23"/>
      <c r="P330" s="23"/>
    </row>
    <row r="331" spans="1:16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4"/>
      <c r="L331" s="23"/>
      <c r="M331" s="23"/>
      <c r="N331" s="24"/>
      <c r="O331" s="23"/>
      <c r="P331" s="23"/>
    </row>
    <row r="332" spans="1:16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4"/>
      <c r="L332" s="23"/>
      <c r="M332" s="23"/>
      <c r="N332" s="24"/>
      <c r="O332" s="23"/>
      <c r="P332" s="23"/>
    </row>
    <row r="333" spans="1:16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4"/>
      <c r="L333" s="23"/>
      <c r="M333" s="23"/>
      <c r="N333" s="24"/>
      <c r="O333" s="23"/>
      <c r="P333" s="23"/>
    </row>
    <row r="334" spans="1:16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4"/>
      <c r="L334" s="23"/>
      <c r="M334" s="23"/>
      <c r="N334" s="24"/>
      <c r="O334" s="23"/>
      <c r="P334" s="23"/>
    </row>
    <row r="335" spans="1:16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4"/>
      <c r="L335" s="23"/>
      <c r="M335" s="23"/>
      <c r="N335" s="24"/>
      <c r="O335" s="23"/>
      <c r="P335" s="23"/>
    </row>
    <row r="336" spans="1:16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4"/>
      <c r="L336" s="23"/>
      <c r="M336" s="23"/>
      <c r="N336" s="24"/>
      <c r="O336" s="23"/>
      <c r="P336" s="23"/>
    </row>
    <row r="337" spans="1:16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4"/>
      <c r="L337" s="23"/>
      <c r="M337" s="23"/>
      <c r="N337" s="24"/>
      <c r="O337" s="23"/>
      <c r="P337" s="23"/>
    </row>
    <row r="338" spans="1:16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4"/>
      <c r="L338" s="23"/>
      <c r="M338" s="23"/>
      <c r="N338" s="24"/>
      <c r="O338" s="23"/>
      <c r="P338" s="23"/>
    </row>
    <row r="339" spans="1:16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4"/>
      <c r="L339" s="23"/>
      <c r="M339" s="23"/>
      <c r="N339" s="24"/>
      <c r="O339" s="23"/>
      <c r="P339" s="23"/>
    </row>
    <row r="340" spans="1:16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4"/>
      <c r="L340" s="23"/>
      <c r="M340" s="23"/>
      <c r="N340" s="24"/>
      <c r="O340" s="23"/>
      <c r="P340" s="23"/>
    </row>
    <row r="341" spans="1:16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4"/>
      <c r="L341" s="23"/>
      <c r="M341" s="23"/>
      <c r="N341" s="24"/>
      <c r="O341" s="23"/>
      <c r="P341" s="23"/>
    </row>
    <row r="342" spans="1:16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4"/>
      <c r="L342" s="23"/>
      <c r="M342" s="23"/>
      <c r="N342" s="24"/>
      <c r="O342" s="23"/>
      <c r="P342" s="23"/>
    </row>
    <row r="343" spans="1:16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4"/>
      <c r="L343" s="23"/>
      <c r="M343" s="23"/>
      <c r="N343" s="24"/>
      <c r="O343" s="23"/>
      <c r="P343" s="23"/>
    </row>
    <row r="344" spans="1:16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4"/>
      <c r="L344" s="23"/>
      <c r="M344" s="23"/>
      <c r="N344" s="24"/>
      <c r="O344" s="23"/>
      <c r="P344" s="23"/>
    </row>
    <row r="345" spans="1:16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4"/>
      <c r="L345" s="23"/>
      <c r="M345" s="23"/>
      <c r="N345" s="24"/>
      <c r="O345" s="23"/>
      <c r="P345" s="23"/>
    </row>
    <row r="346" spans="1:16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4"/>
      <c r="L346" s="23"/>
      <c r="M346" s="23"/>
      <c r="N346" s="24"/>
      <c r="O346" s="23"/>
      <c r="P346" s="23"/>
    </row>
    <row r="347" spans="1:16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4"/>
      <c r="L347" s="23"/>
      <c r="M347" s="23"/>
      <c r="N347" s="24"/>
      <c r="O347" s="23"/>
      <c r="P347" s="23"/>
    </row>
    <row r="348" spans="1:16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4"/>
      <c r="L348" s="23"/>
      <c r="M348" s="23"/>
      <c r="N348" s="24"/>
      <c r="O348" s="23"/>
      <c r="P348" s="23"/>
    </row>
    <row r="349" spans="1:16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4"/>
      <c r="L349" s="23"/>
      <c r="M349" s="23"/>
      <c r="N349" s="24"/>
      <c r="O349" s="23"/>
      <c r="P349" s="23"/>
    </row>
    <row r="350" spans="1:16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4"/>
      <c r="L350" s="23"/>
      <c r="M350" s="23"/>
      <c r="N350" s="24"/>
      <c r="O350" s="23"/>
      <c r="P350" s="23"/>
    </row>
    <row r="351" spans="1:16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4"/>
      <c r="L351" s="23"/>
      <c r="M351" s="23"/>
      <c r="N351" s="24"/>
      <c r="O351" s="23"/>
      <c r="P351" s="23"/>
    </row>
    <row r="352" spans="1:16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4"/>
      <c r="L352" s="23"/>
      <c r="M352" s="23"/>
      <c r="N352" s="24"/>
      <c r="O352" s="23"/>
      <c r="P352" s="23"/>
    </row>
    <row r="353" spans="1:16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4"/>
      <c r="L353" s="23"/>
      <c r="M353" s="23"/>
      <c r="N353" s="24"/>
      <c r="O353" s="23"/>
      <c r="P353" s="23"/>
    </row>
    <row r="354" spans="1:16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4"/>
      <c r="L354" s="23"/>
      <c r="M354" s="23"/>
      <c r="N354" s="24"/>
      <c r="O354" s="23"/>
      <c r="P354" s="23"/>
    </row>
    <row r="355" spans="1:16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4"/>
      <c r="L355" s="23"/>
      <c r="M355" s="23"/>
      <c r="N355" s="24"/>
      <c r="O355" s="23"/>
      <c r="P355" s="23"/>
    </row>
    <row r="356" spans="1:16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4"/>
      <c r="L356" s="23"/>
      <c r="M356" s="23"/>
      <c r="N356" s="24"/>
      <c r="O356" s="23"/>
      <c r="P356" s="23"/>
    </row>
    <row r="357" spans="1:16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4"/>
      <c r="L357" s="23"/>
      <c r="M357" s="23"/>
      <c r="N357" s="24"/>
      <c r="O357" s="23"/>
      <c r="P357" s="23"/>
    </row>
    <row r="358" spans="1:16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4"/>
      <c r="L358" s="23"/>
      <c r="M358" s="23"/>
      <c r="N358" s="24"/>
      <c r="O358" s="23"/>
      <c r="P358" s="23"/>
    </row>
    <row r="359" spans="1:16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4"/>
      <c r="L359" s="23"/>
      <c r="M359" s="23"/>
      <c r="N359" s="24"/>
      <c r="O359" s="23"/>
      <c r="P359" s="23"/>
    </row>
    <row r="360" spans="1:16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4"/>
      <c r="L360" s="23"/>
      <c r="M360" s="23"/>
      <c r="N360" s="24"/>
      <c r="O360" s="23"/>
      <c r="P360" s="23"/>
    </row>
    <row r="361" spans="1:16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4"/>
      <c r="L361" s="23"/>
      <c r="M361" s="23"/>
      <c r="N361" s="24"/>
      <c r="O361" s="23"/>
      <c r="P361" s="23"/>
    </row>
    <row r="362" spans="1:16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4"/>
      <c r="L362" s="23"/>
      <c r="M362" s="23"/>
      <c r="N362" s="24"/>
      <c r="O362" s="23"/>
      <c r="P362" s="23"/>
    </row>
    <row r="363" spans="1:16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4"/>
      <c r="L363" s="23"/>
      <c r="M363" s="23"/>
      <c r="N363" s="24"/>
      <c r="O363" s="23"/>
      <c r="P363" s="23"/>
    </row>
    <row r="364" spans="1:16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4"/>
      <c r="L364" s="23"/>
      <c r="M364" s="23"/>
      <c r="N364" s="24"/>
      <c r="O364" s="23"/>
      <c r="P364" s="23"/>
    </row>
    <row r="365" spans="1:16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4"/>
      <c r="L365" s="23"/>
      <c r="M365" s="23"/>
      <c r="N365" s="24"/>
      <c r="O365" s="23"/>
      <c r="P365" s="23"/>
    </row>
    <row r="366" spans="1:16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4"/>
      <c r="L366" s="23"/>
      <c r="M366" s="23"/>
      <c r="N366" s="24"/>
      <c r="O366" s="23"/>
      <c r="P366" s="23"/>
    </row>
    <row r="367" spans="1:16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4"/>
      <c r="L367" s="23"/>
      <c r="M367" s="23"/>
      <c r="N367" s="24"/>
      <c r="O367" s="23"/>
      <c r="P367" s="23"/>
    </row>
    <row r="368" spans="1:16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4"/>
      <c r="L368" s="23"/>
      <c r="M368" s="23"/>
      <c r="N368" s="24"/>
      <c r="O368" s="23"/>
      <c r="P368" s="23"/>
    </row>
    <row r="369" spans="1:16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4"/>
      <c r="L369" s="23"/>
      <c r="M369" s="23"/>
      <c r="N369" s="24"/>
      <c r="O369" s="23"/>
      <c r="P369" s="23"/>
    </row>
    <row r="370" spans="1:16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4"/>
      <c r="L370" s="23"/>
      <c r="M370" s="23"/>
      <c r="N370" s="24"/>
      <c r="O370" s="23"/>
      <c r="P370" s="23"/>
    </row>
    <row r="371" spans="1:16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4"/>
      <c r="L371" s="23"/>
      <c r="M371" s="23"/>
      <c r="N371" s="24"/>
      <c r="O371" s="23"/>
      <c r="P371" s="23"/>
    </row>
    <row r="372" spans="1:16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4"/>
      <c r="L372" s="23"/>
      <c r="M372" s="23"/>
      <c r="N372" s="24"/>
      <c r="O372" s="23"/>
      <c r="P372" s="23"/>
    </row>
    <row r="373" spans="1:16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4"/>
      <c r="L373" s="23"/>
      <c r="M373" s="23"/>
      <c r="N373" s="24"/>
      <c r="O373" s="23"/>
      <c r="P373" s="23"/>
    </row>
    <row r="374" spans="1:16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4"/>
      <c r="L374" s="23"/>
      <c r="M374" s="23"/>
      <c r="N374" s="24"/>
      <c r="O374" s="23"/>
      <c r="P374" s="23"/>
    </row>
    <row r="375" spans="1:16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4"/>
      <c r="L375" s="23"/>
      <c r="M375" s="23"/>
      <c r="N375" s="24"/>
      <c r="O375" s="23"/>
      <c r="P375" s="23"/>
    </row>
    <row r="376" spans="1:16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4"/>
      <c r="L376" s="23"/>
      <c r="M376" s="23"/>
      <c r="N376" s="24"/>
      <c r="O376" s="23"/>
      <c r="P376" s="23"/>
    </row>
    <row r="377" spans="1:16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4"/>
      <c r="L377" s="23"/>
      <c r="M377" s="23"/>
      <c r="N377" s="24"/>
      <c r="O377" s="23"/>
      <c r="P377" s="23"/>
    </row>
    <row r="378" spans="1:16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4"/>
      <c r="L378" s="23"/>
      <c r="M378" s="23"/>
      <c r="N378" s="24"/>
      <c r="O378" s="23"/>
      <c r="P378" s="23"/>
    </row>
    <row r="379" spans="1:16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4"/>
      <c r="L379" s="23"/>
      <c r="M379" s="23"/>
      <c r="N379" s="24"/>
      <c r="O379" s="23"/>
      <c r="P379" s="23"/>
    </row>
    <row r="380" spans="1:16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4"/>
      <c r="L380" s="23"/>
      <c r="M380" s="23"/>
      <c r="N380" s="24"/>
      <c r="O380" s="23"/>
      <c r="P380" s="23"/>
    </row>
    <row r="381" spans="1:16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4"/>
      <c r="L381" s="23"/>
      <c r="M381" s="23"/>
      <c r="N381" s="24"/>
      <c r="O381" s="23"/>
      <c r="P381" s="23"/>
    </row>
    <row r="382" spans="1:16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4"/>
      <c r="L382" s="23"/>
      <c r="M382" s="23"/>
      <c r="N382" s="24"/>
      <c r="O382" s="23"/>
      <c r="P382" s="23"/>
    </row>
    <row r="383" spans="1:16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4"/>
      <c r="L383" s="23"/>
      <c r="M383" s="23"/>
      <c r="N383" s="24"/>
      <c r="O383" s="23"/>
      <c r="P383" s="23"/>
    </row>
    <row r="384" spans="1:16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4"/>
      <c r="L384" s="23"/>
      <c r="M384" s="23"/>
      <c r="N384" s="24"/>
      <c r="O384" s="23"/>
      <c r="P384" s="23"/>
    </row>
    <row r="385" spans="1:16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4"/>
      <c r="L385" s="23"/>
      <c r="M385" s="23"/>
      <c r="N385" s="24"/>
      <c r="O385" s="23"/>
      <c r="P385" s="23"/>
    </row>
    <row r="386" spans="1:16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4"/>
      <c r="L386" s="23"/>
      <c r="M386" s="23"/>
      <c r="N386" s="24"/>
      <c r="O386" s="23"/>
      <c r="P386" s="23"/>
    </row>
    <row r="387" spans="1:16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4"/>
      <c r="L387" s="23"/>
      <c r="M387" s="23"/>
      <c r="N387" s="24"/>
      <c r="O387" s="23"/>
      <c r="P387" s="23"/>
    </row>
    <row r="388" spans="1:16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4"/>
      <c r="L388" s="23"/>
      <c r="M388" s="23"/>
      <c r="N388" s="24"/>
      <c r="O388" s="23"/>
      <c r="P388" s="23"/>
    </row>
    <row r="389" spans="1:16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4"/>
      <c r="L389" s="23"/>
      <c r="M389" s="23"/>
      <c r="N389" s="24"/>
      <c r="O389" s="23"/>
      <c r="P389" s="23"/>
    </row>
    <row r="390" spans="1:16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4"/>
      <c r="L390" s="23"/>
      <c r="M390" s="23"/>
      <c r="N390" s="24"/>
      <c r="O390" s="23"/>
      <c r="P390" s="23"/>
    </row>
    <row r="391" spans="1:16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4"/>
      <c r="L391" s="23"/>
      <c r="M391" s="23"/>
      <c r="N391" s="24"/>
      <c r="O391" s="23"/>
      <c r="P391" s="23"/>
    </row>
    <row r="392" spans="1:16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4"/>
      <c r="L392" s="23"/>
      <c r="M392" s="23"/>
      <c r="N392" s="24"/>
      <c r="O392" s="23"/>
      <c r="P392" s="23"/>
    </row>
    <row r="393" spans="1:16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4"/>
      <c r="L393" s="23"/>
      <c r="M393" s="23"/>
      <c r="N393" s="24"/>
      <c r="O393" s="23"/>
      <c r="P393" s="23"/>
    </row>
    <row r="394" spans="1:16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4"/>
      <c r="L394" s="23"/>
      <c r="M394" s="23"/>
      <c r="N394" s="24"/>
      <c r="O394" s="23"/>
      <c r="P394" s="23"/>
    </row>
    <row r="395" spans="1:16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4"/>
      <c r="L395" s="23"/>
      <c r="M395" s="23"/>
      <c r="N395" s="24"/>
      <c r="O395" s="23"/>
      <c r="P395" s="23"/>
    </row>
    <row r="396" spans="1:16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4"/>
      <c r="L396" s="23"/>
      <c r="M396" s="23"/>
      <c r="N396" s="24"/>
      <c r="O396" s="23"/>
      <c r="P396" s="23"/>
    </row>
    <row r="397" spans="1:16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4"/>
      <c r="L397" s="23"/>
      <c r="M397" s="23"/>
      <c r="N397" s="24"/>
      <c r="O397" s="23"/>
      <c r="P397" s="23"/>
    </row>
    <row r="398" spans="1:16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4"/>
      <c r="L398" s="23"/>
      <c r="M398" s="23"/>
      <c r="N398" s="24"/>
      <c r="O398" s="23"/>
      <c r="P398" s="23"/>
    </row>
    <row r="399" spans="1:16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4"/>
      <c r="L399" s="23"/>
      <c r="M399" s="23"/>
      <c r="N399" s="24"/>
      <c r="O399" s="23"/>
      <c r="P399" s="23"/>
    </row>
    <row r="400" spans="1:16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4"/>
      <c r="L400" s="23"/>
      <c r="M400" s="23"/>
      <c r="N400" s="24"/>
      <c r="O400" s="23"/>
      <c r="P400" s="23"/>
    </row>
    <row r="401" spans="1:16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4"/>
      <c r="L401" s="23"/>
      <c r="M401" s="23"/>
      <c r="N401" s="24"/>
      <c r="O401" s="23"/>
      <c r="P401" s="23"/>
    </row>
    <row r="402" spans="1:16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4"/>
      <c r="L402" s="23"/>
      <c r="M402" s="23"/>
      <c r="N402" s="24"/>
      <c r="O402" s="23"/>
      <c r="P402" s="23"/>
    </row>
    <row r="403" spans="1:16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4"/>
      <c r="L403" s="23"/>
      <c r="M403" s="23"/>
      <c r="N403" s="24"/>
      <c r="O403" s="23"/>
      <c r="P403" s="23"/>
    </row>
    <row r="404" spans="1:16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4"/>
      <c r="L404" s="23"/>
      <c r="M404" s="23"/>
      <c r="N404" s="24"/>
      <c r="O404" s="23"/>
      <c r="P404" s="23"/>
    </row>
    <row r="405" spans="1:16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4"/>
      <c r="L405" s="23"/>
      <c r="M405" s="23"/>
      <c r="N405" s="24"/>
      <c r="O405" s="23"/>
      <c r="P405" s="23"/>
    </row>
    <row r="406" spans="1:16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4"/>
      <c r="L406" s="23"/>
      <c r="M406" s="23"/>
      <c r="N406" s="24"/>
      <c r="O406" s="23"/>
      <c r="P406" s="23"/>
    </row>
    <row r="407" spans="1:16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4"/>
      <c r="L407" s="23"/>
      <c r="M407" s="23"/>
      <c r="N407" s="24"/>
      <c r="O407" s="23"/>
      <c r="P407" s="23"/>
    </row>
    <row r="408" spans="1:16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4"/>
      <c r="L408" s="23"/>
      <c r="M408" s="23"/>
      <c r="N408" s="24"/>
      <c r="O408" s="23"/>
      <c r="P408" s="23"/>
    </row>
    <row r="409" spans="1:16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4"/>
      <c r="L409" s="23"/>
      <c r="M409" s="23"/>
      <c r="N409" s="24"/>
      <c r="O409" s="23"/>
      <c r="P409" s="23"/>
    </row>
    <row r="410" spans="1:16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4"/>
      <c r="L410" s="23"/>
      <c r="M410" s="23"/>
      <c r="N410" s="24"/>
      <c r="O410" s="23"/>
      <c r="P410" s="23"/>
    </row>
    <row r="411" spans="1:16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4"/>
      <c r="L411" s="23"/>
      <c r="M411" s="23"/>
      <c r="N411" s="24"/>
      <c r="O411" s="23"/>
      <c r="P411" s="23"/>
    </row>
    <row r="412" spans="1:16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4"/>
      <c r="L412" s="23"/>
      <c r="M412" s="23"/>
      <c r="N412" s="24"/>
      <c r="O412" s="23"/>
      <c r="P412" s="23"/>
    </row>
    <row r="413" spans="1:16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4"/>
      <c r="L413" s="23"/>
      <c r="M413" s="23"/>
      <c r="N413" s="24"/>
      <c r="O413" s="23"/>
      <c r="P413" s="23"/>
    </row>
    <row r="414" spans="1:16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4"/>
      <c r="L414" s="23"/>
      <c r="M414" s="23"/>
      <c r="N414" s="24"/>
      <c r="O414" s="23"/>
      <c r="P414" s="23"/>
    </row>
    <row r="415" spans="1:16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4"/>
      <c r="L415" s="23"/>
      <c r="M415" s="23"/>
      <c r="N415" s="24"/>
      <c r="O415" s="23"/>
      <c r="P415" s="23"/>
    </row>
    <row r="416" spans="1:16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4"/>
      <c r="L416" s="23"/>
      <c r="M416" s="23"/>
      <c r="N416" s="24"/>
      <c r="O416" s="23"/>
      <c r="P416" s="23"/>
    </row>
    <row r="417" spans="1:16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4"/>
      <c r="L417" s="23"/>
      <c r="M417" s="23"/>
      <c r="N417" s="24"/>
      <c r="O417" s="23"/>
      <c r="P417" s="23"/>
    </row>
    <row r="418" spans="1:16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4"/>
      <c r="L418" s="23"/>
      <c r="M418" s="23"/>
      <c r="N418" s="24"/>
      <c r="O418" s="23"/>
      <c r="P418" s="23"/>
    </row>
    <row r="419" spans="1:16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4"/>
      <c r="L419" s="23"/>
      <c r="M419" s="23"/>
      <c r="N419" s="24"/>
      <c r="O419" s="23"/>
      <c r="P419" s="23"/>
    </row>
    <row r="420" spans="1:16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4"/>
      <c r="L420" s="23"/>
      <c r="M420" s="23"/>
      <c r="N420" s="24"/>
      <c r="O420" s="23"/>
      <c r="P420" s="23"/>
    </row>
    <row r="421" spans="1:16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4"/>
      <c r="L421" s="23"/>
      <c r="M421" s="23"/>
      <c r="N421" s="24"/>
      <c r="O421" s="23"/>
      <c r="P421" s="23"/>
    </row>
    <row r="422" spans="1:16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4"/>
      <c r="L422" s="23"/>
      <c r="M422" s="23"/>
      <c r="N422" s="24"/>
      <c r="O422" s="23"/>
      <c r="P422" s="23"/>
    </row>
    <row r="423" spans="1:16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4"/>
      <c r="L423" s="23"/>
      <c r="M423" s="23"/>
      <c r="N423" s="24"/>
      <c r="O423" s="23"/>
      <c r="P423" s="23"/>
    </row>
    <row r="424" spans="1:16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4"/>
      <c r="L424" s="23"/>
      <c r="M424" s="23"/>
      <c r="N424" s="24"/>
      <c r="O424" s="23"/>
      <c r="P424" s="23"/>
    </row>
    <row r="425" spans="1:16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4"/>
      <c r="L425" s="23"/>
      <c r="M425" s="23"/>
      <c r="N425" s="24"/>
      <c r="O425" s="23"/>
      <c r="P425" s="23"/>
    </row>
    <row r="426" spans="1:16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4"/>
      <c r="L426" s="23"/>
      <c r="M426" s="23"/>
      <c r="N426" s="24"/>
      <c r="O426" s="23"/>
      <c r="P426" s="23"/>
    </row>
    <row r="427" spans="1:16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4"/>
      <c r="L427" s="23"/>
      <c r="M427" s="23"/>
      <c r="N427" s="24"/>
      <c r="O427" s="23"/>
      <c r="P427" s="23"/>
    </row>
    <row r="428" spans="1:16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4"/>
      <c r="L428" s="23"/>
      <c r="M428" s="23"/>
      <c r="N428" s="24"/>
      <c r="O428" s="23"/>
      <c r="P428" s="23"/>
    </row>
    <row r="429" spans="1:16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4"/>
      <c r="L429" s="23"/>
      <c r="M429" s="23"/>
      <c r="N429" s="24"/>
      <c r="O429" s="23"/>
      <c r="P429" s="23"/>
    </row>
    <row r="430" spans="1:16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4"/>
      <c r="L430" s="23"/>
      <c r="M430" s="23"/>
      <c r="N430" s="24"/>
      <c r="O430" s="23"/>
      <c r="P430" s="23"/>
    </row>
    <row r="431" spans="1:16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4"/>
      <c r="L431" s="23"/>
      <c r="M431" s="23"/>
      <c r="N431" s="24"/>
      <c r="O431" s="23"/>
      <c r="P431" s="23"/>
    </row>
    <row r="432" spans="1:16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4"/>
      <c r="L432" s="23"/>
      <c r="M432" s="23"/>
      <c r="N432" s="24"/>
      <c r="O432" s="23"/>
      <c r="P432" s="23"/>
    </row>
    <row r="433" spans="1:16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4"/>
      <c r="L433" s="23"/>
      <c r="M433" s="23"/>
      <c r="N433" s="24"/>
      <c r="O433" s="23"/>
      <c r="P433" s="23"/>
    </row>
    <row r="434" spans="1:16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4"/>
      <c r="L434" s="23"/>
      <c r="M434" s="23"/>
      <c r="N434" s="24"/>
      <c r="O434" s="23"/>
      <c r="P434" s="23"/>
    </row>
    <row r="435" spans="1:16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4"/>
      <c r="L435" s="23"/>
      <c r="M435" s="23"/>
      <c r="N435" s="24"/>
      <c r="O435" s="23"/>
      <c r="P435" s="23"/>
    </row>
    <row r="436" spans="1:16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4"/>
      <c r="L436" s="23"/>
      <c r="M436" s="23"/>
      <c r="N436" s="24"/>
      <c r="O436" s="23"/>
      <c r="P436" s="23"/>
    </row>
    <row r="437" spans="1:16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4"/>
      <c r="L437" s="23"/>
      <c r="M437" s="23"/>
      <c r="N437" s="24"/>
      <c r="O437" s="23"/>
      <c r="P437" s="23"/>
    </row>
    <row r="438" spans="1:16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4"/>
      <c r="L438" s="23"/>
      <c r="M438" s="23"/>
      <c r="N438" s="24"/>
      <c r="O438" s="23"/>
      <c r="P438" s="23"/>
    </row>
    <row r="439" spans="1:16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4"/>
      <c r="L439" s="23"/>
      <c r="M439" s="23"/>
      <c r="N439" s="24"/>
      <c r="O439" s="23"/>
      <c r="P439" s="23"/>
    </row>
    <row r="440" spans="1:16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4"/>
      <c r="L440" s="23"/>
      <c r="M440" s="23"/>
      <c r="N440" s="24"/>
      <c r="O440" s="23"/>
      <c r="P440" s="23"/>
    </row>
    <row r="441" spans="1:16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4"/>
      <c r="L441" s="23"/>
      <c r="M441" s="23"/>
      <c r="N441" s="24"/>
      <c r="O441" s="23"/>
      <c r="P441" s="23"/>
    </row>
    <row r="442" spans="1:16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4"/>
      <c r="L442" s="23"/>
      <c r="M442" s="23"/>
      <c r="N442" s="24"/>
      <c r="O442" s="23"/>
      <c r="P442" s="23"/>
    </row>
    <row r="443" spans="1:16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4"/>
      <c r="L443" s="23"/>
      <c r="M443" s="23"/>
      <c r="N443" s="24"/>
      <c r="O443" s="23"/>
      <c r="P443" s="23"/>
    </row>
    <row r="444" spans="1:16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4"/>
      <c r="L444" s="23"/>
      <c r="M444" s="23"/>
      <c r="N444" s="24"/>
      <c r="O444" s="23"/>
      <c r="P444" s="23"/>
    </row>
    <row r="445" spans="1:16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4"/>
      <c r="L445" s="23"/>
      <c r="M445" s="23"/>
      <c r="N445" s="24"/>
      <c r="O445" s="23"/>
      <c r="P445" s="23"/>
    </row>
    <row r="446" spans="1:16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4"/>
      <c r="L446" s="23"/>
      <c r="M446" s="23"/>
      <c r="N446" s="24"/>
      <c r="O446" s="23"/>
      <c r="P446" s="23"/>
    </row>
    <row r="447" spans="1:16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4"/>
      <c r="L447" s="23"/>
      <c r="M447" s="23"/>
      <c r="N447" s="24"/>
      <c r="O447" s="23"/>
      <c r="P447" s="23"/>
    </row>
    <row r="448" spans="1:16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4"/>
      <c r="L448" s="23"/>
      <c r="M448" s="23"/>
      <c r="N448" s="24"/>
      <c r="O448" s="23"/>
      <c r="P448" s="23"/>
    </row>
    <row r="449" spans="1:16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4"/>
      <c r="L449" s="23"/>
      <c r="M449" s="23"/>
      <c r="N449" s="24"/>
      <c r="O449" s="23"/>
      <c r="P449" s="23"/>
    </row>
    <row r="450" spans="1:16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4"/>
      <c r="L450" s="23"/>
      <c r="M450" s="23"/>
      <c r="N450" s="24"/>
      <c r="O450" s="23"/>
      <c r="P450" s="23"/>
    </row>
    <row r="451" spans="1:16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4"/>
      <c r="L451" s="23"/>
      <c r="M451" s="23"/>
      <c r="N451" s="24"/>
      <c r="O451" s="23"/>
      <c r="P451" s="23"/>
    </row>
    <row r="452" spans="1:16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4"/>
      <c r="L452" s="23"/>
      <c r="M452" s="23"/>
      <c r="N452" s="24"/>
      <c r="O452" s="23"/>
      <c r="P452" s="23"/>
    </row>
    <row r="453" spans="1:16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4"/>
      <c r="L453" s="23"/>
      <c r="M453" s="23"/>
      <c r="N453" s="24"/>
      <c r="O453" s="23"/>
      <c r="P453" s="23"/>
    </row>
    <row r="454" spans="1:16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4"/>
      <c r="L454" s="23"/>
      <c r="M454" s="23"/>
      <c r="N454" s="24"/>
      <c r="O454" s="23"/>
      <c r="P454" s="23"/>
    </row>
    <row r="455" spans="1:16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4"/>
      <c r="L455" s="23"/>
      <c r="M455" s="23"/>
      <c r="N455" s="24"/>
      <c r="O455" s="23"/>
      <c r="P455" s="23"/>
    </row>
    <row r="456" spans="1:16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4"/>
      <c r="L456" s="23"/>
      <c r="M456" s="23"/>
      <c r="N456" s="24"/>
      <c r="O456" s="23"/>
      <c r="P456" s="23"/>
    </row>
    <row r="457" spans="1:16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4"/>
      <c r="L457" s="23"/>
      <c r="M457" s="23"/>
      <c r="N457" s="24"/>
      <c r="O457" s="23"/>
      <c r="P457" s="23"/>
    </row>
    <row r="458" spans="1:16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4"/>
      <c r="L458" s="23"/>
      <c r="M458" s="23"/>
      <c r="N458" s="24"/>
      <c r="O458" s="23"/>
      <c r="P458" s="23"/>
    </row>
    <row r="459" spans="1:16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4"/>
      <c r="L459" s="23"/>
      <c r="M459" s="23"/>
      <c r="N459" s="24"/>
      <c r="O459" s="23"/>
      <c r="P459" s="23"/>
    </row>
    <row r="460" spans="1:16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4"/>
      <c r="L460" s="23"/>
      <c r="M460" s="23"/>
      <c r="N460" s="24"/>
      <c r="O460" s="23"/>
      <c r="P460" s="23"/>
    </row>
    <row r="461" spans="1:16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4"/>
      <c r="L461" s="23"/>
      <c r="M461" s="23"/>
      <c r="N461" s="24"/>
      <c r="O461" s="23"/>
      <c r="P461" s="23"/>
    </row>
    <row r="462" spans="1:16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4"/>
      <c r="L462" s="23"/>
      <c r="M462" s="23"/>
      <c r="N462" s="24"/>
      <c r="O462" s="23"/>
      <c r="P462" s="23"/>
    </row>
    <row r="463" spans="1:16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4"/>
      <c r="L463" s="23"/>
      <c r="M463" s="23"/>
      <c r="N463" s="24"/>
      <c r="O463" s="23"/>
      <c r="P463" s="23"/>
    </row>
    <row r="464" spans="1:16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4"/>
      <c r="L464" s="23"/>
      <c r="M464" s="23"/>
      <c r="N464" s="24"/>
      <c r="O464" s="23"/>
      <c r="P464" s="23"/>
    </row>
    <row r="465" spans="1:16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4"/>
      <c r="L465" s="23"/>
      <c r="M465" s="23"/>
      <c r="N465" s="24"/>
      <c r="O465" s="23"/>
      <c r="P465" s="23"/>
    </row>
    <row r="466" spans="1:16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4"/>
      <c r="L466" s="23"/>
      <c r="M466" s="23"/>
      <c r="N466" s="24"/>
      <c r="O466" s="23"/>
      <c r="P466" s="23"/>
    </row>
    <row r="467" spans="1:16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4"/>
      <c r="L467" s="23"/>
      <c r="M467" s="23"/>
      <c r="N467" s="24"/>
      <c r="O467" s="23"/>
      <c r="P467" s="23"/>
    </row>
    <row r="468" spans="1:16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4"/>
      <c r="L468" s="23"/>
      <c r="M468" s="23"/>
      <c r="N468" s="24"/>
      <c r="O468" s="23"/>
      <c r="P468" s="23"/>
    </row>
    <row r="469" spans="1:16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4"/>
      <c r="L469" s="23"/>
      <c r="M469" s="23"/>
      <c r="N469" s="24"/>
      <c r="O469" s="23"/>
      <c r="P469" s="23"/>
    </row>
    <row r="470" spans="1:16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4"/>
      <c r="L470" s="23"/>
      <c r="M470" s="23"/>
      <c r="N470" s="24"/>
      <c r="O470" s="23"/>
      <c r="P470" s="23"/>
    </row>
    <row r="471" spans="1:16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4"/>
      <c r="L471" s="23"/>
      <c r="M471" s="23"/>
      <c r="N471" s="24"/>
      <c r="O471" s="23"/>
      <c r="P471" s="23"/>
    </row>
    <row r="472" spans="1:16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4"/>
      <c r="L472" s="23"/>
      <c r="M472" s="23"/>
      <c r="N472" s="24"/>
      <c r="O472" s="23"/>
      <c r="P472" s="23"/>
    </row>
    <row r="473" spans="1:16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4"/>
      <c r="L473" s="23"/>
      <c r="M473" s="23"/>
      <c r="N473" s="24"/>
      <c r="O473" s="23"/>
      <c r="P473" s="23"/>
    </row>
    <row r="474" spans="1:16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4"/>
      <c r="L474" s="23"/>
      <c r="M474" s="23"/>
      <c r="N474" s="24"/>
      <c r="O474" s="23"/>
      <c r="P474" s="23"/>
    </row>
    <row r="475" spans="1:16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4"/>
      <c r="L475" s="23"/>
      <c r="M475" s="23"/>
      <c r="N475" s="24"/>
      <c r="O475" s="23"/>
      <c r="P475" s="23"/>
    </row>
    <row r="476" spans="1:16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4"/>
      <c r="L476" s="23"/>
      <c r="M476" s="23"/>
      <c r="N476" s="24"/>
      <c r="O476" s="23"/>
      <c r="P476" s="23"/>
    </row>
    <row r="477" spans="1:16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4"/>
      <c r="L477" s="23"/>
      <c r="M477" s="23"/>
      <c r="N477" s="24"/>
      <c r="O477" s="23"/>
      <c r="P477" s="23"/>
    </row>
    <row r="478" spans="1:16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4"/>
      <c r="L478" s="23"/>
      <c r="M478" s="23"/>
      <c r="N478" s="24"/>
      <c r="O478" s="23"/>
      <c r="P478" s="23"/>
    </row>
    <row r="479" spans="1:16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4"/>
      <c r="L479" s="23"/>
      <c r="M479" s="23"/>
      <c r="N479" s="24"/>
      <c r="O479" s="23"/>
      <c r="P479" s="23"/>
    </row>
    <row r="480" spans="1:16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4"/>
      <c r="L480" s="23"/>
      <c r="M480" s="23"/>
      <c r="N480" s="24"/>
      <c r="O480" s="23"/>
      <c r="P480" s="23"/>
    </row>
    <row r="481" spans="1:16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4"/>
      <c r="L481" s="23"/>
      <c r="M481" s="23"/>
      <c r="N481" s="24"/>
      <c r="O481" s="23"/>
      <c r="P481" s="23"/>
    </row>
    <row r="482" spans="1:16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4"/>
      <c r="L482" s="23"/>
      <c r="M482" s="23"/>
      <c r="N482" s="24"/>
      <c r="O482" s="23"/>
      <c r="P482" s="23"/>
    </row>
    <row r="483" spans="1:16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4"/>
      <c r="L483" s="23"/>
      <c r="M483" s="23"/>
      <c r="N483" s="24"/>
      <c r="O483" s="23"/>
      <c r="P483" s="23"/>
    </row>
    <row r="484" spans="1:16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4"/>
      <c r="L484" s="23"/>
      <c r="M484" s="23"/>
      <c r="N484" s="24"/>
      <c r="O484" s="23"/>
      <c r="P484" s="23"/>
    </row>
    <row r="485" spans="1:16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4"/>
      <c r="L485" s="23"/>
      <c r="M485" s="23"/>
      <c r="N485" s="24"/>
      <c r="O485" s="23"/>
      <c r="P485" s="23"/>
    </row>
    <row r="486" spans="1:16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4"/>
      <c r="L486" s="23"/>
      <c r="M486" s="23"/>
      <c r="N486" s="24"/>
      <c r="O486" s="23"/>
      <c r="P486" s="23"/>
    </row>
    <row r="487" spans="1:16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4"/>
      <c r="L487" s="23"/>
      <c r="M487" s="23"/>
      <c r="N487" s="24"/>
      <c r="O487" s="23"/>
      <c r="P487" s="23"/>
    </row>
    <row r="488" spans="1:16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4"/>
      <c r="L488" s="23"/>
      <c r="M488" s="23"/>
      <c r="N488" s="24"/>
      <c r="O488" s="23"/>
      <c r="P488" s="23"/>
    </row>
    <row r="489" spans="1:16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4"/>
      <c r="L489" s="23"/>
      <c r="M489" s="23"/>
      <c r="N489" s="24"/>
      <c r="O489" s="23"/>
      <c r="P489" s="23"/>
    </row>
    <row r="490" spans="1:16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4"/>
      <c r="L490" s="23"/>
      <c r="M490" s="23"/>
      <c r="N490" s="24"/>
      <c r="O490" s="23"/>
      <c r="P490" s="23"/>
    </row>
    <row r="491" spans="1:16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4"/>
      <c r="L491" s="23"/>
      <c r="M491" s="23"/>
      <c r="N491" s="24"/>
      <c r="O491" s="23"/>
      <c r="P491" s="23"/>
    </row>
    <row r="492" spans="1:16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4"/>
      <c r="L492" s="23"/>
      <c r="M492" s="23"/>
      <c r="N492" s="24"/>
      <c r="O492" s="23"/>
      <c r="P492" s="23"/>
    </row>
    <row r="493" spans="1:16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4"/>
      <c r="L493" s="23"/>
      <c r="M493" s="23"/>
      <c r="N493" s="24"/>
      <c r="O493" s="23"/>
      <c r="P493" s="23"/>
    </row>
    <row r="494" spans="1:16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4"/>
      <c r="L494" s="23"/>
      <c r="M494" s="23"/>
      <c r="N494" s="24"/>
      <c r="O494" s="23"/>
      <c r="P494" s="23"/>
    </row>
    <row r="495" spans="1:16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4"/>
      <c r="L495" s="23"/>
      <c r="M495" s="23"/>
      <c r="N495" s="24"/>
      <c r="O495" s="23"/>
      <c r="P495" s="23"/>
    </row>
    <row r="496" spans="1:16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4"/>
      <c r="L496" s="23"/>
      <c r="M496" s="23"/>
      <c r="N496" s="24"/>
      <c r="O496" s="23"/>
      <c r="P496" s="23"/>
    </row>
    <row r="497" spans="1:16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4"/>
      <c r="L497" s="23"/>
      <c r="M497" s="23"/>
      <c r="N497" s="24"/>
      <c r="O497" s="23"/>
      <c r="P497" s="23"/>
    </row>
    <row r="498" spans="1:16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4"/>
      <c r="L498" s="23"/>
      <c r="M498" s="23"/>
      <c r="N498" s="24"/>
      <c r="O498" s="23"/>
      <c r="P498" s="23"/>
    </row>
    <row r="499" spans="1:16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4"/>
      <c r="L499" s="23"/>
      <c r="M499" s="23"/>
      <c r="N499" s="24"/>
      <c r="O499" s="23"/>
      <c r="P499" s="23"/>
    </row>
    <row r="500" spans="1:16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4"/>
      <c r="L500" s="23"/>
      <c r="M500" s="23"/>
      <c r="N500" s="24"/>
      <c r="O500" s="23"/>
      <c r="P500" s="23"/>
    </row>
    <row r="501" spans="1:16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4"/>
      <c r="L501" s="23"/>
      <c r="M501" s="23"/>
      <c r="N501" s="24"/>
      <c r="O501" s="23"/>
      <c r="P501" s="23"/>
    </row>
    <row r="502" spans="1:16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4"/>
      <c r="L502" s="23"/>
      <c r="M502" s="23"/>
      <c r="N502" s="24"/>
      <c r="O502" s="23"/>
      <c r="P502" s="23"/>
    </row>
    <row r="503" spans="1:16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4"/>
      <c r="L503" s="23"/>
      <c r="M503" s="23"/>
      <c r="N503" s="24"/>
      <c r="O503" s="23"/>
      <c r="P503" s="23"/>
    </row>
    <row r="504" spans="1:16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4"/>
      <c r="L504" s="23"/>
      <c r="M504" s="23"/>
      <c r="N504" s="24"/>
      <c r="O504" s="23"/>
      <c r="P504" s="23"/>
    </row>
    <row r="505" spans="1:16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4"/>
      <c r="L505" s="23"/>
      <c r="M505" s="23"/>
      <c r="N505" s="24"/>
      <c r="O505" s="23"/>
      <c r="P505" s="23"/>
    </row>
    <row r="506" spans="1:16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4"/>
      <c r="L506" s="23"/>
      <c r="M506" s="23"/>
      <c r="N506" s="24"/>
      <c r="O506" s="23"/>
      <c r="P506" s="23"/>
    </row>
    <row r="507" spans="1:16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4"/>
      <c r="L507" s="23"/>
      <c r="M507" s="23"/>
      <c r="N507" s="24"/>
      <c r="O507" s="23"/>
      <c r="P507" s="23"/>
    </row>
    <row r="508" spans="1:16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4"/>
      <c r="L508" s="23"/>
      <c r="M508" s="23"/>
      <c r="N508" s="24"/>
      <c r="O508" s="23"/>
      <c r="P508" s="23"/>
    </row>
    <row r="509" spans="1:16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4"/>
      <c r="L509" s="23"/>
      <c r="M509" s="23"/>
      <c r="N509" s="24"/>
      <c r="O509" s="23"/>
      <c r="P509" s="23"/>
    </row>
    <row r="510" spans="1:16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4"/>
      <c r="L510" s="23"/>
      <c r="M510" s="23"/>
      <c r="N510" s="24"/>
      <c r="O510" s="23"/>
      <c r="P510" s="23"/>
    </row>
    <row r="511" spans="1:16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4"/>
      <c r="L511" s="23"/>
      <c r="M511" s="23"/>
      <c r="N511" s="24"/>
      <c r="O511" s="23"/>
      <c r="P511" s="23"/>
    </row>
    <row r="512" spans="1:16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4"/>
      <c r="L512" s="23"/>
      <c r="M512" s="23"/>
      <c r="N512" s="24"/>
      <c r="O512" s="23"/>
      <c r="P512" s="23"/>
    </row>
    <row r="513" spans="1:16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4"/>
      <c r="L513" s="23"/>
      <c r="M513" s="23"/>
      <c r="N513" s="24"/>
      <c r="O513" s="23"/>
      <c r="P513" s="23"/>
    </row>
    <row r="514" spans="1:16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4"/>
      <c r="L514" s="23"/>
      <c r="M514" s="23"/>
      <c r="N514" s="24"/>
      <c r="O514" s="23"/>
      <c r="P514" s="23"/>
    </row>
    <row r="515" spans="1:16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4"/>
      <c r="L515" s="23"/>
      <c r="M515" s="23"/>
      <c r="N515" s="24"/>
      <c r="O515" s="23"/>
      <c r="P515" s="23"/>
    </row>
    <row r="516" spans="1:16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4"/>
      <c r="L516" s="23"/>
      <c r="M516" s="23"/>
      <c r="N516" s="24"/>
      <c r="O516" s="23"/>
      <c r="P516" s="23"/>
    </row>
    <row r="517" spans="1:16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4"/>
      <c r="L517" s="23"/>
      <c r="M517" s="23"/>
      <c r="N517" s="24"/>
      <c r="O517" s="23"/>
      <c r="P517" s="23"/>
    </row>
    <row r="518" spans="1:16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4"/>
      <c r="L518" s="23"/>
      <c r="M518" s="23"/>
      <c r="N518" s="24"/>
      <c r="O518" s="23"/>
      <c r="P518" s="23"/>
    </row>
    <row r="519" spans="1:16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4"/>
      <c r="L519" s="23"/>
      <c r="M519" s="23"/>
      <c r="N519" s="24"/>
      <c r="O519" s="23"/>
      <c r="P519" s="23"/>
    </row>
    <row r="520" spans="1:16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4"/>
      <c r="L520" s="23"/>
      <c r="M520" s="23"/>
      <c r="N520" s="24"/>
      <c r="O520" s="23"/>
      <c r="P520" s="23"/>
    </row>
    <row r="521" spans="1:16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4"/>
      <c r="L521" s="23"/>
      <c r="M521" s="23"/>
      <c r="N521" s="24"/>
      <c r="O521" s="23"/>
      <c r="P521" s="23"/>
    </row>
    <row r="522" spans="1:16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4"/>
      <c r="L522" s="23"/>
      <c r="M522" s="23"/>
      <c r="N522" s="24"/>
      <c r="O522" s="23"/>
      <c r="P522" s="23"/>
    </row>
    <row r="523" spans="1:16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4"/>
      <c r="L523" s="23"/>
      <c r="M523" s="23"/>
      <c r="N523" s="24"/>
      <c r="O523" s="23"/>
      <c r="P523" s="23"/>
    </row>
    <row r="524" spans="1:16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4"/>
      <c r="L524" s="23"/>
      <c r="M524" s="23"/>
      <c r="N524" s="24"/>
      <c r="O524" s="23"/>
      <c r="P524" s="23"/>
    </row>
    <row r="525" spans="1:16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4"/>
      <c r="L525" s="23"/>
      <c r="M525" s="23"/>
      <c r="N525" s="24"/>
      <c r="O525" s="23"/>
      <c r="P525" s="23"/>
    </row>
    <row r="526" spans="1:16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4"/>
      <c r="L526" s="23"/>
      <c r="M526" s="23"/>
      <c r="N526" s="24"/>
      <c r="O526" s="23"/>
      <c r="P526" s="23"/>
    </row>
    <row r="527" spans="1:16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4"/>
      <c r="L527" s="23"/>
      <c r="M527" s="23"/>
      <c r="N527" s="24"/>
      <c r="O527" s="23"/>
      <c r="P527" s="23"/>
    </row>
    <row r="528" spans="1:16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4"/>
      <c r="L528" s="23"/>
      <c r="M528" s="23"/>
      <c r="N528" s="24"/>
      <c r="O528" s="23"/>
      <c r="P528" s="23"/>
    </row>
    <row r="529" spans="1:16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4"/>
      <c r="L529" s="23"/>
      <c r="M529" s="23"/>
      <c r="N529" s="24"/>
      <c r="O529" s="23"/>
      <c r="P529" s="23"/>
    </row>
    <row r="530" spans="1:16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4"/>
      <c r="L530" s="23"/>
      <c r="M530" s="23"/>
      <c r="N530" s="24"/>
      <c r="O530" s="23"/>
      <c r="P530" s="23"/>
    </row>
    <row r="531" spans="1:16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4"/>
      <c r="L531" s="23"/>
      <c r="M531" s="23"/>
      <c r="N531" s="24"/>
      <c r="O531" s="23"/>
      <c r="P531" s="23"/>
    </row>
    <row r="532" spans="1:16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4"/>
      <c r="L532" s="23"/>
      <c r="M532" s="23"/>
      <c r="N532" s="24"/>
      <c r="O532" s="23"/>
      <c r="P532" s="23"/>
    </row>
    <row r="533" spans="1:16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4"/>
      <c r="L533" s="23"/>
      <c r="M533" s="23"/>
      <c r="N533" s="24"/>
      <c r="O533" s="23"/>
      <c r="P533" s="23"/>
    </row>
    <row r="534" spans="1:16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4"/>
      <c r="L534" s="23"/>
      <c r="M534" s="23"/>
      <c r="N534" s="24"/>
      <c r="O534" s="23"/>
      <c r="P534" s="23"/>
    </row>
    <row r="535" spans="1:16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4"/>
      <c r="L535" s="23"/>
      <c r="M535" s="23"/>
      <c r="N535" s="24"/>
      <c r="O535" s="23"/>
      <c r="P535" s="23"/>
    </row>
    <row r="536" spans="1:16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4"/>
      <c r="L536" s="23"/>
      <c r="M536" s="23"/>
      <c r="N536" s="24"/>
      <c r="O536" s="23"/>
      <c r="P536" s="23"/>
    </row>
    <row r="537" spans="1:16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4"/>
      <c r="L537" s="23"/>
      <c r="M537" s="23"/>
      <c r="N537" s="24"/>
      <c r="O537" s="23"/>
      <c r="P537" s="23"/>
    </row>
    <row r="538" spans="1:16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4"/>
      <c r="L538" s="23"/>
      <c r="M538" s="23"/>
      <c r="N538" s="24"/>
      <c r="O538" s="23"/>
      <c r="P538" s="23"/>
    </row>
    <row r="539" spans="1:16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4"/>
      <c r="L539" s="23"/>
      <c r="M539" s="23"/>
      <c r="N539" s="24"/>
      <c r="O539" s="23"/>
      <c r="P539" s="23"/>
    </row>
    <row r="540" spans="1:16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4"/>
      <c r="L540" s="23"/>
      <c r="M540" s="23"/>
      <c r="N540" s="24"/>
      <c r="O540" s="23"/>
      <c r="P540" s="23"/>
    </row>
    <row r="541" spans="1:16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4"/>
      <c r="L541" s="23"/>
      <c r="M541" s="23"/>
      <c r="N541" s="24"/>
      <c r="O541" s="23"/>
      <c r="P541" s="23"/>
    </row>
    <row r="542" spans="1:16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4"/>
      <c r="L542" s="23"/>
      <c r="M542" s="23"/>
      <c r="N542" s="24"/>
      <c r="O542" s="23"/>
      <c r="P542" s="23"/>
    </row>
    <row r="543" spans="1:16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4"/>
      <c r="L543" s="23"/>
      <c r="M543" s="23"/>
      <c r="N543" s="24"/>
      <c r="O543" s="23"/>
      <c r="P543" s="23"/>
    </row>
    <row r="544" spans="1:16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4"/>
      <c r="L544" s="23"/>
      <c r="M544" s="23"/>
      <c r="N544" s="24"/>
      <c r="O544" s="23"/>
      <c r="P544" s="23"/>
    </row>
    <row r="545" spans="1:16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4"/>
      <c r="L545" s="23"/>
      <c r="M545" s="23"/>
      <c r="N545" s="24"/>
      <c r="O545" s="23"/>
      <c r="P545" s="23"/>
    </row>
    <row r="546" spans="1:16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4"/>
      <c r="L546" s="23"/>
      <c r="M546" s="23"/>
      <c r="N546" s="24"/>
      <c r="O546" s="23"/>
      <c r="P546" s="23"/>
    </row>
    <row r="547" spans="1:16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4"/>
      <c r="L547" s="23"/>
      <c r="M547" s="23"/>
      <c r="N547" s="24"/>
      <c r="O547" s="23"/>
      <c r="P547" s="23"/>
    </row>
    <row r="548" spans="1:16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4"/>
      <c r="L548" s="23"/>
      <c r="M548" s="23"/>
      <c r="N548" s="24"/>
      <c r="O548" s="23"/>
      <c r="P548" s="23"/>
    </row>
    <row r="549" spans="1:16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4"/>
      <c r="L549" s="23"/>
      <c r="M549" s="23"/>
      <c r="N549" s="24"/>
      <c r="O549" s="23"/>
      <c r="P549" s="23"/>
    </row>
    <row r="550" spans="1:16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4"/>
      <c r="L550" s="23"/>
      <c r="M550" s="23"/>
      <c r="N550" s="24"/>
      <c r="O550" s="23"/>
      <c r="P550" s="23"/>
    </row>
    <row r="551" spans="1:16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4"/>
      <c r="L551" s="23"/>
      <c r="M551" s="23"/>
      <c r="N551" s="24"/>
      <c r="O551" s="23"/>
      <c r="P551" s="23"/>
    </row>
    <row r="552" spans="1:16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4"/>
      <c r="L552" s="23"/>
      <c r="M552" s="23"/>
      <c r="N552" s="24"/>
      <c r="O552" s="23"/>
      <c r="P552" s="23"/>
    </row>
    <row r="553" spans="1:16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4"/>
      <c r="L553" s="23"/>
      <c r="M553" s="23"/>
      <c r="N553" s="24"/>
      <c r="O553" s="23"/>
      <c r="P553" s="23"/>
    </row>
    <row r="554" spans="1:16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4"/>
      <c r="L554" s="23"/>
      <c r="M554" s="23"/>
      <c r="N554" s="24"/>
      <c r="O554" s="23"/>
      <c r="P554" s="23"/>
    </row>
    <row r="555" spans="1:16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4"/>
      <c r="L555" s="23"/>
      <c r="M555" s="23"/>
      <c r="N555" s="24"/>
      <c r="O555" s="23"/>
      <c r="P555" s="23"/>
    </row>
    <row r="556" spans="1:16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4"/>
      <c r="L556" s="23"/>
      <c r="M556" s="23"/>
      <c r="N556" s="24"/>
      <c r="O556" s="23"/>
      <c r="P556" s="23"/>
    </row>
    <row r="557" spans="1:16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4"/>
      <c r="L557" s="23"/>
      <c r="M557" s="23"/>
      <c r="N557" s="24"/>
      <c r="O557" s="23"/>
      <c r="P557" s="23"/>
    </row>
    <row r="558" spans="1:16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4"/>
      <c r="L558" s="23"/>
      <c r="M558" s="23"/>
      <c r="N558" s="24"/>
      <c r="O558" s="23"/>
      <c r="P558" s="23"/>
    </row>
    <row r="559" spans="1:16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4"/>
      <c r="L559" s="23"/>
      <c r="M559" s="23"/>
      <c r="N559" s="24"/>
      <c r="O559" s="23"/>
      <c r="P559" s="23"/>
    </row>
    <row r="560" spans="1:16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4"/>
      <c r="L560" s="23"/>
      <c r="M560" s="23"/>
      <c r="N560" s="24"/>
      <c r="O560" s="23"/>
      <c r="P560" s="23"/>
    </row>
    <row r="561" spans="1:16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4"/>
      <c r="L561" s="23"/>
      <c r="M561" s="23"/>
      <c r="N561" s="24"/>
      <c r="O561" s="23"/>
      <c r="P561" s="23"/>
    </row>
    <row r="562" spans="1:16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4"/>
      <c r="L562" s="23"/>
      <c r="M562" s="23"/>
      <c r="N562" s="24"/>
      <c r="O562" s="23"/>
      <c r="P562" s="23"/>
    </row>
    <row r="563" spans="1:16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4"/>
      <c r="L563" s="23"/>
      <c r="M563" s="23"/>
      <c r="N563" s="24"/>
      <c r="O563" s="23"/>
      <c r="P563" s="23"/>
    </row>
    <row r="564" spans="1:16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4"/>
      <c r="L564" s="23"/>
      <c r="M564" s="23"/>
      <c r="N564" s="24"/>
      <c r="O564" s="23"/>
      <c r="P564" s="23"/>
    </row>
    <row r="565" spans="1:16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4"/>
      <c r="L565" s="23"/>
      <c r="M565" s="23"/>
      <c r="N565" s="24"/>
      <c r="O565" s="23"/>
      <c r="P565" s="23"/>
    </row>
    <row r="566" spans="1:16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4"/>
      <c r="L566" s="23"/>
      <c r="M566" s="23"/>
      <c r="N566" s="24"/>
      <c r="O566" s="23"/>
      <c r="P566" s="23"/>
    </row>
    <row r="567" spans="1:16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4"/>
      <c r="L567" s="23"/>
      <c r="M567" s="23"/>
      <c r="N567" s="24"/>
      <c r="O567" s="23"/>
      <c r="P567" s="23"/>
    </row>
    <row r="568" spans="1:16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4"/>
      <c r="L568" s="23"/>
      <c r="M568" s="23"/>
      <c r="N568" s="24"/>
      <c r="O568" s="23"/>
      <c r="P568" s="23"/>
    </row>
    <row r="569" spans="1:16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4"/>
      <c r="L569" s="23"/>
      <c r="M569" s="23"/>
      <c r="N569" s="24"/>
      <c r="O569" s="23"/>
      <c r="P569" s="23"/>
    </row>
    <row r="570" spans="1:16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4"/>
      <c r="L570" s="23"/>
      <c r="M570" s="23"/>
      <c r="N570" s="24"/>
      <c r="O570" s="23"/>
      <c r="P570" s="23"/>
    </row>
    <row r="571" spans="1:16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4"/>
      <c r="L571" s="23"/>
      <c r="M571" s="23"/>
      <c r="N571" s="24"/>
      <c r="O571" s="23"/>
      <c r="P571" s="23"/>
    </row>
    <row r="572" spans="1:16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4"/>
      <c r="L572" s="23"/>
      <c r="M572" s="23"/>
      <c r="N572" s="24"/>
      <c r="O572" s="23"/>
      <c r="P572" s="23"/>
    </row>
    <row r="573" spans="1:16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4"/>
      <c r="L573" s="23"/>
      <c r="M573" s="23"/>
      <c r="N573" s="24"/>
      <c r="O573" s="23"/>
      <c r="P573" s="23"/>
    </row>
    <row r="574" spans="1:16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4"/>
      <c r="L574" s="23"/>
      <c r="M574" s="23"/>
      <c r="N574" s="24"/>
      <c r="O574" s="23"/>
      <c r="P574" s="23"/>
    </row>
    <row r="575" spans="1:16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4"/>
      <c r="L575" s="23"/>
      <c r="M575" s="23"/>
      <c r="N575" s="24"/>
      <c r="O575" s="23"/>
      <c r="P575" s="23"/>
    </row>
    <row r="576" spans="1:16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4"/>
      <c r="L576" s="23"/>
      <c r="M576" s="23"/>
      <c r="N576" s="24"/>
      <c r="O576" s="23"/>
      <c r="P576" s="23"/>
    </row>
    <row r="577" spans="1:16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4"/>
      <c r="L577" s="23"/>
      <c r="M577" s="23"/>
      <c r="N577" s="24"/>
      <c r="O577" s="23"/>
      <c r="P577" s="23"/>
    </row>
    <row r="578" spans="1:16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4"/>
      <c r="L578" s="23"/>
      <c r="M578" s="23"/>
      <c r="N578" s="24"/>
      <c r="O578" s="23"/>
      <c r="P578" s="23"/>
    </row>
    <row r="579" spans="1:16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4"/>
      <c r="L579" s="23"/>
      <c r="M579" s="23"/>
      <c r="N579" s="24"/>
      <c r="O579" s="23"/>
      <c r="P579" s="23"/>
    </row>
    <row r="580" spans="1:16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4"/>
      <c r="L580" s="23"/>
      <c r="M580" s="23"/>
      <c r="N580" s="24"/>
      <c r="O580" s="23"/>
      <c r="P580" s="23"/>
    </row>
    <row r="581" spans="1:16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4"/>
      <c r="L581" s="23"/>
      <c r="M581" s="23"/>
      <c r="N581" s="24"/>
      <c r="O581" s="23"/>
      <c r="P581" s="23"/>
    </row>
    <row r="582" spans="1:16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4"/>
      <c r="L582" s="23"/>
      <c r="M582" s="23"/>
      <c r="N582" s="24"/>
      <c r="O582" s="23"/>
      <c r="P582" s="23"/>
    </row>
    <row r="583" spans="1:16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4"/>
      <c r="L583" s="23"/>
      <c r="M583" s="23"/>
      <c r="N583" s="24"/>
      <c r="O583" s="23"/>
      <c r="P583" s="23"/>
    </row>
    <row r="584" spans="1:16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4"/>
      <c r="L584" s="23"/>
      <c r="M584" s="23"/>
      <c r="N584" s="24"/>
      <c r="O584" s="23"/>
      <c r="P584" s="23"/>
    </row>
    <row r="585" spans="1:16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4"/>
      <c r="L585" s="23"/>
      <c r="M585" s="23"/>
      <c r="N585" s="24"/>
      <c r="O585" s="23"/>
      <c r="P585" s="23"/>
    </row>
    <row r="586" spans="1:16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4"/>
      <c r="L586" s="23"/>
      <c r="M586" s="23"/>
      <c r="N586" s="24"/>
      <c r="O586" s="23"/>
      <c r="P586" s="23"/>
    </row>
    <row r="587" spans="1:16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4"/>
      <c r="L587" s="23"/>
      <c r="M587" s="23"/>
      <c r="N587" s="24"/>
      <c r="O587" s="23"/>
      <c r="P587" s="23"/>
    </row>
    <row r="588" spans="1:16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4"/>
      <c r="L588" s="23"/>
      <c r="M588" s="23"/>
      <c r="N588" s="24"/>
      <c r="O588" s="23"/>
      <c r="P588" s="23"/>
    </row>
    <row r="589" spans="1:16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4"/>
      <c r="L589" s="23"/>
      <c r="M589" s="23"/>
      <c r="N589" s="24"/>
      <c r="O589" s="23"/>
      <c r="P589" s="23"/>
    </row>
    <row r="590" spans="1:16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4"/>
      <c r="L590" s="23"/>
      <c r="M590" s="23"/>
      <c r="N590" s="24"/>
      <c r="O590" s="23"/>
      <c r="P590" s="23"/>
    </row>
    <row r="591" spans="1:16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4"/>
      <c r="L591" s="23"/>
      <c r="M591" s="23"/>
      <c r="N591" s="24"/>
      <c r="O591" s="23"/>
      <c r="P591" s="23"/>
    </row>
    <row r="592" spans="1:16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4"/>
      <c r="L592" s="23"/>
      <c r="M592" s="23"/>
      <c r="N592" s="24"/>
      <c r="O592" s="23"/>
      <c r="P592" s="23"/>
    </row>
    <row r="593" spans="1:16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4"/>
      <c r="L593" s="23"/>
      <c r="M593" s="23"/>
      <c r="N593" s="24"/>
      <c r="O593" s="23"/>
      <c r="P593" s="23"/>
    </row>
    <row r="594" spans="1:16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4"/>
      <c r="L594" s="23"/>
      <c r="M594" s="23"/>
      <c r="N594" s="24"/>
      <c r="O594" s="23"/>
      <c r="P594" s="23"/>
    </row>
    <row r="595" spans="1:16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4"/>
      <c r="L595" s="23"/>
      <c r="M595" s="23"/>
      <c r="N595" s="24"/>
      <c r="O595" s="23"/>
      <c r="P595" s="23"/>
    </row>
    <row r="596" spans="1:16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4"/>
      <c r="L596" s="23"/>
      <c r="M596" s="23"/>
      <c r="N596" s="24"/>
      <c r="O596" s="23"/>
      <c r="P596" s="23"/>
    </row>
    <row r="597" spans="1:16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4"/>
      <c r="L597" s="23"/>
      <c r="M597" s="23"/>
      <c r="N597" s="24"/>
      <c r="O597" s="23"/>
      <c r="P597" s="23"/>
    </row>
    <row r="598" spans="1:16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4"/>
      <c r="L598" s="23"/>
      <c r="M598" s="23"/>
      <c r="N598" s="24"/>
      <c r="O598" s="23"/>
      <c r="P598" s="23"/>
    </row>
    <row r="599" spans="1:16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4"/>
      <c r="L599" s="23"/>
      <c r="M599" s="23"/>
      <c r="N599" s="24"/>
      <c r="O599" s="23"/>
      <c r="P599" s="23"/>
    </row>
    <row r="600" spans="1:16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4"/>
      <c r="L600" s="23"/>
      <c r="M600" s="23"/>
      <c r="N600" s="24"/>
      <c r="O600" s="23"/>
      <c r="P600" s="23"/>
    </row>
    <row r="601" spans="1:16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4"/>
      <c r="L601" s="23"/>
      <c r="M601" s="23"/>
      <c r="N601" s="24"/>
      <c r="O601" s="23"/>
      <c r="P601" s="23"/>
    </row>
    <row r="602" spans="1:16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4"/>
      <c r="L602" s="23"/>
      <c r="M602" s="23"/>
      <c r="N602" s="24"/>
      <c r="O602" s="23"/>
      <c r="P602" s="23"/>
    </row>
    <row r="603" spans="1:16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4"/>
      <c r="L603" s="23"/>
      <c r="M603" s="23"/>
      <c r="N603" s="24"/>
      <c r="O603" s="23"/>
      <c r="P603" s="23"/>
    </row>
    <row r="604" spans="1:16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4"/>
      <c r="L604" s="23"/>
      <c r="M604" s="23"/>
      <c r="N604" s="24"/>
      <c r="O604" s="23"/>
      <c r="P604" s="23"/>
    </row>
    <row r="605" spans="1:16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4"/>
      <c r="L605" s="23"/>
      <c r="M605" s="23"/>
      <c r="N605" s="24"/>
      <c r="O605" s="23"/>
      <c r="P605" s="23"/>
    </row>
    <row r="606" spans="1:16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4"/>
      <c r="L606" s="23"/>
      <c r="M606" s="23"/>
      <c r="N606" s="24"/>
      <c r="O606" s="23"/>
      <c r="P606" s="23"/>
    </row>
    <row r="607" spans="1:16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4"/>
      <c r="L607" s="23"/>
      <c r="M607" s="23"/>
      <c r="N607" s="24"/>
      <c r="O607" s="23"/>
      <c r="P607" s="23"/>
    </row>
    <row r="608" spans="1:16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4"/>
      <c r="L608" s="23"/>
      <c r="M608" s="23"/>
      <c r="N608" s="24"/>
      <c r="O608" s="23"/>
      <c r="P608" s="23"/>
    </row>
    <row r="609" spans="1:16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4"/>
      <c r="L609" s="23"/>
      <c r="M609" s="23"/>
      <c r="N609" s="24"/>
      <c r="O609" s="23"/>
      <c r="P609" s="23"/>
    </row>
    <row r="610" spans="1:16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4"/>
      <c r="L610" s="23"/>
      <c r="M610" s="23"/>
      <c r="N610" s="24"/>
      <c r="O610" s="23"/>
      <c r="P610" s="23"/>
    </row>
    <row r="611" spans="1:16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4"/>
      <c r="L611" s="23"/>
      <c r="M611" s="23"/>
      <c r="N611" s="24"/>
      <c r="O611" s="23"/>
      <c r="P611" s="23"/>
    </row>
    <row r="612" spans="1:16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4"/>
      <c r="L612" s="23"/>
      <c r="M612" s="23"/>
      <c r="N612" s="24"/>
      <c r="O612" s="23"/>
      <c r="P612" s="23"/>
    </row>
    <row r="613" spans="1:16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4"/>
      <c r="L613" s="23"/>
      <c r="M613" s="23"/>
      <c r="N613" s="24"/>
      <c r="O613" s="23"/>
      <c r="P613" s="23"/>
    </row>
    <row r="614" spans="1:16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4"/>
      <c r="L614" s="23"/>
      <c r="M614" s="23"/>
      <c r="N614" s="24"/>
      <c r="O614" s="23"/>
      <c r="P614" s="23"/>
    </row>
    <row r="615" spans="1:16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4"/>
      <c r="L615" s="23"/>
      <c r="M615" s="23"/>
      <c r="N615" s="24"/>
      <c r="O615" s="23"/>
      <c r="P615" s="23"/>
    </row>
    <row r="616" spans="1:16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4"/>
      <c r="L616" s="23"/>
      <c r="M616" s="23"/>
      <c r="N616" s="24"/>
      <c r="O616" s="23"/>
      <c r="P616" s="23"/>
    </row>
    <row r="617" spans="1:16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4"/>
      <c r="L617" s="23"/>
      <c r="M617" s="23"/>
      <c r="N617" s="24"/>
      <c r="O617" s="23"/>
      <c r="P617" s="23"/>
    </row>
    <row r="618" spans="1:16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4"/>
      <c r="L618" s="23"/>
      <c r="M618" s="23"/>
      <c r="N618" s="24"/>
      <c r="O618" s="23"/>
      <c r="P618" s="23"/>
    </row>
    <row r="619" spans="1:16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4"/>
      <c r="L619" s="23"/>
      <c r="M619" s="23"/>
      <c r="N619" s="24"/>
      <c r="O619" s="23"/>
      <c r="P619" s="23"/>
    </row>
    <row r="620" spans="1:16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4"/>
      <c r="L620" s="23"/>
      <c r="M620" s="23"/>
      <c r="N620" s="24"/>
      <c r="O620" s="23"/>
      <c r="P620" s="23"/>
    </row>
    <row r="621" spans="1:16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4"/>
      <c r="L621" s="23"/>
      <c r="M621" s="23"/>
      <c r="N621" s="24"/>
      <c r="O621" s="23"/>
      <c r="P621" s="23"/>
    </row>
    <row r="622" spans="1:16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4"/>
      <c r="L622" s="23"/>
      <c r="M622" s="23"/>
      <c r="N622" s="24"/>
      <c r="O622" s="23"/>
      <c r="P622" s="23"/>
    </row>
    <row r="623" spans="1:16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4"/>
      <c r="L623" s="23"/>
      <c r="M623" s="23"/>
      <c r="N623" s="24"/>
      <c r="O623" s="23"/>
      <c r="P623" s="23"/>
    </row>
    <row r="624" spans="1:16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4"/>
      <c r="L624" s="23"/>
      <c r="M624" s="23"/>
      <c r="N624" s="24"/>
      <c r="O624" s="23"/>
      <c r="P624" s="23"/>
    </row>
    <row r="625" spans="1:16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4"/>
      <c r="L625" s="23"/>
      <c r="M625" s="23"/>
      <c r="N625" s="24"/>
      <c r="O625" s="23"/>
      <c r="P625" s="23"/>
    </row>
    <row r="626" spans="1:16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4"/>
      <c r="L626" s="23"/>
      <c r="M626" s="23"/>
      <c r="N626" s="24"/>
      <c r="O626" s="23"/>
      <c r="P626" s="23"/>
    </row>
    <row r="627" spans="1:16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4"/>
      <c r="L627" s="23"/>
      <c r="M627" s="23"/>
      <c r="N627" s="24"/>
      <c r="O627" s="23"/>
      <c r="P627" s="23"/>
    </row>
    <row r="628" spans="1:16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4"/>
      <c r="L628" s="23"/>
      <c r="M628" s="23"/>
      <c r="N628" s="24"/>
      <c r="O628" s="23"/>
      <c r="P628" s="23"/>
    </row>
    <row r="629" spans="1:16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4"/>
      <c r="L629" s="23"/>
      <c r="M629" s="23"/>
      <c r="N629" s="24"/>
      <c r="O629" s="23"/>
      <c r="P629" s="23"/>
    </row>
    <row r="630" spans="1:16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4"/>
      <c r="L630" s="23"/>
      <c r="M630" s="23"/>
      <c r="N630" s="24"/>
      <c r="O630" s="23"/>
      <c r="P630" s="23"/>
    </row>
    <row r="631" spans="1:16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4"/>
      <c r="L631" s="23"/>
      <c r="M631" s="23"/>
      <c r="N631" s="24"/>
      <c r="O631" s="23"/>
      <c r="P631" s="23"/>
    </row>
    <row r="632" spans="1:16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4"/>
      <c r="L632" s="23"/>
      <c r="M632" s="23"/>
      <c r="N632" s="24"/>
      <c r="O632" s="23"/>
      <c r="P632" s="23"/>
    </row>
    <row r="633" spans="1:16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4"/>
      <c r="L633" s="23"/>
      <c r="M633" s="23"/>
      <c r="N633" s="24"/>
      <c r="O633" s="23"/>
      <c r="P633" s="23"/>
    </row>
    <row r="634" spans="1:16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4"/>
      <c r="L634" s="23"/>
      <c r="M634" s="23"/>
      <c r="N634" s="24"/>
      <c r="O634" s="23"/>
      <c r="P634" s="23"/>
    </row>
    <row r="635" spans="1:16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4"/>
      <c r="L635" s="23"/>
      <c r="M635" s="23"/>
      <c r="N635" s="24"/>
      <c r="O635" s="23"/>
      <c r="P635" s="23"/>
    </row>
    <row r="636" spans="1:16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4"/>
      <c r="L636" s="23"/>
      <c r="M636" s="23"/>
      <c r="N636" s="24"/>
      <c r="O636" s="23"/>
      <c r="P636" s="23"/>
    </row>
    <row r="637" spans="1:16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4"/>
      <c r="L637" s="23"/>
      <c r="M637" s="23"/>
      <c r="N637" s="24"/>
      <c r="O637" s="23"/>
      <c r="P637" s="23"/>
    </row>
    <row r="638" spans="1:16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4"/>
      <c r="L638" s="23"/>
      <c r="M638" s="23"/>
      <c r="N638" s="24"/>
      <c r="O638" s="23"/>
      <c r="P638" s="23"/>
    </row>
    <row r="639" spans="1:16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4"/>
      <c r="L639" s="23"/>
      <c r="M639" s="23"/>
      <c r="N639" s="24"/>
      <c r="O639" s="23"/>
      <c r="P639" s="23"/>
    </row>
    <row r="640" spans="1:16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4"/>
      <c r="L640" s="23"/>
      <c r="M640" s="23"/>
      <c r="N640" s="24"/>
      <c r="O640" s="23"/>
      <c r="P640" s="23"/>
    </row>
    <row r="641" spans="1:16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4"/>
      <c r="L641" s="23"/>
      <c r="M641" s="23"/>
      <c r="N641" s="24"/>
      <c r="O641" s="23"/>
      <c r="P641" s="23"/>
    </row>
    <row r="642" spans="1:16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4"/>
      <c r="L642" s="23"/>
      <c r="M642" s="23"/>
      <c r="N642" s="24"/>
      <c r="O642" s="23"/>
      <c r="P642" s="23"/>
    </row>
    <row r="643" spans="1:16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4"/>
      <c r="L643" s="23"/>
      <c r="M643" s="23"/>
      <c r="N643" s="24"/>
      <c r="O643" s="23"/>
      <c r="P643" s="23"/>
    </row>
    <row r="644" spans="1:16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4"/>
      <c r="L644" s="23"/>
      <c r="M644" s="23"/>
      <c r="N644" s="24"/>
      <c r="O644" s="23"/>
      <c r="P644" s="23"/>
    </row>
    <row r="645" spans="1:16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4"/>
      <c r="L645" s="23"/>
      <c r="M645" s="23"/>
      <c r="N645" s="24"/>
      <c r="O645" s="23"/>
      <c r="P645" s="23"/>
    </row>
    <row r="646" spans="1:16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4"/>
      <c r="L646" s="23"/>
      <c r="M646" s="23"/>
      <c r="N646" s="24"/>
      <c r="O646" s="23"/>
      <c r="P646" s="23"/>
    </row>
    <row r="647" spans="1:16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4"/>
      <c r="L647" s="23"/>
      <c r="M647" s="23"/>
      <c r="N647" s="24"/>
      <c r="O647" s="23"/>
      <c r="P647" s="23"/>
    </row>
    <row r="648" spans="1:16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4"/>
      <c r="L648" s="23"/>
      <c r="M648" s="23"/>
      <c r="N648" s="24"/>
      <c r="O648" s="23"/>
      <c r="P648" s="23"/>
    </row>
    <row r="649" spans="1:16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4"/>
      <c r="L649" s="23"/>
      <c r="M649" s="23"/>
      <c r="N649" s="24"/>
      <c r="O649" s="23"/>
      <c r="P649" s="23"/>
    </row>
    <row r="650" spans="1:16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4"/>
      <c r="L650" s="23"/>
      <c r="M650" s="23"/>
      <c r="N650" s="24"/>
      <c r="O650" s="23"/>
      <c r="P650" s="23"/>
    </row>
    <row r="651" spans="1:16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4"/>
      <c r="L651" s="23"/>
      <c r="M651" s="23"/>
      <c r="N651" s="24"/>
      <c r="O651" s="23"/>
      <c r="P651" s="23"/>
    </row>
    <row r="652" spans="1:16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4"/>
      <c r="L652" s="23"/>
      <c r="M652" s="23"/>
      <c r="N652" s="24"/>
      <c r="O652" s="23"/>
      <c r="P652" s="23"/>
    </row>
    <row r="653" spans="1:16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4"/>
      <c r="L653" s="23"/>
      <c r="M653" s="23"/>
      <c r="N653" s="24"/>
      <c r="O653" s="23"/>
      <c r="P653" s="23"/>
    </row>
    <row r="654" spans="1:16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4"/>
      <c r="L654" s="23"/>
      <c r="M654" s="23"/>
      <c r="N654" s="24"/>
      <c r="O654" s="23"/>
      <c r="P654" s="23"/>
    </row>
    <row r="655" spans="1:16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4"/>
      <c r="L655" s="23"/>
      <c r="M655" s="23"/>
      <c r="N655" s="24"/>
      <c r="O655" s="23"/>
      <c r="P655" s="23"/>
    </row>
    <row r="656" spans="1:16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4"/>
      <c r="L656" s="23"/>
      <c r="M656" s="23"/>
      <c r="N656" s="24"/>
      <c r="O656" s="23"/>
      <c r="P656" s="23"/>
    </row>
    <row r="657" spans="1:16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4"/>
      <c r="L657" s="23"/>
      <c r="M657" s="23"/>
      <c r="N657" s="24"/>
      <c r="O657" s="23"/>
      <c r="P657" s="23"/>
    </row>
    <row r="658" spans="1:16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4"/>
      <c r="L658" s="23"/>
      <c r="M658" s="23"/>
      <c r="N658" s="24"/>
      <c r="O658" s="23"/>
      <c r="P658" s="23"/>
    </row>
    <row r="659" spans="1:16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4"/>
      <c r="L659" s="23"/>
      <c r="M659" s="23"/>
      <c r="N659" s="24"/>
      <c r="O659" s="23"/>
      <c r="P659" s="23"/>
    </row>
    <row r="660" spans="1:16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4"/>
      <c r="L660" s="23"/>
      <c r="M660" s="23"/>
      <c r="N660" s="24"/>
      <c r="O660" s="23"/>
      <c r="P660" s="23"/>
    </row>
    <row r="661" spans="1:16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4"/>
      <c r="L661" s="23"/>
      <c r="M661" s="23"/>
      <c r="N661" s="24"/>
      <c r="O661" s="23"/>
      <c r="P661" s="23"/>
    </row>
    <row r="662" spans="1:16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4"/>
      <c r="L662" s="23"/>
      <c r="M662" s="23"/>
      <c r="N662" s="24"/>
      <c r="O662" s="23"/>
      <c r="P662" s="23"/>
    </row>
    <row r="663" spans="1:16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4"/>
      <c r="L663" s="23"/>
      <c r="M663" s="23"/>
      <c r="N663" s="24"/>
      <c r="O663" s="23"/>
      <c r="P663" s="23"/>
    </row>
    <row r="664" spans="1:16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4"/>
      <c r="L664" s="23"/>
      <c r="M664" s="23"/>
      <c r="N664" s="24"/>
      <c r="O664" s="23"/>
      <c r="P664" s="23"/>
    </row>
    <row r="665" spans="1:16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4"/>
      <c r="L665" s="23"/>
      <c r="M665" s="23"/>
      <c r="N665" s="24"/>
      <c r="O665" s="23"/>
      <c r="P665" s="23"/>
    </row>
    <row r="666" spans="1:16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4"/>
      <c r="L666" s="23"/>
      <c r="M666" s="23"/>
      <c r="N666" s="24"/>
      <c r="O666" s="23"/>
      <c r="P666" s="23"/>
    </row>
    <row r="667" spans="1:16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4"/>
      <c r="L667" s="23"/>
      <c r="M667" s="23"/>
      <c r="N667" s="24"/>
      <c r="O667" s="23"/>
      <c r="P667" s="23"/>
    </row>
    <row r="668" spans="1:16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4"/>
      <c r="L668" s="23"/>
      <c r="M668" s="23"/>
      <c r="N668" s="24"/>
      <c r="O668" s="23"/>
      <c r="P668" s="23"/>
    </row>
    <row r="669" spans="1:16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4"/>
      <c r="L669" s="23"/>
      <c r="M669" s="23"/>
      <c r="N669" s="24"/>
      <c r="O669" s="23"/>
      <c r="P669" s="23"/>
    </row>
    <row r="670" spans="1:16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4"/>
      <c r="L670" s="23"/>
      <c r="M670" s="23"/>
      <c r="N670" s="24"/>
      <c r="O670" s="23"/>
      <c r="P670" s="23"/>
    </row>
    <row r="671" spans="1:16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4"/>
      <c r="L671" s="23"/>
      <c r="M671" s="23"/>
      <c r="N671" s="24"/>
      <c r="O671" s="23"/>
      <c r="P671" s="23"/>
    </row>
    <row r="672" spans="1:16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4"/>
      <c r="L672" s="23"/>
      <c r="M672" s="23"/>
      <c r="N672" s="24"/>
      <c r="O672" s="23"/>
      <c r="P672" s="23"/>
    </row>
    <row r="673" spans="1:16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4"/>
      <c r="L673" s="23"/>
      <c r="M673" s="23"/>
      <c r="N673" s="24"/>
      <c r="O673" s="23"/>
      <c r="P673" s="23"/>
    </row>
    <row r="674" spans="1:16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4"/>
      <c r="L674" s="23"/>
      <c r="M674" s="23"/>
      <c r="N674" s="24"/>
      <c r="O674" s="23"/>
      <c r="P674" s="23"/>
    </row>
    <row r="675" spans="1:16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4"/>
      <c r="L675" s="23"/>
      <c r="M675" s="23"/>
      <c r="N675" s="24"/>
      <c r="O675" s="23"/>
      <c r="P675" s="23"/>
    </row>
    <row r="676" spans="1:16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4"/>
      <c r="L676" s="23"/>
      <c r="M676" s="23"/>
      <c r="N676" s="24"/>
      <c r="O676" s="23"/>
      <c r="P676" s="23"/>
    </row>
    <row r="677" spans="1:16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4"/>
      <c r="L677" s="23"/>
      <c r="M677" s="23"/>
      <c r="N677" s="24"/>
      <c r="O677" s="23"/>
      <c r="P677" s="23"/>
    </row>
    <row r="678" spans="1:16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4"/>
      <c r="L678" s="23"/>
      <c r="M678" s="23"/>
      <c r="N678" s="24"/>
      <c r="O678" s="23"/>
      <c r="P678" s="23"/>
    </row>
    <row r="679" spans="1:16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4"/>
      <c r="L679" s="23"/>
      <c r="M679" s="23"/>
      <c r="N679" s="24"/>
      <c r="O679" s="23"/>
      <c r="P679" s="23"/>
    </row>
    <row r="680" spans="1:16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4"/>
      <c r="L680" s="23"/>
      <c r="M680" s="23"/>
      <c r="N680" s="24"/>
      <c r="O680" s="23"/>
      <c r="P680" s="23"/>
    </row>
    <row r="681" spans="1:16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4"/>
      <c r="L681" s="23"/>
      <c r="M681" s="23"/>
      <c r="N681" s="24"/>
      <c r="O681" s="23"/>
      <c r="P681" s="23"/>
    </row>
    <row r="682" spans="1:16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4"/>
      <c r="L682" s="23"/>
      <c r="M682" s="23"/>
      <c r="N682" s="24"/>
      <c r="O682" s="23"/>
      <c r="P682" s="23"/>
    </row>
    <row r="683" spans="1:16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4"/>
      <c r="L683" s="23"/>
      <c r="M683" s="23"/>
      <c r="N683" s="24"/>
      <c r="O683" s="23"/>
      <c r="P683" s="23"/>
    </row>
    <row r="684" spans="1:16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4"/>
      <c r="L684" s="23"/>
      <c r="M684" s="23"/>
      <c r="N684" s="24"/>
      <c r="O684" s="23"/>
      <c r="P684" s="23"/>
    </row>
    <row r="685" spans="1:16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4"/>
      <c r="L685" s="23"/>
      <c r="M685" s="23"/>
      <c r="N685" s="24"/>
      <c r="O685" s="23"/>
      <c r="P685" s="23"/>
    </row>
    <row r="686" spans="1:16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4"/>
      <c r="L686" s="23"/>
      <c r="M686" s="23"/>
      <c r="N686" s="24"/>
      <c r="O686" s="23"/>
      <c r="P686" s="23"/>
    </row>
    <row r="687" spans="1:16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4"/>
      <c r="L687" s="23"/>
      <c r="M687" s="23"/>
      <c r="N687" s="24"/>
      <c r="O687" s="23"/>
      <c r="P687" s="23"/>
    </row>
    <row r="688" spans="1:16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4"/>
      <c r="L688" s="23"/>
      <c r="M688" s="23"/>
      <c r="N688" s="24"/>
      <c r="O688" s="23"/>
      <c r="P688" s="23"/>
    </row>
    <row r="689" spans="1:16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4"/>
      <c r="L689" s="23"/>
      <c r="M689" s="23"/>
      <c r="N689" s="24"/>
      <c r="O689" s="23"/>
      <c r="P689" s="23"/>
    </row>
    <row r="690" spans="1:16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4"/>
      <c r="L690" s="23"/>
      <c r="M690" s="23"/>
      <c r="N690" s="24"/>
      <c r="O690" s="23"/>
      <c r="P690" s="23"/>
    </row>
    <row r="691" spans="1:16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4"/>
      <c r="L691" s="23"/>
      <c r="M691" s="23"/>
      <c r="N691" s="24"/>
      <c r="O691" s="23"/>
      <c r="P691" s="23"/>
    </row>
    <row r="692" spans="1:16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4"/>
      <c r="L692" s="23"/>
      <c r="M692" s="23"/>
      <c r="N692" s="24"/>
      <c r="O692" s="23"/>
      <c r="P692" s="23"/>
    </row>
    <row r="693" spans="1:16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4"/>
      <c r="L693" s="23"/>
      <c r="M693" s="23"/>
      <c r="N693" s="24"/>
      <c r="O693" s="23"/>
      <c r="P693" s="23"/>
    </row>
    <row r="694" spans="1:16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4"/>
      <c r="L694" s="23"/>
      <c r="M694" s="23"/>
      <c r="N694" s="24"/>
      <c r="O694" s="23"/>
      <c r="P694" s="23"/>
    </row>
    <row r="695" spans="1:16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4"/>
      <c r="L695" s="23"/>
      <c r="M695" s="23"/>
      <c r="N695" s="24"/>
      <c r="O695" s="23"/>
      <c r="P695" s="23"/>
    </row>
    <row r="696" spans="1:16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4"/>
      <c r="L696" s="23"/>
      <c r="M696" s="23"/>
      <c r="N696" s="24"/>
      <c r="O696" s="23"/>
      <c r="P696" s="23"/>
    </row>
    <row r="697" spans="1:16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4"/>
      <c r="L697" s="23"/>
      <c r="M697" s="23"/>
      <c r="N697" s="24"/>
      <c r="O697" s="23"/>
      <c r="P697" s="23"/>
    </row>
    <row r="698" spans="1:16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4"/>
      <c r="L698" s="23"/>
      <c r="M698" s="23"/>
      <c r="N698" s="24"/>
      <c r="O698" s="23"/>
      <c r="P698" s="23"/>
    </row>
    <row r="699" spans="1:16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4"/>
      <c r="L699" s="23"/>
      <c r="M699" s="23"/>
      <c r="N699" s="24"/>
      <c r="O699" s="23"/>
      <c r="P699" s="23"/>
    </row>
    <row r="700" spans="1:16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4"/>
      <c r="L700" s="23"/>
      <c r="M700" s="23"/>
      <c r="N700" s="24"/>
      <c r="O700" s="23"/>
      <c r="P700" s="23"/>
    </row>
    <row r="701" spans="1:16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4"/>
      <c r="L701" s="23"/>
      <c r="M701" s="23"/>
      <c r="N701" s="24"/>
      <c r="O701" s="23"/>
      <c r="P701" s="23"/>
    </row>
    <row r="702" spans="1:16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4"/>
      <c r="L702" s="23"/>
      <c r="M702" s="23"/>
      <c r="N702" s="24"/>
      <c r="O702" s="23"/>
      <c r="P702" s="23"/>
    </row>
    <row r="703" spans="1:16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4"/>
      <c r="L703" s="23"/>
      <c r="M703" s="23"/>
      <c r="N703" s="24"/>
      <c r="O703" s="23"/>
      <c r="P703" s="23"/>
    </row>
    <row r="704" spans="1:16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4"/>
      <c r="L704" s="23"/>
      <c r="M704" s="23"/>
      <c r="N704" s="24"/>
      <c r="O704" s="23"/>
      <c r="P704" s="23"/>
    </row>
    <row r="705" spans="1:16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4"/>
      <c r="L705" s="23"/>
      <c r="M705" s="23"/>
      <c r="N705" s="24"/>
      <c r="O705" s="23"/>
      <c r="P705" s="23"/>
    </row>
    <row r="706" spans="1:16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4"/>
      <c r="L706" s="23"/>
      <c r="M706" s="23"/>
      <c r="N706" s="24"/>
      <c r="O706" s="23"/>
      <c r="P706" s="23"/>
    </row>
    <row r="707" spans="1:16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4"/>
      <c r="L707" s="23"/>
      <c r="M707" s="23"/>
      <c r="N707" s="24"/>
      <c r="O707" s="23"/>
      <c r="P707" s="23"/>
    </row>
    <row r="708" spans="1:16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4"/>
      <c r="L708" s="23"/>
      <c r="M708" s="23"/>
      <c r="N708" s="24"/>
      <c r="O708" s="23"/>
      <c r="P708" s="23"/>
    </row>
    <row r="709" spans="1:16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4"/>
      <c r="L709" s="23"/>
      <c r="M709" s="23"/>
      <c r="N709" s="24"/>
      <c r="O709" s="23"/>
      <c r="P709" s="23"/>
    </row>
    <row r="710" spans="1:16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4"/>
      <c r="L710" s="23"/>
      <c r="M710" s="23"/>
      <c r="N710" s="24"/>
      <c r="O710" s="23"/>
      <c r="P710" s="23"/>
    </row>
    <row r="711" spans="1:16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4"/>
      <c r="L711" s="23"/>
      <c r="M711" s="23"/>
      <c r="N711" s="24"/>
      <c r="O711" s="23"/>
      <c r="P711" s="23"/>
    </row>
    <row r="712" spans="1:16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4"/>
      <c r="L712" s="23"/>
      <c r="M712" s="23"/>
      <c r="N712" s="24"/>
      <c r="O712" s="23"/>
      <c r="P712" s="23"/>
    </row>
    <row r="713" spans="1:16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4"/>
      <c r="L713" s="23"/>
      <c r="M713" s="23"/>
      <c r="N713" s="24"/>
      <c r="O713" s="23"/>
      <c r="P713" s="23"/>
    </row>
    <row r="714" spans="1:16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4"/>
      <c r="L714" s="23"/>
      <c r="M714" s="23"/>
      <c r="N714" s="24"/>
      <c r="O714" s="23"/>
      <c r="P714" s="23"/>
    </row>
    <row r="715" spans="1:16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4"/>
      <c r="L715" s="23"/>
      <c r="M715" s="23"/>
      <c r="N715" s="24"/>
      <c r="O715" s="23"/>
      <c r="P715" s="23"/>
    </row>
    <row r="716" spans="1:16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4"/>
      <c r="L716" s="23"/>
      <c r="M716" s="23"/>
      <c r="N716" s="24"/>
      <c r="O716" s="23"/>
      <c r="P716" s="23"/>
    </row>
    <row r="717" spans="1:16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4"/>
      <c r="L717" s="23"/>
      <c r="M717" s="23"/>
      <c r="N717" s="24"/>
      <c r="O717" s="23"/>
      <c r="P717" s="23"/>
    </row>
    <row r="718" spans="1:16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4"/>
      <c r="L718" s="23"/>
      <c r="M718" s="23"/>
      <c r="N718" s="24"/>
      <c r="O718" s="23"/>
      <c r="P718" s="23"/>
    </row>
    <row r="719" spans="1:16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4"/>
      <c r="L719" s="23"/>
      <c r="M719" s="23"/>
      <c r="N719" s="24"/>
      <c r="O719" s="23"/>
      <c r="P719" s="23"/>
    </row>
    <row r="720" spans="1:16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4"/>
      <c r="L720" s="23"/>
      <c r="M720" s="23"/>
      <c r="N720" s="24"/>
      <c r="O720" s="23"/>
      <c r="P720" s="23"/>
    </row>
    <row r="721" spans="1:16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4"/>
      <c r="L721" s="23"/>
      <c r="M721" s="23"/>
      <c r="N721" s="24"/>
      <c r="O721" s="23"/>
      <c r="P721" s="23"/>
    </row>
    <row r="722" spans="1:16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4"/>
      <c r="L722" s="23"/>
      <c r="M722" s="23"/>
      <c r="N722" s="24"/>
      <c r="O722" s="23"/>
      <c r="P722" s="23"/>
    </row>
    <row r="723" spans="1:16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4"/>
      <c r="L723" s="23"/>
      <c r="M723" s="23"/>
      <c r="N723" s="24"/>
      <c r="O723" s="23"/>
      <c r="P723" s="23"/>
    </row>
    <row r="724" spans="1:16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4"/>
      <c r="L724" s="23"/>
      <c r="M724" s="23"/>
      <c r="N724" s="24"/>
      <c r="O724" s="23"/>
      <c r="P724" s="23"/>
    </row>
    <row r="725" spans="1:16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4"/>
      <c r="L725" s="23"/>
      <c r="M725" s="23"/>
      <c r="N725" s="24"/>
      <c r="O725" s="23"/>
      <c r="P725" s="23"/>
    </row>
    <row r="726" spans="1:16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4"/>
      <c r="L726" s="23"/>
      <c r="M726" s="23"/>
      <c r="N726" s="24"/>
      <c r="O726" s="23"/>
      <c r="P726" s="23"/>
    </row>
    <row r="727" spans="1:16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4"/>
      <c r="L727" s="23"/>
      <c r="M727" s="23"/>
      <c r="N727" s="24"/>
      <c r="O727" s="23"/>
      <c r="P727" s="23"/>
    </row>
    <row r="728" spans="1:16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4"/>
      <c r="L728" s="23"/>
      <c r="M728" s="23"/>
      <c r="N728" s="24"/>
      <c r="O728" s="23"/>
      <c r="P728" s="23"/>
    </row>
    <row r="729" spans="1:16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4"/>
      <c r="L729" s="23"/>
      <c r="M729" s="23"/>
      <c r="N729" s="24"/>
      <c r="O729" s="23"/>
      <c r="P729" s="23"/>
    </row>
    <row r="730" spans="1:16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4"/>
      <c r="L730" s="23"/>
      <c r="M730" s="23"/>
      <c r="N730" s="24"/>
      <c r="O730" s="23"/>
      <c r="P730" s="23"/>
    </row>
    <row r="731" spans="1:16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4"/>
      <c r="L731" s="23"/>
      <c r="M731" s="23"/>
      <c r="N731" s="24"/>
      <c r="O731" s="23"/>
      <c r="P731" s="23"/>
    </row>
    <row r="732" spans="1:16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4"/>
      <c r="L732" s="23"/>
      <c r="M732" s="23"/>
      <c r="N732" s="24"/>
      <c r="O732" s="23"/>
      <c r="P732" s="23"/>
    </row>
    <row r="733" spans="1:16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4"/>
      <c r="L733" s="23"/>
      <c r="M733" s="23"/>
      <c r="N733" s="24"/>
      <c r="O733" s="23"/>
      <c r="P733" s="23"/>
    </row>
    <row r="734" spans="1:16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4"/>
      <c r="L734" s="23"/>
      <c r="M734" s="23"/>
      <c r="N734" s="24"/>
      <c r="O734" s="23"/>
      <c r="P734" s="23"/>
    </row>
    <row r="735" spans="1:16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4"/>
      <c r="L735" s="23"/>
      <c r="M735" s="23"/>
      <c r="N735" s="24"/>
      <c r="O735" s="23"/>
      <c r="P735" s="23"/>
    </row>
    <row r="736" spans="1:16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4"/>
      <c r="L736" s="23"/>
      <c r="M736" s="23"/>
      <c r="N736" s="24"/>
      <c r="O736" s="23"/>
      <c r="P736" s="23"/>
    </row>
    <row r="737" spans="1:16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4"/>
      <c r="L737" s="23"/>
      <c r="M737" s="23"/>
      <c r="N737" s="24"/>
      <c r="O737" s="23"/>
      <c r="P737" s="23"/>
    </row>
    <row r="738" spans="1:16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4"/>
      <c r="L738" s="23"/>
      <c r="M738" s="23"/>
      <c r="N738" s="24"/>
      <c r="O738" s="23"/>
      <c r="P738" s="23"/>
    </row>
    <row r="739" spans="1:16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4"/>
      <c r="L739" s="23"/>
      <c r="M739" s="23"/>
      <c r="N739" s="24"/>
      <c r="O739" s="23"/>
      <c r="P739" s="23"/>
    </row>
    <row r="740" spans="1:16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4"/>
      <c r="L740" s="23"/>
      <c r="M740" s="23"/>
      <c r="N740" s="24"/>
      <c r="O740" s="23"/>
      <c r="P740" s="23"/>
    </row>
    <row r="741" spans="1:16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4"/>
      <c r="L741" s="23"/>
      <c r="M741" s="23"/>
      <c r="N741" s="24"/>
      <c r="O741" s="23"/>
      <c r="P741" s="23"/>
    </row>
    <row r="742" spans="1:16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4"/>
      <c r="L742" s="23"/>
      <c r="M742" s="23"/>
      <c r="N742" s="24"/>
      <c r="O742" s="23"/>
      <c r="P742" s="23"/>
    </row>
    <row r="743" spans="1:16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4"/>
      <c r="L743" s="23"/>
      <c r="M743" s="23"/>
      <c r="N743" s="24"/>
      <c r="O743" s="23"/>
      <c r="P743" s="23"/>
    </row>
    <row r="744" spans="1:16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4"/>
      <c r="L744" s="23"/>
      <c r="M744" s="23"/>
      <c r="N744" s="24"/>
      <c r="O744" s="23"/>
      <c r="P744" s="23"/>
    </row>
    <row r="745" spans="1:16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4"/>
      <c r="L745" s="23"/>
      <c r="M745" s="23"/>
      <c r="N745" s="24"/>
      <c r="O745" s="23"/>
      <c r="P745" s="23"/>
    </row>
    <row r="746" spans="1:16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4"/>
      <c r="L746" s="23"/>
      <c r="M746" s="23"/>
      <c r="N746" s="24"/>
      <c r="O746" s="23"/>
      <c r="P746" s="23"/>
    </row>
    <row r="747" spans="1:16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4"/>
      <c r="L747" s="23"/>
      <c r="M747" s="23"/>
      <c r="N747" s="24"/>
      <c r="O747" s="23"/>
      <c r="P747" s="23"/>
    </row>
    <row r="748" spans="1:16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4"/>
      <c r="L748" s="23"/>
      <c r="M748" s="23"/>
      <c r="N748" s="24"/>
      <c r="O748" s="23"/>
      <c r="P748" s="23"/>
    </row>
    <row r="749" spans="1:16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4"/>
      <c r="L749" s="23"/>
      <c r="M749" s="23"/>
      <c r="N749" s="24"/>
      <c r="O749" s="23"/>
      <c r="P749" s="23"/>
    </row>
    <row r="750" spans="1:16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4"/>
      <c r="L750" s="23"/>
      <c r="M750" s="23"/>
      <c r="N750" s="24"/>
      <c r="O750" s="23"/>
      <c r="P750" s="23"/>
    </row>
    <row r="751" spans="1:16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4"/>
      <c r="L751" s="23"/>
      <c r="M751" s="23"/>
      <c r="N751" s="24"/>
      <c r="O751" s="23"/>
      <c r="P751" s="23"/>
    </row>
    <row r="752" spans="1:16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4"/>
      <c r="L752" s="23"/>
      <c r="M752" s="23"/>
      <c r="N752" s="24"/>
      <c r="O752" s="23"/>
      <c r="P752" s="23"/>
    </row>
    <row r="753" spans="1:16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4"/>
      <c r="L753" s="23"/>
      <c r="M753" s="23"/>
      <c r="N753" s="24"/>
      <c r="O753" s="23"/>
      <c r="P753" s="23"/>
    </row>
    <row r="754" spans="1:16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4"/>
      <c r="L754" s="23"/>
      <c r="M754" s="23"/>
      <c r="N754" s="24"/>
      <c r="O754" s="23"/>
      <c r="P754" s="23"/>
    </row>
    <row r="755" spans="1:16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4"/>
      <c r="L755" s="23"/>
      <c r="M755" s="23"/>
      <c r="N755" s="24"/>
      <c r="O755" s="23"/>
      <c r="P755" s="23"/>
    </row>
    <row r="756" spans="1:16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4"/>
      <c r="L756" s="23"/>
      <c r="M756" s="23"/>
      <c r="N756" s="24"/>
      <c r="O756" s="23"/>
      <c r="P756" s="23"/>
    </row>
    <row r="757" spans="1:16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4"/>
      <c r="L757" s="23"/>
      <c r="M757" s="23"/>
      <c r="N757" s="24"/>
      <c r="O757" s="23"/>
      <c r="P757" s="23"/>
    </row>
    <row r="758" spans="1:16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4"/>
      <c r="L758" s="23"/>
      <c r="M758" s="23"/>
      <c r="N758" s="24"/>
      <c r="O758" s="23"/>
      <c r="P758" s="23"/>
    </row>
    <row r="759" spans="1:16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4"/>
      <c r="L759" s="23"/>
      <c r="M759" s="23"/>
      <c r="N759" s="24"/>
      <c r="O759" s="23"/>
      <c r="P759" s="23"/>
    </row>
    <row r="760" spans="1:16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4"/>
      <c r="L760" s="23"/>
      <c r="M760" s="23"/>
      <c r="N760" s="24"/>
      <c r="O760" s="23"/>
      <c r="P760" s="23"/>
    </row>
    <row r="761" spans="1:16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4"/>
      <c r="L761" s="23"/>
      <c r="M761" s="23"/>
      <c r="N761" s="24"/>
      <c r="O761" s="23"/>
      <c r="P761" s="23"/>
    </row>
    <row r="762" spans="1:16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4"/>
      <c r="L762" s="23"/>
      <c r="M762" s="23"/>
      <c r="N762" s="24"/>
      <c r="O762" s="23"/>
      <c r="P762" s="23"/>
    </row>
    <row r="763" spans="1:16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4"/>
      <c r="L763" s="23"/>
      <c r="M763" s="23"/>
      <c r="N763" s="24"/>
      <c r="O763" s="23"/>
      <c r="P763" s="23"/>
    </row>
    <row r="764" spans="1:16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4"/>
      <c r="L764" s="23"/>
      <c r="M764" s="23"/>
      <c r="N764" s="24"/>
      <c r="O764" s="23"/>
      <c r="P764" s="23"/>
    </row>
    <row r="765" spans="1:16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4"/>
      <c r="L765" s="23"/>
      <c r="M765" s="23"/>
      <c r="N765" s="24"/>
      <c r="O765" s="23"/>
      <c r="P765" s="23"/>
    </row>
    <row r="766" spans="1:16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4"/>
      <c r="L766" s="23"/>
      <c r="M766" s="23"/>
      <c r="N766" s="24"/>
      <c r="O766" s="23"/>
      <c r="P766" s="23"/>
    </row>
    <row r="767" spans="1:16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4"/>
      <c r="L767" s="23"/>
      <c r="M767" s="23"/>
      <c r="N767" s="24"/>
      <c r="O767" s="23"/>
      <c r="P767" s="23"/>
    </row>
    <row r="768" spans="1:16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4"/>
      <c r="L768" s="23"/>
      <c r="M768" s="23"/>
      <c r="N768" s="24"/>
      <c r="O768" s="23"/>
      <c r="P768" s="23"/>
    </row>
    <row r="769" spans="1:16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4"/>
      <c r="L769" s="23"/>
      <c r="M769" s="23"/>
      <c r="N769" s="24"/>
      <c r="O769" s="23"/>
      <c r="P769" s="23"/>
    </row>
    <row r="770" spans="1:16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4"/>
      <c r="L770" s="23"/>
      <c r="M770" s="23"/>
      <c r="N770" s="24"/>
      <c r="O770" s="23"/>
      <c r="P770" s="23"/>
    </row>
    <row r="771" spans="1:16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4"/>
      <c r="L771" s="23"/>
      <c r="M771" s="23"/>
      <c r="N771" s="24"/>
      <c r="O771" s="23"/>
      <c r="P771" s="23"/>
    </row>
    <row r="772" spans="1:16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4"/>
      <c r="L772" s="23"/>
      <c r="M772" s="23"/>
      <c r="N772" s="24"/>
      <c r="O772" s="23"/>
      <c r="P772" s="23"/>
    </row>
    <row r="773" spans="1:16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4"/>
      <c r="L773" s="23"/>
      <c r="M773" s="23"/>
      <c r="N773" s="24"/>
      <c r="O773" s="23"/>
      <c r="P773" s="23"/>
    </row>
    <row r="774" spans="1:16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4"/>
      <c r="L774" s="23"/>
      <c r="M774" s="23"/>
      <c r="N774" s="24"/>
      <c r="O774" s="23"/>
      <c r="P774" s="23"/>
    </row>
    <row r="775" spans="1:16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4"/>
      <c r="L775" s="23"/>
      <c r="M775" s="23"/>
      <c r="N775" s="24"/>
      <c r="O775" s="23"/>
      <c r="P775" s="23"/>
    </row>
    <row r="776" spans="1:16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4"/>
      <c r="L776" s="23"/>
      <c r="M776" s="23"/>
      <c r="N776" s="24"/>
      <c r="O776" s="23"/>
      <c r="P776" s="23"/>
    </row>
    <row r="777" spans="1:16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4"/>
      <c r="L777" s="23"/>
      <c r="M777" s="23"/>
      <c r="N777" s="24"/>
      <c r="O777" s="23"/>
      <c r="P777" s="23"/>
    </row>
    <row r="778" spans="1:16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4"/>
      <c r="L778" s="23"/>
      <c r="M778" s="23"/>
      <c r="N778" s="24"/>
      <c r="O778" s="23"/>
      <c r="P778" s="23"/>
    </row>
    <row r="779" spans="1:16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4"/>
      <c r="L779" s="23"/>
      <c r="M779" s="23"/>
      <c r="N779" s="24"/>
      <c r="O779" s="23"/>
      <c r="P779" s="23"/>
    </row>
    <row r="780" spans="1:16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4"/>
      <c r="L780" s="23"/>
      <c r="M780" s="23"/>
      <c r="N780" s="24"/>
      <c r="O780" s="23"/>
      <c r="P780" s="23"/>
    </row>
    <row r="781" spans="1:16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4"/>
      <c r="L781" s="23"/>
      <c r="M781" s="23"/>
      <c r="N781" s="24"/>
      <c r="O781" s="23"/>
      <c r="P781" s="23"/>
    </row>
    <row r="782" spans="1:16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4"/>
      <c r="L782" s="23"/>
      <c r="M782" s="23"/>
      <c r="N782" s="24"/>
      <c r="O782" s="23"/>
      <c r="P782" s="23"/>
    </row>
    <row r="783" spans="1:16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4"/>
      <c r="L783" s="23"/>
      <c r="M783" s="23"/>
      <c r="N783" s="24"/>
      <c r="O783" s="23"/>
      <c r="P783" s="23"/>
    </row>
    <row r="784" spans="1:16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4"/>
      <c r="L784" s="23"/>
      <c r="M784" s="23"/>
      <c r="N784" s="24"/>
      <c r="O784" s="23"/>
      <c r="P784" s="23"/>
    </row>
    <row r="785" spans="1:16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4"/>
      <c r="L785" s="23"/>
      <c r="M785" s="23"/>
      <c r="N785" s="24"/>
      <c r="O785" s="23"/>
      <c r="P785" s="23"/>
    </row>
    <row r="786" spans="1:16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4"/>
      <c r="L786" s="23"/>
      <c r="M786" s="23"/>
      <c r="N786" s="24"/>
      <c r="O786" s="23"/>
      <c r="P786" s="23"/>
    </row>
    <row r="787" spans="1:16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4"/>
      <c r="L787" s="23"/>
      <c r="M787" s="23"/>
      <c r="N787" s="24"/>
      <c r="O787" s="23"/>
      <c r="P787" s="23"/>
    </row>
    <row r="788" spans="1:16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4"/>
      <c r="L788" s="23"/>
      <c r="M788" s="23"/>
      <c r="N788" s="24"/>
      <c r="O788" s="23"/>
      <c r="P788" s="23"/>
    </row>
    <row r="789" spans="1:16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4"/>
      <c r="L789" s="23"/>
      <c r="M789" s="23"/>
      <c r="N789" s="24"/>
      <c r="O789" s="23"/>
      <c r="P789" s="23"/>
    </row>
    <row r="790" spans="1:16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4"/>
      <c r="L790" s="23"/>
      <c r="M790" s="23"/>
      <c r="N790" s="24"/>
      <c r="O790" s="23"/>
      <c r="P790" s="23"/>
    </row>
    <row r="791" spans="1:16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4"/>
      <c r="L791" s="23"/>
      <c r="M791" s="23"/>
      <c r="N791" s="24"/>
      <c r="O791" s="23"/>
      <c r="P791" s="23"/>
    </row>
    <row r="792" spans="1:16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4"/>
      <c r="L792" s="23"/>
      <c r="M792" s="23"/>
      <c r="N792" s="24"/>
      <c r="O792" s="23"/>
      <c r="P792" s="23"/>
    </row>
    <row r="793" spans="1:16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4"/>
      <c r="L793" s="23"/>
      <c r="M793" s="23"/>
      <c r="N793" s="24"/>
      <c r="O793" s="23"/>
      <c r="P793" s="23"/>
    </row>
    <row r="794" spans="1:16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4"/>
      <c r="L794" s="23"/>
      <c r="M794" s="23"/>
      <c r="N794" s="24"/>
      <c r="O794" s="23"/>
      <c r="P794" s="23"/>
    </row>
    <row r="795" spans="1:16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4"/>
      <c r="L795" s="23"/>
      <c r="M795" s="23"/>
      <c r="N795" s="24"/>
      <c r="O795" s="23"/>
      <c r="P795" s="23"/>
    </row>
    <row r="796" spans="1:16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4"/>
      <c r="L796" s="23"/>
      <c r="M796" s="23"/>
      <c r="N796" s="24"/>
      <c r="O796" s="23"/>
      <c r="P796" s="23"/>
    </row>
    <row r="797" spans="1:16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4"/>
      <c r="L797" s="23"/>
      <c r="M797" s="23"/>
      <c r="N797" s="24"/>
      <c r="O797" s="23"/>
      <c r="P797" s="23"/>
    </row>
    <row r="798" spans="1:16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4"/>
      <c r="L798" s="23"/>
      <c r="M798" s="23"/>
      <c r="N798" s="24"/>
      <c r="O798" s="23"/>
      <c r="P798" s="23"/>
    </row>
    <row r="799" spans="1:16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4"/>
      <c r="L799" s="23"/>
      <c r="M799" s="23"/>
      <c r="N799" s="24"/>
      <c r="O799" s="23"/>
      <c r="P799" s="23"/>
    </row>
    <row r="800" spans="1:16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4"/>
      <c r="L800" s="23"/>
      <c r="M800" s="23"/>
      <c r="N800" s="24"/>
      <c r="O800" s="23"/>
      <c r="P800" s="23"/>
    </row>
    <row r="801" spans="1:16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4"/>
      <c r="L801" s="23"/>
      <c r="M801" s="23"/>
      <c r="N801" s="24"/>
      <c r="O801" s="23"/>
      <c r="P801" s="23"/>
    </row>
    <row r="802" spans="1:16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4"/>
      <c r="L802" s="23"/>
      <c r="M802" s="23"/>
      <c r="N802" s="24"/>
      <c r="O802" s="23"/>
      <c r="P802" s="23"/>
    </row>
    <row r="803" spans="1:16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4"/>
      <c r="L803" s="23"/>
      <c r="M803" s="23"/>
      <c r="N803" s="24"/>
      <c r="O803" s="23"/>
      <c r="P803" s="23"/>
    </row>
    <row r="804" spans="1:16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4"/>
      <c r="L804" s="23"/>
      <c r="M804" s="23"/>
      <c r="N804" s="24"/>
      <c r="O804" s="23"/>
      <c r="P804" s="23"/>
    </row>
    <row r="805" spans="1:16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4"/>
      <c r="L805" s="23"/>
      <c r="M805" s="23"/>
      <c r="N805" s="24"/>
      <c r="O805" s="23"/>
      <c r="P805" s="23"/>
    </row>
    <row r="806" spans="1:16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4"/>
      <c r="L806" s="23"/>
      <c r="M806" s="23"/>
      <c r="N806" s="24"/>
      <c r="O806" s="23"/>
      <c r="P806" s="23"/>
    </row>
    <row r="807" spans="1:16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4"/>
      <c r="L807" s="23"/>
      <c r="M807" s="23"/>
      <c r="N807" s="24"/>
      <c r="O807" s="23"/>
      <c r="P807" s="23"/>
    </row>
    <row r="808" spans="1:16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4"/>
      <c r="L808" s="23"/>
      <c r="M808" s="23"/>
      <c r="N808" s="24"/>
      <c r="O808" s="23"/>
      <c r="P808" s="23"/>
    </row>
    <row r="809" spans="1:16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4"/>
      <c r="L809" s="23"/>
      <c r="M809" s="23"/>
      <c r="N809" s="24"/>
      <c r="O809" s="23"/>
      <c r="P809" s="23"/>
    </row>
    <row r="810" spans="1:16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4"/>
      <c r="L810" s="23"/>
      <c r="M810" s="23"/>
      <c r="N810" s="24"/>
      <c r="O810" s="23"/>
      <c r="P810" s="23"/>
    </row>
    <row r="811" spans="1:16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4"/>
      <c r="L811" s="23"/>
      <c r="M811" s="23"/>
      <c r="N811" s="24"/>
      <c r="O811" s="23"/>
      <c r="P811" s="23"/>
    </row>
    <row r="812" spans="1:16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4"/>
      <c r="L812" s="23"/>
      <c r="M812" s="23"/>
      <c r="N812" s="24"/>
      <c r="O812" s="23"/>
      <c r="P812" s="23"/>
    </row>
    <row r="813" spans="1:16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4"/>
      <c r="L813" s="23"/>
      <c r="M813" s="23"/>
      <c r="N813" s="24"/>
      <c r="O813" s="23"/>
      <c r="P813" s="23"/>
    </row>
    <row r="814" spans="1:16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4"/>
      <c r="L814" s="23"/>
      <c r="M814" s="23"/>
      <c r="N814" s="24"/>
      <c r="O814" s="23"/>
      <c r="P814" s="23"/>
    </row>
    <row r="815" spans="1:16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4"/>
      <c r="L815" s="23"/>
      <c r="M815" s="23"/>
      <c r="N815" s="24"/>
      <c r="O815" s="23"/>
      <c r="P815" s="23"/>
    </row>
    <row r="816" spans="1:16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4"/>
      <c r="L816" s="23"/>
      <c r="M816" s="23"/>
      <c r="N816" s="24"/>
      <c r="O816" s="23"/>
      <c r="P816" s="23"/>
    </row>
    <row r="817" spans="1:16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4"/>
      <c r="L817" s="23"/>
      <c r="M817" s="23"/>
      <c r="N817" s="24"/>
      <c r="O817" s="23"/>
      <c r="P817" s="23"/>
    </row>
    <row r="818" spans="1:16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4"/>
      <c r="L818" s="23"/>
      <c r="M818" s="23"/>
      <c r="N818" s="24"/>
      <c r="O818" s="23"/>
      <c r="P818" s="23"/>
    </row>
    <row r="819" spans="1:16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4"/>
      <c r="L819" s="23"/>
      <c r="M819" s="23"/>
      <c r="N819" s="24"/>
      <c r="O819" s="23"/>
      <c r="P819" s="23"/>
    </row>
    <row r="820" spans="1:16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4"/>
      <c r="L820" s="23"/>
      <c r="M820" s="23"/>
      <c r="N820" s="24"/>
      <c r="O820" s="23"/>
      <c r="P820" s="23"/>
    </row>
    <row r="821" spans="1:16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4"/>
      <c r="L821" s="23"/>
      <c r="M821" s="23"/>
      <c r="N821" s="24"/>
      <c r="O821" s="23"/>
      <c r="P821" s="23"/>
    </row>
    <row r="822" spans="1:16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4"/>
      <c r="L822" s="23"/>
      <c r="M822" s="23"/>
      <c r="N822" s="24"/>
      <c r="O822" s="23"/>
      <c r="P822" s="23"/>
    </row>
    <row r="823" spans="1:16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4"/>
      <c r="L823" s="23"/>
      <c r="M823" s="23"/>
      <c r="N823" s="24"/>
      <c r="O823" s="23"/>
      <c r="P823" s="23"/>
    </row>
    <row r="824" spans="1:16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4"/>
      <c r="L824" s="23"/>
      <c r="M824" s="23"/>
      <c r="N824" s="24"/>
      <c r="O824" s="23"/>
      <c r="P824" s="23"/>
    </row>
    <row r="825" spans="1:16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4"/>
      <c r="L825" s="23"/>
      <c r="M825" s="23"/>
      <c r="N825" s="24"/>
      <c r="O825" s="23"/>
      <c r="P825" s="23"/>
    </row>
    <row r="826" spans="1:16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4"/>
      <c r="L826" s="23"/>
      <c r="M826" s="23"/>
      <c r="N826" s="24"/>
      <c r="O826" s="23"/>
      <c r="P826" s="23"/>
    </row>
    <row r="827" spans="1:16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4"/>
      <c r="L827" s="23"/>
      <c r="M827" s="23"/>
      <c r="N827" s="24"/>
      <c r="O827" s="23"/>
      <c r="P827" s="23"/>
    </row>
    <row r="828" spans="1:16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4"/>
      <c r="L828" s="23"/>
      <c r="M828" s="23"/>
      <c r="N828" s="24"/>
      <c r="O828" s="23"/>
      <c r="P828" s="23"/>
    </row>
    <row r="829" spans="1:16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4"/>
      <c r="L829" s="23"/>
      <c r="M829" s="23"/>
      <c r="N829" s="24"/>
      <c r="O829" s="23"/>
      <c r="P829" s="23"/>
    </row>
    <row r="830" spans="1:16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4"/>
      <c r="L830" s="23"/>
      <c r="M830" s="23"/>
      <c r="N830" s="24"/>
      <c r="O830" s="23"/>
      <c r="P830" s="23"/>
    </row>
    <row r="831" spans="1:16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4"/>
      <c r="L831" s="23"/>
      <c r="M831" s="23"/>
      <c r="N831" s="24"/>
      <c r="O831" s="23"/>
      <c r="P831" s="23"/>
    </row>
    <row r="832" spans="1:16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4"/>
      <c r="L832" s="23"/>
      <c r="M832" s="23"/>
      <c r="N832" s="24"/>
      <c r="O832" s="23"/>
      <c r="P832" s="23"/>
    </row>
    <row r="833" spans="1:16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4"/>
      <c r="L833" s="23"/>
      <c r="M833" s="23"/>
      <c r="N833" s="24"/>
      <c r="O833" s="23"/>
      <c r="P833" s="23"/>
    </row>
    <row r="834" spans="1:16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4"/>
      <c r="L834" s="23"/>
      <c r="M834" s="23"/>
      <c r="N834" s="24"/>
      <c r="O834" s="23"/>
      <c r="P834" s="23"/>
    </row>
    <row r="835" spans="1:16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4"/>
      <c r="L835" s="23"/>
      <c r="M835" s="23"/>
      <c r="N835" s="24"/>
      <c r="O835" s="23"/>
      <c r="P835" s="23"/>
    </row>
    <row r="836" spans="1:16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4"/>
      <c r="L836" s="23"/>
      <c r="M836" s="23"/>
      <c r="N836" s="24"/>
      <c r="O836" s="23"/>
      <c r="P836" s="23"/>
    </row>
    <row r="837" spans="1:16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4"/>
      <c r="L837" s="23"/>
      <c r="M837" s="23"/>
      <c r="N837" s="24"/>
      <c r="O837" s="23"/>
      <c r="P837" s="23"/>
    </row>
    <row r="838" spans="1:16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4"/>
      <c r="L838" s="23"/>
      <c r="M838" s="23"/>
      <c r="N838" s="24"/>
      <c r="O838" s="23"/>
      <c r="P838" s="23"/>
    </row>
    <row r="839" spans="1:16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4"/>
      <c r="L839" s="23"/>
      <c r="M839" s="23"/>
      <c r="N839" s="24"/>
      <c r="O839" s="23"/>
      <c r="P839" s="23"/>
    </row>
    <row r="840" spans="1:16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4"/>
      <c r="L840" s="23"/>
      <c r="M840" s="23"/>
      <c r="N840" s="24"/>
      <c r="O840" s="23"/>
      <c r="P840" s="23"/>
    </row>
    <row r="841" spans="1:16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4"/>
      <c r="L841" s="23"/>
      <c r="M841" s="23"/>
      <c r="N841" s="24"/>
      <c r="O841" s="23"/>
      <c r="P841" s="23"/>
    </row>
    <row r="842" spans="1:16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4"/>
      <c r="L842" s="23"/>
      <c r="M842" s="23"/>
      <c r="N842" s="24"/>
      <c r="O842" s="23"/>
      <c r="P842" s="23"/>
    </row>
    <row r="843" spans="1:16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4"/>
      <c r="L843" s="23"/>
      <c r="M843" s="23"/>
      <c r="N843" s="24"/>
      <c r="O843" s="23"/>
      <c r="P843" s="23"/>
    </row>
    <row r="844" spans="1:16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4"/>
      <c r="L844" s="23"/>
      <c r="M844" s="23"/>
      <c r="N844" s="24"/>
      <c r="O844" s="23"/>
      <c r="P844" s="23"/>
    </row>
    <row r="845" spans="1:16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4"/>
      <c r="L845" s="23"/>
      <c r="M845" s="23"/>
      <c r="N845" s="24"/>
      <c r="O845" s="23"/>
      <c r="P845" s="23"/>
    </row>
    <row r="846" spans="1:16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4"/>
      <c r="L846" s="23"/>
      <c r="M846" s="23"/>
      <c r="N846" s="24"/>
      <c r="O846" s="23"/>
      <c r="P846" s="23"/>
    </row>
    <row r="847" spans="1:16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4"/>
      <c r="L847" s="23"/>
      <c r="M847" s="23"/>
      <c r="N847" s="24"/>
      <c r="O847" s="23"/>
      <c r="P847" s="23"/>
    </row>
    <row r="848" spans="1:16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4"/>
      <c r="L848" s="23"/>
      <c r="M848" s="23"/>
      <c r="N848" s="24"/>
      <c r="O848" s="23"/>
      <c r="P848" s="23"/>
    </row>
    <row r="849" spans="1:16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4"/>
      <c r="L849" s="23"/>
      <c r="M849" s="23"/>
      <c r="N849" s="24"/>
      <c r="O849" s="23"/>
      <c r="P849" s="23"/>
    </row>
    <row r="850" spans="1:16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4"/>
      <c r="L850" s="23"/>
      <c r="M850" s="23"/>
      <c r="N850" s="24"/>
      <c r="O850" s="23"/>
      <c r="P850" s="23"/>
    </row>
    <row r="851" spans="1:16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4"/>
      <c r="L851" s="23"/>
      <c r="M851" s="23"/>
      <c r="N851" s="24"/>
      <c r="O851" s="23"/>
      <c r="P851" s="23"/>
    </row>
    <row r="852" spans="1:16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4"/>
      <c r="L852" s="23"/>
      <c r="M852" s="23"/>
      <c r="N852" s="24"/>
      <c r="O852" s="23"/>
      <c r="P852" s="23"/>
    </row>
    <row r="853" spans="1:16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4"/>
      <c r="L853" s="23"/>
      <c r="M853" s="23"/>
      <c r="N853" s="24"/>
      <c r="O853" s="23"/>
      <c r="P853" s="23"/>
    </row>
    <row r="854" spans="1:16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4"/>
      <c r="L854" s="23"/>
      <c r="M854" s="23"/>
      <c r="N854" s="24"/>
      <c r="O854" s="23"/>
      <c r="P854" s="23"/>
    </row>
    <row r="855" spans="1:16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4"/>
      <c r="L855" s="23"/>
      <c r="M855" s="23"/>
      <c r="N855" s="24"/>
      <c r="O855" s="23"/>
      <c r="P855" s="23"/>
    </row>
    <row r="856" spans="1:16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4"/>
      <c r="L856" s="23"/>
      <c r="M856" s="23"/>
      <c r="N856" s="24"/>
      <c r="O856" s="23"/>
      <c r="P856" s="23"/>
    </row>
    <row r="857" spans="1:16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4"/>
      <c r="L857" s="23"/>
      <c r="M857" s="23"/>
      <c r="N857" s="24"/>
      <c r="O857" s="23"/>
      <c r="P857" s="23"/>
    </row>
    <row r="858" spans="1:16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4"/>
      <c r="L858" s="23"/>
      <c r="M858" s="23"/>
      <c r="N858" s="24"/>
      <c r="O858" s="23"/>
      <c r="P858" s="23"/>
    </row>
    <row r="859" spans="1:16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4"/>
      <c r="L859" s="23"/>
      <c r="M859" s="23"/>
      <c r="N859" s="24"/>
      <c r="O859" s="23"/>
      <c r="P859" s="23"/>
    </row>
    <row r="860" spans="1:16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4"/>
      <c r="L860" s="23"/>
      <c r="M860" s="23"/>
      <c r="N860" s="24"/>
      <c r="O860" s="23"/>
      <c r="P860" s="23"/>
    </row>
    <row r="861" spans="1:16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4"/>
      <c r="L861" s="23"/>
      <c r="M861" s="23"/>
      <c r="N861" s="24"/>
      <c r="O861" s="23"/>
      <c r="P861" s="23"/>
    </row>
    <row r="862" spans="1:16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4"/>
      <c r="L862" s="23"/>
      <c r="M862" s="23"/>
      <c r="N862" s="24"/>
      <c r="O862" s="23"/>
      <c r="P862" s="23"/>
    </row>
    <row r="863" spans="1:16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4"/>
      <c r="L863" s="23"/>
      <c r="M863" s="23"/>
      <c r="N863" s="24"/>
      <c r="O863" s="23"/>
      <c r="P863" s="23"/>
    </row>
    <row r="864" spans="1:16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4"/>
      <c r="L864" s="23"/>
      <c r="M864" s="23"/>
      <c r="N864" s="24"/>
      <c r="O864" s="23"/>
      <c r="P864" s="23"/>
    </row>
    <row r="865" spans="1:16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4"/>
      <c r="L865" s="23"/>
      <c r="M865" s="23"/>
      <c r="N865" s="24"/>
      <c r="O865" s="23"/>
      <c r="P865" s="23"/>
    </row>
    <row r="866" spans="1:16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4"/>
      <c r="L866" s="23"/>
      <c r="M866" s="23"/>
      <c r="N866" s="24"/>
      <c r="O866" s="23"/>
      <c r="P866" s="23"/>
    </row>
    <row r="867" spans="1:16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4"/>
      <c r="L867" s="23"/>
      <c r="M867" s="23"/>
      <c r="N867" s="24"/>
      <c r="O867" s="23"/>
      <c r="P867" s="23"/>
    </row>
    <row r="868" spans="1:16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4"/>
      <c r="L868" s="23"/>
      <c r="M868" s="23"/>
      <c r="N868" s="24"/>
      <c r="O868" s="23"/>
      <c r="P868" s="23"/>
    </row>
    <row r="869" spans="1:16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4"/>
      <c r="L869" s="23"/>
      <c r="M869" s="23"/>
      <c r="N869" s="24"/>
      <c r="O869" s="23"/>
      <c r="P869" s="23"/>
    </row>
    <row r="870" spans="1:16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4"/>
      <c r="L870" s="23"/>
      <c r="M870" s="23"/>
      <c r="N870" s="24"/>
      <c r="O870" s="23"/>
      <c r="P870" s="23"/>
    </row>
    <row r="871" spans="1:16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4"/>
      <c r="L871" s="23"/>
      <c r="M871" s="23"/>
      <c r="N871" s="24"/>
      <c r="O871" s="23"/>
      <c r="P871" s="23"/>
    </row>
    <row r="872" spans="1:16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4"/>
      <c r="L872" s="23"/>
      <c r="M872" s="23"/>
      <c r="N872" s="24"/>
      <c r="O872" s="23"/>
      <c r="P872" s="23"/>
    </row>
    <row r="873" spans="1:16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4"/>
      <c r="L873" s="23"/>
      <c r="M873" s="23"/>
      <c r="N873" s="24"/>
      <c r="O873" s="23"/>
      <c r="P873" s="23"/>
    </row>
    <row r="874" spans="1:16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4"/>
      <c r="L874" s="23"/>
      <c r="M874" s="23"/>
      <c r="N874" s="24"/>
      <c r="O874" s="23"/>
      <c r="P874" s="23"/>
    </row>
    <row r="875" spans="1:16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4"/>
      <c r="L875" s="23"/>
      <c r="M875" s="23"/>
      <c r="N875" s="24"/>
      <c r="O875" s="23"/>
      <c r="P875" s="23"/>
    </row>
    <row r="876" spans="1:16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4"/>
      <c r="L876" s="23"/>
      <c r="M876" s="23"/>
      <c r="N876" s="24"/>
      <c r="O876" s="23"/>
      <c r="P876" s="23"/>
    </row>
    <row r="877" spans="1:16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4"/>
      <c r="L877" s="23"/>
      <c r="M877" s="23"/>
      <c r="N877" s="24"/>
      <c r="O877" s="23"/>
      <c r="P877" s="23"/>
    </row>
    <row r="878" spans="1:16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4"/>
      <c r="L878" s="23"/>
      <c r="M878" s="23"/>
      <c r="N878" s="24"/>
      <c r="O878" s="23"/>
      <c r="P878" s="23"/>
    </row>
    <row r="879" spans="1:16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4"/>
      <c r="L879" s="23"/>
      <c r="M879" s="23"/>
      <c r="N879" s="24"/>
      <c r="O879" s="23"/>
      <c r="P879" s="23"/>
    </row>
    <row r="880" spans="1:16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4"/>
      <c r="L880" s="23"/>
      <c r="M880" s="23"/>
      <c r="N880" s="24"/>
      <c r="O880" s="23"/>
      <c r="P880" s="23"/>
    </row>
    <row r="881" spans="1:16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4"/>
      <c r="L881" s="23"/>
      <c r="M881" s="23"/>
      <c r="N881" s="24"/>
      <c r="O881" s="23"/>
      <c r="P881" s="23"/>
    </row>
    <row r="882" spans="1:16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4"/>
      <c r="L882" s="23"/>
      <c r="M882" s="23"/>
      <c r="N882" s="24"/>
      <c r="O882" s="23"/>
      <c r="P882" s="23"/>
    </row>
    <row r="883" spans="1:16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4"/>
      <c r="L883" s="23"/>
      <c r="M883" s="23"/>
      <c r="N883" s="24"/>
      <c r="O883" s="23"/>
      <c r="P883" s="23"/>
    </row>
    <row r="884" spans="1:16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4"/>
      <c r="L884" s="23"/>
      <c r="M884" s="23"/>
      <c r="N884" s="24"/>
      <c r="O884" s="23"/>
      <c r="P884" s="23"/>
    </row>
    <row r="885" spans="1:16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4"/>
      <c r="L885" s="23"/>
      <c r="M885" s="23"/>
      <c r="N885" s="24"/>
      <c r="O885" s="23"/>
      <c r="P885" s="23"/>
    </row>
    <row r="886" spans="1:16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4"/>
      <c r="L886" s="23"/>
      <c r="M886" s="23"/>
      <c r="N886" s="24"/>
      <c r="O886" s="23"/>
      <c r="P886" s="23"/>
    </row>
    <row r="887" spans="1:16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4"/>
      <c r="L887" s="23"/>
      <c r="M887" s="23"/>
      <c r="N887" s="24"/>
      <c r="O887" s="23"/>
      <c r="P887" s="23"/>
    </row>
    <row r="888" spans="1:16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4"/>
      <c r="L888" s="23"/>
      <c r="M888" s="23"/>
      <c r="N888" s="24"/>
      <c r="O888" s="23"/>
      <c r="P888" s="23"/>
    </row>
    <row r="889" spans="1:16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4"/>
      <c r="L889" s="23"/>
      <c r="M889" s="23"/>
      <c r="N889" s="24"/>
      <c r="O889" s="23"/>
      <c r="P889" s="23"/>
    </row>
    <row r="890" spans="1:16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4"/>
      <c r="L890" s="23"/>
      <c r="M890" s="23"/>
      <c r="N890" s="24"/>
      <c r="O890" s="23"/>
      <c r="P890" s="23"/>
    </row>
    <row r="891" spans="1:16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4"/>
      <c r="L891" s="23"/>
      <c r="M891" s="23"/>
      <c r="N891" s="24"/>
      <c r="O891" s="23"/>
      <c r="P891" s="23"/>
    </row>
    <row r="892" spans="1:16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4"/>
      <c r="L892" s="23"/>
      <c r="M892" s="23"/>
      <c r="N892" s="24"/>
      <c r="O892" s="23"/>
      <c r="P892" s="23"/>
    </row>
    <row r="893" spans="1:16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4"/>
      <c r="L893" s="23"/>
      <c r="M893" s="23"/>
      <c r="N893" s="24"/>
      <c r="O893" s="23"/>
      <c r="P893" s="23"/>
    </row>
    <row r="894" spans="1:16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4"/>
      <c r="L894" s="23"/>
      <c r="M894" s="23"/>
      <c r="N894" s="24"/>
      <c r="O894" s="23"/>
      <c r="P894" s="23"/>
    </row>
    <row r="895" spans="1:16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4"/>
      <c r="L895" s="23"/>
      <c r="M895" s="23"/>
      <c r="N895" s="24"/>
      <c r="O895" s="23"/>
      <c r="P895" s="23"/>
    </row>
    <row r="896" spans="1:16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4"/>
      <c r="L896" s="23"/>
      <c r="M896" s="23"/>
      <c r="N896" s="24"/>
      <c r="O896" s="23"/>
      <c r="P896" s="23"/>
    </row>
    <row r="897" spans="1:16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4"/>
      <c r="L897" s="23"/>
      <c r="M897" s="23"/>
      <c r="N897" s="24"/>
      <c r="O897" s="23"/>
      <c r="P897" s="23"/>
    </row>
    <row r="898" spans="1:16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4"/>
      <c r="L898" s="23"/>
      <c r="M898" s="23"/>
      <c r="N898" s="24"/>
      <c r="O898" s="23"/>
      <c r="P898" s="23"/>
    </row>
    <row r="899" spans="1:16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4"/>
      <c r="L899" s="23"/>
      <c r="M899" s="23"/>
      <c r="N899" s="24"/>
      <c r="O899" s="23"/>
      <c r="P899" s="23"/>
    </row>
    <row r="900" spans="1:16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4"/>
      <c r="L900" s="23"/>
      <c r="M900" s="23"/>
      <c r="N900" s="24"/>
      <c r="O900" s="23"/>
      <c r="P900" s="23"/>
    </row>
    <row r="901" spans="1:16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4"/>
      <c r="L901" s="23"/>
      <c r="M901" s="23"/>
      <c r="N901" s="24"/>
      <c r="O901" s="23"/>
      <c r="P901" s="23"/>
    </row>
    <row r="902" spans="1:16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4"/>
      <c r="L902" s="23"/>
      <c r="M902" s="23"/>
      <c r="N902" s="24"/>
      <c r="O902" s="23"/>
      <c r="P902" s="23"/>
    </row>
    <row r="903" spans="1:16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4"/>
      <c r="L903" s="23"/>
      <c r="M903" s="23"/>
      <c r="N903" s="24"/>
      <c r="O903" s="23"/>
      <c r="P903" s="23"/>
    </row>
    <row r="904" spans="1:16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4"/>
      <c r="L904" s="23"/>
      <c r="M904" s="23"/>
      <c r="N904" s="24"/>
      <c r="O904" s="23"/>
      <c r="P904" s="23"/>
    </row>
    <row r="905" spans="1:16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4"/>
      <c r="L905" s="23"/>
      <c r="M905" s="23"/>
      <c r="N905" s="24"/>
      <c r="O905" s="23"/>
      <c r="P905" s="23"/>
    </row>
    <row r="906" spans="1:16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4"/>
      <c r="L906" s="23"/>
      <c r="M906" s="23"/>
      <c r="N906" s="24"/>
      <c r="O906" s="23"/>
      <c r="P906" s="23"/>
    </row>
    <row r="907" spans="1:16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4"/>
      <c r="L907" s="23"/>
      <c r="M907" s="23"/>
      <c r="N907" s="24"/>
      <c r="O907" s="23"/>
      <c r="P907" s="23"/>
    </row>
    <row r="908" spans="1:16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4"/>
      <c r="L908" s="23"/>
      <c r="M908" s="23"/>
      <c r="N908" s="24"/>
      <c r="O908" s="23"/>
      <c r="P908" s="23"/>
    </row>
    <row r="909" spans="1:16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4"/>
      <c r="L909" s="23"/>
      <c r="M909" s="23"/>
      <c r="N909" s="24"/>
      <c r="O909" s="23"/>
      <c r="P909" s="23"/>
    </row>
    <row r="910" spans="1:16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4"/>
      <c r="L910" s="23"/>
      <c r="M910" s="23"/>
      <c r="N910" s="24"/>
      <c r="O910" s="23"/>
      <c r="P910" s="23"/>
    </row>
    <row r="911" spans="1:16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4"/>
      <c r="L911" s="23"/>
      <c r="M911" s="23"/>
      <c r="N911" s="24"/>
      <c r="O911" s="23"/>
      <c r="P911" s="23"/>
    </row>
    <row r="912" spans="1:16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4"/>
      <c r="L912" s="23"/>
      <c r="M912" s="23"/>
      <c r="N912" s="24"/>
      <c r="O912" s="23"/>
      <c r="P912" s="23"/>
    </row>
    <row r="913" spans="1:16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4"/>
      <c r="L913" s="23"/>
      <c r="M913" s="23"/>
      <c r="N913" s="24"/>
      <c r="O913" s="23"/>
      <c r="P913" s="23"/>
    </row>
    <row r="914" spans="1:16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4"/>
      <c r="L914" s="23"/>
      <c r="M914" s="23"/>
      <c r="N914" s="24"/>
      <c r="O914" s="23"/>
      <c r="P914" s="23"/>
    </row>
    <row r="915" spans="1:16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4"/>
      <c r="L915" s="23"/>
      <c r="M915" s="23"/>
      <c r="N915" s="24"/>
      <c r="O915" s="23"/>
      <c r="P915" s="23"/>
    </row>
    <row r="916" spans="1:16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4"/>
      <c r="L916" s="23"/>
      <c r="M916" s="23"/>
      <c r="N916" s="24"/>
      <c r="O916" s="23"/>
      <c r="P916" s="23"/>
    </row>
    <row r="917" spans="1:16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4"/>
      <c r="L917" s="23"/>
      <c r="M917" s="23"/>
      <c r="N917" s="24"/>
      <c r="O917" s="23"/>
      <c r="P917" s="23"/>
    </row>
    <row r="918" spans="1:16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4"/>
      <c r="L918" s="23"/>
      <c r="M918" s="23"/>
      <c r="N918" s="24"/>
      <c r="O918" s="23"/>
      <c r="P918" s="23"/>
    </row>
    <row r="919" spans="1:16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4"/>
      <c r="L919" s="23"/>
      <c r="M919" s="23"/>
      <c r="N919" s="24"/>
      <c r="O919" s="23"/>
      <c r="P919" s="23"/>
    </row>
    <row r="920" spans="1:16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4"/>
      <c r="L920" s="23"/>
      <c r="M920" s="23"/>
      <c r="N920" s="24"/>
      <c r="O920" s="23"/>
      <c r="P920" s="23"/>
    </row>
    <row r="921" spans="1:16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4"/>
      <c r="L921" s="23"/>
      <c r="M921" s="23"/>
      <c r="N921" s="24"/>
      <c r="O921" s="23"/>
      <c r="P921" s="23"/>
    </row>
    <row r="922" spans="1:16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4"/>
      <c r="L922" s="23"/>
      <c r="M922" s="23"/>
      <c r="N922" s="24"/>
      <c r="O922" s="23"/>
      <c r="P922" s="23"/>
    </row>
    <row r="923" spans="1:16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4"/>
      <c r="L923" s="23"/>
      <c r="M923" s="23"/>
      <c r="N923" s="24"/>
      <c r="O923" s="23"/>
      <c r="P923" s="23"/>
    </row>
    <row r="924" spans="1:16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4"/>
      <c r="L924" s="23"/>
      <c r="M924" s="23"/>
      <c r="N924" s="24"/>
      <c r="O924" s="23"/>
      <c r="P924" s="23"/>
    </row>
    <row r="925" spans="1:16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4"/>
      <c r="L925" s="23"/>
      <c r="M925" s="23"/>
      <c r="N925" s="24"/>
      <c r="O925" s="23"/>
      <c r="P925" s="23"/>
    </row>
    <row r="926" spans="1:16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4"/>
      <c r="L926" s="23"/>
      <c r="M926" s="23"/>
      <c r="N926" s="24"/>
      <c r="O926" s="23"/>
      <c r="P926" s="23"/>
    </row>
    <row r="927" spans="1:16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4"/>
      <c r="L927" s="23"/>
      <c r="M927" s="23"/>
      <c r="N927" s="24"/>
      <c r="O927" s="23"/>
      <c r="P927" s="23"/>
    </row>
    <row r="928" spans="1:16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4"/>
      <c r="L928" s="23"/>
      <c r="M928" s="23"/>
      <c r="N928" s="24"/>
      <c r="O928" s="23"/>
      <c r="P928" s="23"/>
    </row>
    <row r="929" spans="1:16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4"/>
      <c r="L929" s="23"/>
      <c r="M929" s="23"/>
      <c r="N929" s="24"/>
      <c r="O929" s="23"/>
      <c r="P929" s="23"/>
    </row>
    <row r="930" spans="1:16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4"/>
      <c r="L930" s="23"/>
      <c r="M930" s="23"/>
      <c r="N930" s="24"/>
      <c r="O930" s="23"/>
      <c r="P930" s="23"/>
    </row>
    <row r="931" spans="1:16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4"/>
      <c r="L931" s="23"/>
      <c r="M931" s="23"/>
      <c r="N931" s="24"/>
      <c r="O931" s="23"/>
      <c r="P931" s="23"/>
    </row>
    <row r="932" spans="1:16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4"/>
      <c r="L932" s="23"/>
      <c r="M932" s="23"/>
      <c r="N932" s="24"/>
      <c r="O932" s="23"/>
      <c r="P932" s="23"/>
    </row>
    <row r="933" spans="1:16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4"/>
      <c r="L933" s="23"/>
      <c r="M933" s="23"/>
      <c r="N933" s="24"/>
      <c r="O933" s="23"/>
      <c r="P933" s="23"/>
    </row>
    <row r="934" spans="1:16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4"/>
      <c r="L934" s="23"/>
      <c r="M934" s="23"/>
      <c r="N934" s="24"/>
      <c r="O934" s="23"/>
      <c r="P934" s="23"/>
    </row>
    <row r="935" spans="1:16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4"/>
      <c r="L935" s="23"/>
      <c r="M935" s="23"/>
      <c r="N935" s="24"/>
      <c r="O935" s="23"/>
      <c r="P935" s="23"/>
    </row>
    <row r="936" spans="1:16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4"/>
      <c r="L936" s="23"/>
      <c r="M936" s="23"/>
      <c r="N936" s="24"/>
      <c r="O936" s="23"/>
      <c r="P936" s="23"/>
    </row>
    <row r="937" spans="1:16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4"/>
      <c r="L937" s="23"/>
      <c r="M937" s="23"/>
      <c r="N937" s="24"/>
      <c r="O937" s="23"/>
      <c r="P937" s="23"/>
    </row>
    <row r="938" spans="1:16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4"/>
      <c r="L938" s="23"/>
      <c r="M938" s="23"/>
      <c r="N938" s="24"/>
      <c r="O938" s="23"/>
      <c r="P938" s="23"/>
    </row>
    <row r="939" spans="1:16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4"/>
      <c r="L939" s="23"/>
      <c r="M939" s="23"/>
      <c r="N939" s="24"/>
      <c r="O939" s="23"/>
      <c r="P939" s="23"/>
    </row>
    <row r="940" spans="1:16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4"/>
      <c r="L940" s="23"/>
      <c r="M940" s="23"/>
      <c r="N940" s="24"/>
      <c r="O940" s="23"/>
      <c r="P940" s="23"/>
    </row>
    <row r="941" spans="1:16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4"/>
      <c r="L941" s="23"/>
      <c r="M941" s="23"/>
      <c r="N941" s="24"/>
      <c r="O941" s="23"/>
      <c r="P941" s="23"/>
    </row>
    <row r="942" spans="1:16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4"/>
      <c r="L942" s="23"/>
      <c r="M942" s="23"/>
      <c r="N942" s="24"/>
      <c r="O942" s="23"/>
      <c r="P942" s="23"/>
    </row>
    <row r="943" spans="1:16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4"/>
      <c r="L943" s="23"/>
      <c r="M943" s="23"/>
      <c r="N943" s="24"/>
      <c r="O943" s="23"/>
      <c r="P943" s="23"/>
    </row>
    <row r="944" spans="1:16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4"/>
      <c r="L944" s="23"/>
      <c r="M944" s="23"/>
      <c r="N944" s="24"/>
      <c r="O944" s="23"/>
      <c r="P944" s="23"/>
    </row>
    <row r="945" spans="1:16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4"/>
      <c r="L945" s="23"/>
      <c r="M945" s="23"/>
      <c r="N945" s="24"/>
      <c r="O945" s="23"/>
      <c r="P945" s="23"/>
    </row>
    <row r="946" spans="1:16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4"/>
      <c r="L946" s="23"/>
      <c r="M946" s="23"/>
      <c r="N946" s="24"/>
      <c r="O946" s="23"/>
      <c r="P946" s="23"/>
    </row>
    <row r="947" spans="1:16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4"/>
      <c r="L947" s="23"/>
      <c r="M947" s="23"/>
      <c r="N947" s="24"/>
      <c r="O947" s="23"/>
      <c r="P947" s="23"/>
    </row>
    <row r="948" spans="1:16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4"/>
      <c r="L948" s="23"/>
      <c r="M948" s="23"/>
      <c r="N948" s="24"/>
      <c r="O948" s="23"/>
      <c r="P948" s="23"/>
    </row>
    <row r="949" spans="1:16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4"/>
      <c r="L949" s="23"/>
      <c r="M949" s="23"/>
      <c r="N949" s="24"/>
      <c r="O949" s="23"/>
      <c r="P949" s="23"/>
    </row>
    <row r="950" spans="1:16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4"/>
      <c r="L950" s="23"/>
      <c r="M950" s="23"/>
      <c r="N950" s="24"/>
      <c r="O950" s="23"/>
      <c r="P950" s="23"/>
    </row>
    <row r="951" spans="1:16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4"/>
      <c r="L951" s="23"/>
      <c r="M951" s="23"/>
      <c r="N951" s="24"/>
      <c r="O951" s="23"/>
      <c r="P951" s="23"/>
    </row>
    <row r="952" spans="1:16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4"/>
      <c r="L952" s="23"/>
      <c r="M952" s="23"/>
      <c r="N952" s="24"/>
      <c r="O952" s="23"/>
      <c r="P952" s="23"/>
    </row>
    <row r="953" spans="1:16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4"/>
      <c r="L953" s="23"/>
      <c r="M953" s="23"/>
      <c r="N953" s="24"/>
      <c r="O953" s="23"/>
      <c r="P953" s="23"/>
    </row>
    <row r="954" spans="1:16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4"/>
      <c r="L954" s="23"/>
      <c r="M954" s="23"/>
      <c r="N954" s="24"/>
      <c r="O954" s="23"/>
      <c r="P954" s="23"/>
    </row>
    <row r="955" spans="1:16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4"/>
      <c r="L955" s="23"/>
      <c r="M955" s="23"/>
      <c r="N955" s="24"/>
      <c r="O955" s="23"/>
      <c r="P955" s="23"/>
    </row>
    <row r="956" spans="1:16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4"/>
      <c r="L956" s="23"/>
      <c r="M956" s="23"/>
      <c r="N956" s="24"/>
      <c r="O956" s="23"/>
      <c r="P956" s="23"/>
    </row>
    <row r="957" spans="1:16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4"/>
      <c r="L957" s="23"/>
      <c r="M957" s="23"/>
      <c r="N957" s="24"/>
      <c r="O957" s="23"/>
      <c r="P957" s="23"/>
    </row>
    <row r="958" spans="1:16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4"/>
      <c r="L958" s="23"/>
      <c r="M958" s="23"/>
      <c r="N958" s="24"/>
      <c r="O958" s="23"/>
      <c r="P958" s="23"/>
    </row>
    <row r="959" spans="1:16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4"/>
      <c r="L959" s="23"/>
      <c r="M959" s="23"/>
      <c r="N959" s="24"/>
      <c r="O959" s="23"/>
      <c r="P959" s="23"/>
    </row>
    <row r="960" spans="1:16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4"/>
      <c r="L960" s="23"/>
      <c r="M960" s="23"/>
      <c r="N960" s="24"/>
      <c r="O960" s="23"/>
      <c r="P960" s="23"/>
    </row>
    <row r="961" spans="1:16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4"/>
      <c r="L961" s="23"/>
      <c r="M961" s="23"/>
      <c r="N961" s="24"/>
      <c r="O961" s="23"/>
      <c r="P961" s="23"/>
    </row>
    <row r="962" spans="1:16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4"/>
      <c r="L962" s="23"/>
      <c r="M962" s="23"/>
      <c r="N962" s="24"/>
      <c r="O962" s="23"/>
      <c r="P962" s="23"/>
    </row>
    <row r="963" spans="1:16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4"/>
      <c r="L963" s="23"/>
      <c r="M963" s="23"/>
      <c r="N963" s="24"/>
      <c r="O963" s="23"/>
      <c r="P963" s="23"/>
    </row>
    <row r="964" spans="1:16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4"/>
      <c r="L964" s="23"/>
      <c r="M964" s="23"/>
      <c r="N964" s="24"/>
      <c r="O964" s="23"/>
      <c r="P964" s="23"/>
    </row>
    <row r="965" spans="1:16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4"/>
      <c r="L965" s="23"/>
      <c r="M965" s="23"/>
      <c r="N965" s="24"/>
      <c r="O965" s="23"/>
      <c r="P965" s="23"/>
    </row>
    <row r="966" spans="1:16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4"/>
      <c r="L966" s="23"/>
      <c r="M966" s="23"/>
      <c r="N966" s="24"/>
      <c r="O966" s="23"/>
      <c r="P966" s="23"/>
    </row>
    <row r="967" spans="1:16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4"/>
      <c r="L967" s="23"/>
      <c r="M967" s="23"/>
      <c r="N967" s="24"/>
      <c r="O967" s="23"/>
      <c r="P967" s="23"/>
    </row>
    <row r="968" spans="1:16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4"/>
      <c r="L968" s="23"/>
      <c r="M968" s="23"/>
      <c r="N968" s="24"/>
      <c r="O968" s="23"/>
      <c r="P968" s="23"/>
    </row>
    <row r="969" spans="1:16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4"/>
      <c r="L969" s="23"/>
      <c r="M969" s="23"/>
      <c r="N969" s="24"/>
      <c r="O969" s="23"/>
      <c r="P969" s="23"/>
    </row>
    <row r="970" spans="1:16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4"/>
      <c r="L970" s="23"/>
      <c r="M970" s="23"/>
      <c r="N970" s="24"/>
      <c r="O970" s="23"/>
      <c r="P970" s="23"/>
    </row>
    <row r="971" spans="1:16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4"/>
      <c r="L971" s="23"/>
      <c r="M971" s="23"/>
      <c r="N971" s="24"/>
      <c r="O971" s="23"/>
      <c r="P971" s="23"/>
    </row>
    <row r="972" spans="1:16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4"/>
      <c r="L972" s="23"/>
      <c r="M972" s="23"/>
      <c r="N972" s="24"/>
      <c r="O972" s="23"/>
      <c r="P972" s="23"/>
    </row>
    <row r="973" spans="1:16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4"/>
      <c r="L973" s="23"/>
      <c r="M973" s="23"/>
      <c r="N973" s="24"/>
      <c r="O973" s="23"/>
      <c r="P973" s="23"/>
    </row>
    <row r="974" spans="1:16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4"/>
      <c r="L974" s="23"/>
      <c r="M974" s="23"/>
      <c r="N974" s="24"/>
      <c r="O974" s="23"/>
      <c r="P974" s="23"/>
    </row>
    <row r="975" spans="1:16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4"/>
      <c r="L975" s="23"/>
      <c r="M975" s="23"/>
      <c r="N975" s="24"/>
      <c r="O975" s="23"/>
      <c r="P975" s="23"/>
    </row>
    <row r="976" spans="1:16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4"/>
      <c r="L976" s="23"/>
      <c r="M976" s="23"/>
      <c r="N976" s="24"/>
      <c r="O976" s="23"/>
      <c r="P976" s="23"/>
    </row>
    <row r="977" spans="1:16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4"/>
      <c r="L977" s="23"/>
      <c r="M977" s="23"/>
      <c r="N977" s="24"/>
      <c r="O977" s="23"/>
      <c r="P977" s="23"/>
    </row>
    <row r="978" spans="1:16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4"/>
      <c r="L978" s="23"/>
      <c r="M978" s="23"/>
      <c r="N978" s="24"/>
      <c r="O978" s="23"/>
      <c r="P978" s="23"/>
    </row>
    <row r="979" spans="1:16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4"/>
      <c r="L979" s="23"/>
      <c r="M979" s="23"/>
      <c r="N979" s="24"/>
      <c r="O979" s="23"/>
      <c r="P979" s="23"/>
    </row>
    <row r="980" spans="1:16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4"/>
      <c r="L980" s="23"/>
      <c r="M980" s="23"/>
      <c r="N980" s="24"/>
      <c r="O980" s="23"/>
      <c r="P980" s="23"/>
    </row>
    <row r="981" spans="1:16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4"/>
      <c r="L981" s="23"/>
      <c r="M981" s="23"/>
      <c r="N981" s="24"/>
      <c r="O981" s="23"/>
      <c r="P981" s="23"/>
    </row>
    <row r="982" spans="1:16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4"/>
      <c r="L982" s="23"/>
      <c r="M982" s="23"/>
      <c r="N982" s="24"/>
      <c r="O982" s="23"/>
      <c r="P982" s="23"/>
    </row>
    <row r="983" spans="1:16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4"/>
      <c r="L983" s="23"/>
      <c r="M983" s="23"/>
      <c r="N983" s="24"/>
      <c r="O983" s="23"/>
      <c r="P983" s="23"/>
    </row>
    <row r="984" spans="1:16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4"/>
      <c r="L984" s="23"/>
      <c r="M984" s="23"/>
      <c r="N984" s="24"/>
      <c r="O984" s="23"/>
      <c r="P984" s="23"/>
    </row>
    <row r="985" spans="1:16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4"/>
      <c r="L985" s="23"/>
      <c r="M985" s="23"/>
      <c r="N985" s="24"/>
      <c r="O985" s="23"/>
      <c r="P985" s="23"/>
    </row>
    <row r="986" spans="1:16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4"/>
      <c r="L986" s="23"/>
      <c r="M986" s="23"/>
      <c r="N986" s="24"/>
      <c r="O986" s="23"/>
      <c r="P986" s="23"/>
    </row>
    <row r="987" spans="1:16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4"/>
      <c r="L987" s="23"/>
      <c r="M987" s="23"/>
      <c r="N987" s="24"/>
      <c r="O987" s="23"/>
      <c r="P987" s="23"/>
    </row>
    <row r="988" spans="1:16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4"/>
      <c r="L988" s="23"/>
      <c r="M988" s="23"/>
      <c r="N988" s="24"/>
      <c r="O988" s="23"/>
      <c r="P988" s="23"/>
    </row>
    <row r="989" spans="1:16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4"/>
      <c r="L989" s="23"/>
      <c r="M989" s="23"/>
      <c r="N989" s="24"/>
      <c r="O989" s="23"/>
      <c r="P989" s="23"/>
    </row>
    <row r="990" spans="1:16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4"/>
      <c r="L990" s="23"/>
      <c r="M990" s="23"/>
      <c r="N990" s="24"/>
      <c r="O990" s="23"/>
      <c r="P990" s="23"/>
    </row>
    <row r="991" spans="1:16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4"/>
      <c r="L991" s="23"/>
      <c r="M991" s="23"/>
      <c r="N991" s="24"/>
      <c r="O991" s="23"/>
      <c r="P991" s="23"/>
    </row>
    <row r="992" spans="1:16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4"/>
      <c r="L992" s="23"/>
      <c r="M992" s="23"/>
      <c r="N992" s="24"/>
      <c r="O992" s="23"/>
      <c r="P992" s="23"/>
    </row>
    <row r="993" spans="1:16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4"/>
      <c r="L993" s="23"/>
      <c r="M993" s="23"/>
      <c r="N993" s="24"/>
      <c r="O993" s="23"/>
      <c r="P993" s="23"/>
    </row>
    <row r="994" spans="1:16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4"/>
      <c r="L994" s="23"/>
      <c r="M994" s="23"/>
      <c r="N994" s="24"/>
      <c r="O994" s="23"/>
      <c r="P994" s="23"/>
    </row>
    <row r="995" spans="1:16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4"/>
      <c r="L995" s="23"/>
      <c r="M995" s="23"/>
      <c r="N995" s="24"/>
      <c r="O995" s="23"/>
      <c r="P995" s="23"/>
    </row>
    <row r="996" spans="1:16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4"/>
      <c r="L996" s="23"/>
      <c r="M996" s="23"/>
      <c r="N996" s="24"/>
      <c r="O996" s="23"/>
      <c r="P996" s="23"/>
    </row>
    <row r="997" spans="1:16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4"/>
      <c r="L997" s="23"/>
      <c r="M997" s="23"/>
      <c r="N997" s="24"/>
      <c r="O997" s="23"/>
      <c r="P997" s="23"/>
    </row>
    <row r="998" spans="1:16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4"/>
      <c r="L998" s="23"/>
      <c r="M998" s="23"/>
      <c r="N998" s="24"/>
      <c r="O998" s="23"/>
      <c r="P998" s="23"/>
    </row>
    <row r="999" spans="1:16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4"/>
      <c r="L999" s="23"/>
      <c r="M999" s="23"/>
      <c r="N999" s="24"/>
      <c r="O999" s="23"/>
      <c r="P999" s="23"/>
    </row>
    <row r="1000" spans="1:16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4"/>
      <c r="L1000" s="23"/>
      <c r="M1000" s="23"/>
      <c r="N1000" s="24"/>
      <c r="O1000" s="23"/>
      <c r="P1000" s="23"/>
    </row>
  </sheetData>
  <dataValidations count="3">
    <dataValidation type="list" allowBlank="1" showInputMessage="1" showErrorMessage="1" errorTitle="Select a valid checklist value" error="Choose a value from the dropdown list." sqref="C2:C1000" xr:uid="{D415FC43-6024-4964-B7B6-F76E3E264008}">
      <formula1>SeverityOptions</formula1>
    </dataValidation>
    <dataValidation type="list" allowBlank="1" showInputMessage="1" showErrorMessage="1" errorTitle="Select a valid checklist value" error="Choose a value from the dropdown list." sqref="I2:I1000" xr:uid="{7F4E9752-7FB5-4967-B9BF-768E9A71B6CE}">
      <formula1>DefectStatusOptions</formula1>
    </dataValidation>
    <dataValidation type="list" allowBlank="1" showInputMessage="1" showErrorMessage="1" errorTitle="Select a valid checklist value" error="Choose a value from the dropdown list." sqref="M2:M1000" xr:uid="{AED19F27-3EB0-488A-8CF7-9C57AF10B999}">
      <formula1>RetestOptions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C14C-3FA4-4AA3-B4A1-AE2475AF536E}">
  <sheetPr>
    <tabColor rgb="FF265272"/>
  </sheetPr>
  <dimension ref="A1:F22"/>
  <sheetViews>
    <sheetView showGridLines="0" workbookViewId="0">
      <pane ySplit="2" topLeftCell="A3" activePane="bottomLeft" state="frozenSplit"/>
      <selection pane="bottomLeft" activeCell="A12" sqref="A12:XFD12"/>
    </sheetView>
  </sheetViews>
  <sheetFormatPr defaultRowHeight="15" x14ac:dyDescent="0.25"/>
  <cols>
    <col min="1" max="1" width="34.7109375" customWidth="1"/>
    <col min="2" max="2" width="22.7109375" customWidth="1"/>
    <col min="3" max="3" width="16.7109375" customWidth="1"/>
    <col min="4" max="4" width="13.7109375" customWidth="1"/>
    <col min="5" max="5" width="34.7109375" customWidth="1"/>
    <col min="6" max="6" width="44.7109375" customWidth="1"/>
  </cols>
  <sheetData>
    <row r="1" spans="1:6" ht="33.950000000000003" customHeight="1" x14ac:dyDescent="0.25">
      <c r="A1" s="48" t="s">
        <v>943</v>
      </c>
      <c r="B1" s="48"/>
      <c r="C1" s="48"/>
      <c r="D1" s="48"/>
      <c r="E1" s="48"/>
      <c r="F1" s="48"/>
    </row>
    <row r="2" spans="1:6" ht="38.1" customHeight="1" x14ac:dyDescent="0.25">
      <c r="A2" s="49" t="s">
        <v>944</v>
      </c>
      <c r="B2" s="49"/>
      <c r="C2" s="49"/>
      <c r="D2" s="49"/>
      <c r="E2" s="49"/>
      <c r="F2" s="49"/>
    </row>
    <row r="3" spans="1:6" x14ac:dyDescent="0.25">
      <c r="A3" s="23"/>
      <c r="B3" s="23"/>
      <c r="C3" s="23"/>
      <c r="D3" s="23"/>
      <c r="E3" s="23"/>
      <c r="F3" s="23"/>
    </row>
    <row r="4" spans="1:6" ht="33.950000000000003" customHeight="1" x14ac:dyDescent="0.25">
      <c r="A4" s="7" t="s">
        <v>945</v>
      </c>
      <c r="B4" s="7" t="s">
        <v>946</v>
      </c>
      <c r="C4" s="7" t="s">
        <v>0</v>
      </c>
      <c r="D4" s="7" t="s">
        <v>914</v>
      </c>
      <c r="E4" s="7" t="s">
        <v>947</v>
      </c>
      <c r="F4" s="7" t="s">
        <v>948</v>
      </c>
    </row>
    <row r="5" spans="1:6" ht="38.1" customHeight="1" x14ac:dyDescent="0.25">
      <c r="A5" s="9" t="s">
        <v>949</v>
      </c>
      <c r="B5" s="9" t="s">
        <v>950</v>
      </c>
      <c r="C5" s="9" t="s">
        <v>20</v>
      </c>
      <c r="D5" s="9" t="s">
        <v>1214</v>
      </c>
      <c r="E5" s="10">
        <v>46238</v>
      </c>
      <c r="F5" s="9" t="s">
        <v>1447</v>
      </c>
    </row>
    <row r="6" spans="1:6" ht="38.1" customHeight="1" x14ac:dyDescent="0.25">
      <c r="A6" s="9" t="s">
        <v>951</v>
      </c>
      <c r="B6" s="9" t="s">
        <v>952</v>
      </c>
      <c r="C6" s="9" t="s">
        <v>20</v>
      </c>
      <c r="D6" s="9" t="s">
        <v>1214</v>
      </c>
      <c r="E6" s="10">
        <v>46238</v>
      </c>
      <c r="F6" s="9" t="s">
        <v>1448</v>
      </c>
    </row>
    <row r="7" spans="1:6" ht="38.1" customHeight="1" x14ac:dyDescent="0.25">
      <c r="A7" s="9" t="s">
        <v>953</v>
      </c>
      <c r="B7" s="9" t="s">
        <v>954</v>
      </c>
      <c r="C7" s="9" t="s">
        <v>20</v>
      </c>
      <c r="D7" s="9" t="s">
        <v>1214</v>
      </c>
      <c r="E7" s="10">
        <v>46238</v>
      </c>
      <c r="F7" s="9" t="s">
        <v>1231</v>
      </c>
    </row>
    <row r="8" spans="1:6" ht="38.1" customHeight="1" x14ac:dyDescent="0.25">
      <c r="A8" s="9" t="s">
        <v>955</v>
      </c>
      <c r="B8" s="9" t="s">
        <v>956</v>
      </c>
      <c r="C8" s="9" t="s">
        <v>20</v>
      </c>
      <c r="D8" s="9" t="s">
        <v>1214</v>
      </c>
      <c r="E8" s="10">
        <v>46238</v>
      </c>
      <c r="F8" s="9" t="s">
        <v>1232</v>
      </c>
    </row>
    <row r="9" spans="1:6" ht="38.1" customHeight="1" x14ac:dyDescent="0.25">
      <c r="A9" s="9" t="s">
        <v>957</v>
      </c>
      <c r="B9" s="9" t="s">
        <v>958</v>
      </c>
      <c r="C9" s="9" t="s">
        <v>22</v>
      </c>
      <c r="D9" s="9" t="s">
        <v>1214</v>
      </c>
      <c r="E9" s="10">
        <v>46238</v>
      </c>
      <c r="F9" s="9" t="s">
        <v>1233</v>
      </c>
    </row>
    <row r="10" spans="1:6" ht="38.1" customHeight="1" x14ac:dyDescent="0.25">
      <c r="A10" s="9" t="s">
        <v>959</v>
      </c>
      <c r="B10" s="9" t="s">
        <v>960</v>
      </c>
      <c r="C10" s="9" t="s">
        <v>22</v>
      </c>
      <c r="D10" s="9" t="s">
        <v>1214</v>
      </c>
      <c r="E10" s="10">
        <v>46238</v>
      </c>
      <c r="F10" s="9" t="s">
        <v>1449</v>
      </c>
    </row>
    <row r="11" spans="1:6" ht="38.1" customHeight="1" x14ac:dyDescent="0.25">
      <c r="A11" s="9" t="s">
        <v>961</v>
      </c>
      <c r="B11" s="9" t="s">
        <v>962</v>
      </c>
      <c r="C11" s="9" t="s">
        <v>22</v>
      </c>
      <c r="D11" s="9" t="s">
        <v>1214</v>
      </c>
      <c r="E11" s="10">
        <v>46238</v>
      </c>
      <c r="F11" s="9" t="s">
        <v>1234</v>
      </c>
    </row>
    <row r="12" spans="1:6" ht="38.1" customHeight="1" x14ac:dyDescent="0.25">
      <c r="A12" s="9" t="s">
        <v>1195</v>
      </c>
      <c r="B12" s="9" t="s">
        <v>1196</v>
      </c>
      <c r="C12" s="9" t="s">
        <v>20</v>
      </c>
      <c r="D12" s="9" t="s">
        <v>1214</v>
      </c>
      <c r="E12" s="10">
        <v>46238</v>
      </c>
      <c r="F12" s="9" t="s">
        <v>1235</v>
      </c>
    </row>
    <row r="13" spans="1:6" ht="38.1" customHeight="1" x14ac:dyDescent="0.25">
      <c r="A13" s="9" t="s">
        <v>963</v>
      </c>
      <c r="B13" s="9" t="s">
        <v>964</v>
      </c>
      <c r="C13" s="9" t="s">
        <v>20</v>
      </c>
      <c r="D13" s="9" t="s">
        <v>1214</v>
      </c>
      <c r="E13" s="10">
        <v>46238</v>
      </c>
      <c r="F13" s="9" t="s">
        <v>1236</v>
      </c>
    </row>
    <row r="14" spans="1:6" ht="38.1" customHeight="1" x14ac:dyDescent="0.25">
      <c r="A14" s="9" t="s">
        <v>965</v>
      </c>
      <c r="B14" s="9" t="s">
        <v>966</v>
      </c>
      <c r="C14" s="9" t="s">
        <v>42</v>
      </c>
      <c r="D14" s="9" t="s">
        <v>1214</v>
      </c>
      <c r="E14" s="10">
        <v>46238</v>
      </c>
      <c r="F14" s="9" t="s">
        <v>1237</v>
      </c>
    </row>
    <row r="15" spans="1:6" x14ac:dyDescent="0.25">
      <c r="A15" s="23"/>
      <c r="B15" s="23"/>
      <c r="C15" s="23"/>
      <c r="D15" s="23"/>
      <c r="E15" s="23"/>
      <c r="F15" s="23"/>
    </row>
    <row r="16" spans="1:6" x14ac:dyDescent="0.25">
      <c r="A16" s="50" t="s">
        <v>967</v>
      </c>
      <c r="B16" s="50"/>
      <c r="C16" s="50"/>
      <c r="D16" s="50"/>
      <c r="E16" s="50"/>
      <c r="F16" s="50"/>
    </row>
    <row r="17" spans="1:6" ht="33.950000000000003" customHeight="1" x14ac:dyDescent="0.25">
      <c r="A17" s="6" t="s">
        <v>968</v>
      </c>
      <c r="B17" s="6" t="s">
        <v>969</v>
      </c>
      <c r="C17" s="6" t="s">
        <v>7</v>
      </c>
      <c r="D17" s="6" t="s">
        <v>947</v>
      </c>
      <c r="E17" s="6" t="s">
        <v>970</v>
      </c>
      <c r="F17" s="6" t="s">
        <v>948</v>
      </c>
    </row>
    <row r="18" spans="1:6" ht="38.1" customHeight="1" x14ac:dyDescent="0.25">
      <c r="A18" s="26" t="s">
        <v>971</v>
      </c>
      <c r="B18" s="26"/>
      <c r="C18" s="26" t="s">
        <v>17</v>
      </c>
      <c r="D18" s="27"/>
      <c r="E18" s="26"/>
      <c r="F18" s="26"/>
    </row>
    <row r="19" spans="1:6" ht="38.1" customHeight="1" x14ac:dyDescent="0.25">
      <c r="A19" s="26" t="s">
        <v>972</v>
      </c>
      <c r="B19" s="26"/>
      <c r="C19" s="26" t="s">
        <v>17</v>
      </c>
      <c r="D19" s="27"/>
      <c r="E19" s="26"/>
      <c r="F19" s="26"/>
    </row>
    <row r="20" spans="1:6" ht="38.1" customHeight="1" x14ac:dyDescent="0.25">
      <c r="A20" s="26" t="s">
        <v>973</v>
      </c>
      <c r="B20" s="26"/>
      <c r="C20" s="26" t="s">
        <v>17</v>
      </c>
      <c r="D20" s="27"/>
      <c r="E20" s="26"/>
      <c r="F20" s="26"/>
    </row>
    <row r="21" spans="1:6" ht="38.1" customHeight="1" x14ac:dyDescent="0.25">
      <c r="A21" s="26" t="s">
        <v>974</v>
      </c>
      <c r="B21" s="26"/>
      <c r="C21" s="26" t="s">
        <v>17</v>
      </c>
      <c r="D21" s="27"/>
      <c r="E21" s="26"/>
      <c r="F21" s="26"/>
    </row>
    <row r="22" spans="1:6" ht="38.1" customHeight="1" x14ac:dyDescent="0.25">
      <c r="A22" s="26" t="s">
        <v>975</v>
      </c>
      <c r="B22" s="26"/>
      <c r="C22" s="26" t="s">
        <v>17</v>
      </c>
      <c r="D22" s="27"/>
      <c r="E22" s="26"/>
      <c r="F22" s="26"/>
    </row>
  </sheetData>
  <mergeCells count="3">
    <mergeCell ref="A1:F1"/>
    <mergeCell ref="A2:F2"/>
    <mergeCell ref="A16:F16"/>
  </mergeCells>
  <conditionalFormatting sqref="C5:C14">
    <cfRule type="cellIs" dxfId="5" priority="1" stopIfTrue="1" operator="equal">
      <formula>"Pass"</formula>
    </cfRule>
    <cfRule type="cellIs" dxfId="4" priority="2" stopIfTrue="1" operator="equal">
      <formula>"Fail"</formula>
    </cfRule>
    <cfRule type="cellIs" dxfId="3" priority="3" stopIfTrue="1" operator="equal">
      <formula>"Blocked"</formula>
    </cfRule>
    <cfRule type="cellIs" dxfId="2" priority="4" stopIfTrue="1" operator="equal">
      <formula>"Not Run"</formula>
    </cfRule>
    <cfRule type="cellIs" dxfId="1" priority="5" stopIfTrue="1" operator="equal">
      <formula>"Deferred"</formula>
    </cfRule>
    <cfRule type="cellIs" dxfId="0" priority="6" stopIfTrue="1" operator="equal">
      <formula>"N/A"</formula>
    </cfRule>
  </conditionalFormatting>
  <dataValidations count="2">
    <dataValidation type="list" allowBlank="1" showInputMessage="1" showErrorMessage="1" errorTitle="Select a valid checklist value" error="Choose a value from the dropdown list." sqref="C5:C14" xr:uid="{7B371B55-2F36-45C0-8339-778F17F93E55}">
      <formula1>StatusOptions</formula1>
    </dataValidation>
    <dataValidation type="list" allowBlank="1" showInputMessage="1" showErrorMessage="1" errorTitle="Select a valid checklist value" error="Choose a value from the dropdown list." sqref="C18:C22" xr:uid="{E20858DE-FD83-4BF3-811A-BC47B68A16ED}">
      <formula1>DecisionOptions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BA74-13FD-4876-9E97-D8E8A9BCEC6D}">
  <sheetPr>
    <tabColor rgb="FF265272"/>
  </sheetPr>
  <dimension ref="A1:D55"/>
  <sheetViews>
    <sheetView showGridLines="0" workbookViewId="0">
      <pane ySplit="4" topLeftCell="A5" activePane="bottomLeft" state="frozenSplit"/>
      <selection pane="bottomLeft" sqref="A1:D1"/>
    </sheetView>
  </sheetViews>
  <sheetFormatPr defaultRowHeight="15" x14ac:dyDescent="0.25"/>
  <cols>
    <col min="1" max="1" width="18.7109375" customWidth="1"/>
    <col min="2" max="2" width="30.7109375" customWidth="1"/>
    <col min="3" max="3" width="90.7109375" customWidth="1"/>
    <col min="4" max="4" width="44.7109375" customWidth="1"/>
  </cols>
  <sheetData>
    <row r="1" spans="1:4" ht="33.950000000000003" customHeight="1" x14ac:dyDescent="0.25">
      <c r="A1" s="48" t="s">
        <v>976</v>
      </c>
      <c r="B1" s="48"/>
      <c r="C1" s="48"/>
      <c r="D1" s="48"/>
    </row>
    <row r="2" spans="1:4" ht="38.1" customHeight="1" x14ac:dyDescent="0.25">
      <c r="A2" s="49" t="s">
        <v>977</v>
      </c>
      <c r="B2" s="49"/>
      <c r="C2" s="49"/>
      <c r="D2" s="49"/>
    </row>
    <row r="3" spans="1:4" x14ac:dyDescent="0.25">
      <c r="A3" s="23"/>
      <c r="B3" s="23"/>
      <c r="C3" s="23"/>
      <c r="D3" s="23"/>
    </row>
    <row r="4" spans="1:4" ht="33.950000000000003" customHeight="1" x14ac:dyDescent="0.25">
      <c r="A4" s="7" t="s">
        <v>978</v>
      </c>
      <c r="B4" s="7" t="s">
        <v>979</v>
      </c>
      <c r="C4" s="7" t="s">
        <v>980</v>
      </c>
      <c r="D4" s="7" t="s">
        <v>55</v>
      </c>
    </row>
    <row r="5" spans="1:4" ht="42" customHeight="1" x14ac:dyDescent="0.25">
      <c r="A5" s="9" t="s">
        <v>981</v>
      </c>
      <c r="B5" s="9" t="s">
        <v>982</v>
      </c>
      <c r="C5" s="9" t="s">
        <v>983</v>
      </c>
      <c r="D5" s="9" t="s">
        <v>984</v>
      </c>
    </row>
    <row r="6" spans="1:4" ht="42" customHeight="1" x14ac:dyDescent="0.25">
      <c r="A6" s="9" t="s">
        <v>981</v>
      </c>
      <c r="B6" s="9" t="s">
        <v>985</v>
      </c>
      <c r="C6" s="9" t="s">
        <v>986</v>
      </c>
      <c r="D6" s="9" t="s">
        <v>987</v>
      </c>
    </row>
    <row r="7" spans="1:4" ht="42" customHeight="1" x14ac:dyDescent="0.25">
      <c r="A7" s="9" t="s">
        <v>981</v>
      </c>
      <c r="B7" s="9" t="s">
        <v>988</v>
      </c>
      <c r="C7" s="9" t="s">
        <v>989</v>
      </c>
      <c r="D7" s="9" t="s">
        <v>990</v>
      </c>
    </row>
    <row r="8" spans="1:4" ht="42" customHeight="1" x14ac:dyDescent="0.25">
      <c r="A8" s="9" t="s">
        <v>991</v>
      </c>
      <c r="B8" s="9" t="s">
        <v>992</v>
      </c>
      <c r="C8" s="9" t="s">
        <v>993</v>
      </c>
      <c r="D8" s="9" t="s">
        <v>994</v>
      </c>
    </row>
    <row r="9" spans="1:4" ht="42" customHeight="1" x14ac:dyDescent="0.25">
      <c r="A9" s="9" t="s">
        <v>991</v>
      </c>
      <c r="B9" s="9" t="s">
        <v>995</v>
      </c>
      <c r="C9" s="9" t="s">
        <v>996</v>
      </c>
      <c r="D9" s="9" t="s">
        <v>997</v>
      </c>
    </row>
    <row r="10" spans="1:4" ht="42" customHeight="1" x14ac:dyDescent="0.25">
      <c r="A10" s="9" t="s">
        <v>998</v>
      </c>
      <c r="B10" s="9" t="s">
        <v>999</v>
      </c>
      <c r="C10" s="9" t="s">
        <v>1000</v>
      </c>
      <c r="D10" s="9" t="s">
        <v>1001</v>
      </c>
    </row>
    <row r="11" spans="1:4" ht="42" customHeight="1" x14ac:dyDescent="0.25">
      <c r="A11" s="9" t="s">
        <v>998</v>
      </c>
      <c r="B11" s="9" t="s">
        <v>1002</v>
      </c>
      <c r="C11" s="9" t="s">
        <v>1003</v>
      </c>
      <c r="D11" s="9" t="s">
        <v>1004</v>
      </c>
    </row>
    <row r="12" spans="1:4" ht="42" customHeight="1" x14ac:dyDescent="0.25">
      <c r="A12" s="9" t="s">
        <v>998</v>
      </c>
      <c r="B12" s="9" t="s">
        <v>1005</v>
      </c>
      <c r="C12" s="9" t="s">
        <v>1006</v>
      </c>
      <c r="D12" s="9" t="s">
        <v>1007</v>
      </c>
    </row>
    <row r="13" spans="1:4" ht="42" customHeight="1" x14ac:dyDescent="0.25">
      <c r="A13" s="9" t="s">
        <v>1008</v>
      </c>
      <c r="B13" s="9" t="s">
        <v>1009</v>
      </c>
      <c r="C13" s="9" t="s">
        <v>1010</v>
      </c>
      <c r="D13" s="9" t="s">
        <v>1011</v>
      </c>
    </row>
    <row r="14" spans="1:4" ht="42" customHeight="1" x14ac:dyDescent="0.25">
      <c r="A14" s="9" t="s">
        <v>1008</v>
      </c>
      <c r="B14" s="9" t="s">
        <v>1012</v>
      </c>
      <c r="C14" s="9" t="s">
        <v>1013</v>
      </c>
      <c r="D14" s="9" t="s">
        <v>1014</v>
      </c>
    </row>
    <row r="15" spans="1:4" ht="42" customHeight="1" x14ac:dyDescent="0.25">
      <c r="A15" s="9" t="s">
        <v>1008</v>
      </c>
      <c r="B15" s="9" t="s">
        <v>1015</v>
      </c>
      <c r="C15" s="9" t="s">
        <v>1016</v>
      </c>
      <c r="D15" s="9" t="s">
        <v>1017</v>
      </c>
    </row>
    <row r="16" spans="1:4" ht="42" customHeight="1" x14ac:dyDescent="0.25">
      <c r="A16" s="9" t="s">
        <v>1018</v>
      </c>
      <c r="B16" s="9" t="s">
        <v>1019</v>
      </c>
      <c r="C16" s="9" t="s">
        <v>1020</v>
      </c>
      <c r="D16" s="9" t="s">
        <v>1021</v>
      </c>
    </row>
    <row r="17" spans="1:4" ht="42" customHeight="1" x14ac:dyDescent="0.25">
      <c r="A17" s="9" t="s">
        <v>1018</v>
      </c>
      <c r="B17" s="9" t="s">
        <v>1022</v>
      </c>
      <c r="C17" s="9" t="s">
        <v>1023</v>
      </c>
      <c r="D17" s="9" t="s">
        <v>1024</v>
      </c>
    </row>
    <row r="18" spans="1:4" ht="42" customHeight="1" x14ac:dyDescent="0.25">
      <c r="A18" s="9" t="s">
        <v>1018</v>
      </c>
      <c r="B18" s="9" t="s">
        <v>1025</v>
      </c>
      <c r="C18" s="9" t="s">
        <v>1026</v>
      </c>
      <c r="D18" s="9" t="s">
        <v>1027</v>
      </c>
    </row>
    <row r="19" spans="1:4" ht="42" customHeight="1" x14ac:dyDescent="0.25">
      <c r="A19" s="9" t="s">
        <v>1028</v>
      </c>
      <c r="B19" s="9" t="s">
        <v>1029</v>
      </c>
      <c r="C19" s="9" t="s">
        <v>1030</v>
      </c>
      <c r="D19" s="9" t="s">
        <v>1031</v>
      </c>
    </row>
    <row r="20" spans="1:4" ht="42" customHeight="1" x14ac:dyDescent="0.25">
      <c r="A20" s="9" t="s">
        <v>1028</v>
      </c>
      <c r="B20" s="9" t="s">
        <v>1032</v>
      </c>
      <c r="C20" s="9" t="s">
        <v>1033</v>
      </c>
      <c r="D20" s="9" t="s">
        <v>1034</v>
      </c>
    </row>
    <row r="21" spans="1:4" ht="42" customHeight="1" x14ac:dyDescent="0.25">
      <c r="A21" s="9" t="s">
        <v>897</v>
      </c>
      <c r="B21" s="9" t="s">
        <v>1035</v>
      </c>
      <c r="C21" s="9" t="s">
        <v>1036</v>
      </c>
      <c r="D21" s="9" t="s">
        <v>1037</v>
      </c>
    </row>
    <row r="22" spans="1:4" ht="42" customHeight="1" x14ac:dyDescent="0.25">
      <c r="A22" s="9" t="s">
        <v>897</v>
      </c>
      <c r="B22" s="9" t="s">
        <v>1038</v>
      </c>
      <c r="C22" s="9" t="s">
        <v>1039</v>
      </c>
      <c r="D22" s="9" t="s">
        <v>1040</v>
      </c>
    </row>
    <row r="23" spans="1:4" ht="42" customHeight="1" x14ac:dyDescent="0.25">
      <c r="A23" s="9" t="s">
        <v>897</v>
      </c>
      <c r="B23" s="9" t="s">
        <v>1041</v>
      </c>
      <c r="C23" s="9" t="s">
        <v>1042</v>
      </c>
      <c r="D23" s="9" t="s">
        <v>1043</v>
      </c>
    </row>
    <row r="24" spans="1:4" ht="42" customHeight="1" x14ac:dyDescent="0.25">
      <c r="A24" s="9" t="s">
        <v>4</v>
      </c>
      <c r="B24" s="9" t="s">
        <v>1044</v>
      </c>
      <c r="C24" s="9" t="s">
        <v>1045</v>
      </c>
      <c r="D24" s="9" t="s">
        <v>1046</v>
      </c>
    </row>
    <row r="25" spans="1:4" ht="42" customHeight="1" x14ac:dyDescent="0.25">
      <c r="A25" s="21" t="s">
        <v>1197</v>
      </c>
      <c r="B25" s="9" t="s">
        <v>1198</v>
      </c>
      <c r="C25" s="9" t="s">
        <v>1199</v>
      </c>
      <c r="D25" s="19" t="s">
        <v>1200</v>
      </c>
    </row>
    <row r="26" spans="1:4" ht="27" x14ac:dyDescent="0.25">
      <c r="A26" s="21" t="s">
        <v>1201</v>
      </c>
      <c r="B26" s="9" t="s">
        <v>1202</v>
      </c>
      <c r="C26" s="9" t="s">
        <v>1203</v>
      </c>
      <c r="D26" s="19" t="s">
        <v>1204</v>
      </c>
    </row>
    <row r="27" spans="1:4" ht="27" x14ac:dyDescent="0.25">
      <c r="A27" s="21" t="s">
        <v>1205</v>
      </c>
      <c r="B27" s="9" t="s">
        <v>1206</v>
      </c>
      <c r="C27" s="9" t="s">
        <v>1207</v>
      </c>
      <c r="D27" s="19" t="s">
        <v>1208</v>
      </c>
    </row>
    <row r="28" spans="1:4" ht="27" x14ac:dyDescent="0.25">
      <c r="A28" s="21" t="s">
        <v>1209</v>
      </c>
      <c r="B28" s="9" t="s">
        <v>1210</v>
      </c>
      <c r="C28" s="9" t="s">
        <v>1211</v>
      </c>
      <c r="D28" s="19" t="s">
        <v>1212</v>
      </c>
    </row>
    <row r="29" spans="1:4" x14ac:dyDescent="0.25">
      <c r="A29" s="9" t="s">
        <v>1047</v>
      </c>
      <c r="B29" s="9" t="s">
        <v>1048</v>
      </c>
      <c r="C29" s="9" t="s">
        <v>1049</v>
      </c>
      <c r="D29" s="9" t="s">
        <v>1050</v>
      </c>
    </row>
    <row r="30" spans="1:4" ht="33.950000000000003" customHeight="1" x14ac:dyDescent="0.25">
      <c r="A30" s="21" t="s">
        <v>1239</v>
      </c>
      <c r="B30" s="9" t="s">
        <v>1240</v>
      </c>
      <c r="C30" s="9" t="s">
        <v>1241</v>
      </c>
      <c r="D30" s="19" t="s">
        <v>1242</v>
      </c>
    </row>
    <row r="31" spans="1:4" ht="27" x14ac:dyDescent="0.25">
      <c r="A31" s="21" t="s">
        <v>1239</v>
      </c>
      <c r="B31" s="9" t="s">
        <v>1243</v>
      </c>
      <c r="C31" s="9" t="s">
        <v>1244</v>
      </c>
      <c r="D31" s="19" t="s">
        <v>1245</v>
      </c>
    </row>
    <row r="32" spans="1:4" ht="27" x14ac:dyDescent="0.25">
      <c r="A32" s="21" t="s">
        <v>1239</v>
      </c>
      <c r="B32" s="9" t="s">
        <v>1246</v>
      </c>
      <c r="C32" s="9" t="s">
        <v>1247</v>
      </c>
      <c r="D32" s="19" t="s">
        <v>1248</v>
      </c>
    </row>
    <row r="33" spans="1:4" ht="27" x14ac:dyDescent="0.25">
      <c r="A33" s="21" t="s">
        <v>1249</v>
      </c>
      <c r="B33" s="9" t="s">
        <v>1250</v>
      </c>
      <c r="C33" s="9" t="s">
        <v>1251</v>
      </c>
      <c r="D33" s="19" t="s">
        <v>1252</v>
      </c>
    </row>
    <row r="34" spans="1:4" ht="54" customHeight="1" x14ac:dyDescent="0.25">
      <c r="A34" s="22" t="s">
        <v>1450</v>
      </c>
      <c r="B34" s="13" t="s">
        <v>1451</v>
      </c>
      <c r="C34" s="13" t="s">
        <v>1452</v>
      </c>
      <c r="D34" s="20" t="s">
        <v>1453</v>
      </c>
    </row>
    <row r="35" spans="1:4" ht="54" customHeight="1" x14ac:dyDescent="0.25">
      <c r="A35" s="22" t="s">
        <v>1450</v>
      </c>
      <c r="B35" s="13" t="s">
        <v>1454</v>
      </c>
      <c r="C35" s="13" t="s">
        <v>1455</v>
      </c>
      <c r="D35" s="20" t="s">
        <v>1456</v>
      </c>
    </row>
    <row r="36" spans="1:4" ht="54" customHeight="1" x14ac:dyDescent="0.25">
      <c r="A36" s="22" t="s">
        <v>1457</v>
      </c>
      <c r="B36" s="13" t="s">
        <v>1458</v>
      </c>
      <c r="C36" s="13" t="s">
        <v>1459</v>
      </c>
      <c r="D36" s="20" t="s">
        <v>1460</v>
      </c>
    </row>
    <row r="37" spans="1:4" ht="33.950000000000003" customHeight="1" x14ac:dyDescent="0.25">
      <c r="A37" s="21" t="s">
        <v>1505</v>
      </c>
      <c r="B37" s="9" t="s">
        <v>1506</v>
      </c>
      <c r="C37" s="9" t="s">
        <v>1507</v>
      </c>
      <c r="D37" s="19" t="s">
        <v>1508</v>
      </c>
    </row>
    <row r="38" spans="1:4" ht="33.950000000000003" customHeight="1" x14ac:dyDescent="0.25">
      <c r="A38" s="21" t="s">
        <v>1505</v>
      </c>
      <c r="B38" s="9" t="s">
        <v>1509</v>
      </c>
      <c r="C38" s="9" t="s">
        <v>1510</v>
      </c>
      <c r="D38" s="19" t="s">
        <v>1511</v>
      </c>
    </row>
    <row r="39" spans="1:4" ht="33.950000000000003" customHeight="1" x14ac:dyDescent="0.25">
      <c r="A39" s="21" t="s">
        <v>1505</v>
      </c>
      <c r="B39" s="9" t="s">
        <v>1512</v>
      </c>
      <c r="C39" s="9" t="s">
        <v>1513</v>
      </c>
      <c r="D39" s="19" t="s">
        <v>1514</v>
      </c>
    </row>
    <row r="40" spans="1:4" ht="33.950000000000003" customHeight="1" x14ac:dyDescent="0.25">
      <c r="A40" s="21" t="s">
        <v>1515</v>
      </c>
      <c r="B40" s="9" t="s">
        <v>1516</v>
      </c>
      <c r="C40" s="9" t="s">
        <v>1517</v>
      </c>
      <c r="D40" s="19" t="s">
        <v>1518</v>
      </c>
    </row>
    <row r="41" spans="1:4" ht="33.950000000000003" customHeight="1" x14ac:dyDescent="0.25">
      <c r="A41" s="21" t="s">
        <v>1519</v>
      </c>
      <c r="B41" s="9" t="s">
        <v>1520</v>
      </c>
      <c r="C41" s="9" t="s">
        <v>1521</v>
      </c>
      <c r="D41" s="19" t="s">
        <v>1522</v>
      </c>
    </row>
    <row r="42" spans="1:4" ht="33.950000000000003" customHeight="1" x14ac:dyDescent="0.25">
      <c r="A42" s="21" t="s">
        <v>1523</v>
      </c>
      <c r="B42" s="9" t="s">
        <v>1524</v>
      </c>
      <c r="C42" s="9" t="s">
        <v>1525</v>
      </c>
      <c r="D42" s="19" t="s">
        <v>1526</v>
      </c>
    </row>
    <row r="43" spans="1:4" ht="33.950000000000003" customHeight="1" x14ac:dyDescent="0.25">
      <c r="A43" s="21" t="s">
        <v>1527</v>
      </c>
      <c r="B43" s="9" t="s">
        <v>1528</v>
      </c>
      <c r="C43" s="9" t="s">
        <v>1529</v>
      </c>
      <c r="D43" s="19" t="s">
        <v>1530</v>
      </c>
    </row>
    <row r="44" spans="1:4" x14ac:dyDescent="0.25">
      <c r="A44" s="25" t="s">
        <v>1051</v>
      </c>
      <c r="B44" s="23"/>
      <c r="C44" s="23"/>
      <c r="D44" s="23"/>
    </row>
    <row r="45" spans="1:4" x14ac:dyDescent="0.25">
      <c r="A45" s="7" t="s">
        <v>931</v>
      </c>
      <c r="B45" s="7" t="s">
        <v>1052</v>
      </c>
      <c r="C45" s="7" t="s">
        <v>1053</v>
      </c>
      <c r="D45" s="7" t="s">
        <v>1054</v>
      </c>
    </row>
    <row r="46" spans="1:4" ht="40.5" x14ac:dyDescent="0.25">
      <c r="A46" s="9" t="s">
        <v>16</v>
      </c>
      <c r="B46" s="9" t="s">
        <v>1055</v>
      </c>
      <c r="C46" s="9" t="s">
        <v>1056</v>
      </c>
      <c r="D46" s="9" t="s">
        <v>1057</v>
      </c>
    </row>
    <row r="47" spans="1:4" ht="40.5" x14ac:dyDescent="0.25">
      <c r="A47" s="9" t="s">
        <v>25</v>
      </c>
      <c r="B47" s="9" t="s">
        <v>1058</v>
      </c>
      <c r="C47" s="9" t="s">
        <v>1059</v>
      </c>
      <c r="D47" s="9" t="s">
        <v>1060</v>
      </c>
    </row>
    <row r="48" spans="1:4" ht="27" x14ac:dyDescent="0.25">
      <c r="A48" s="9" t="s">
        <v>33</v>
      </c>
      <c r="B48" s="9" t="s">
        <v>1061</v>
      </c>
      <c r="C48" s="9" t="s">
        <v>1062</v>
      </c>
      <c r="D48" s="9" t="s">
        <v>1063</v>
      </c>
    </row>
    <row r="49" spans="1:4" ht="27" x14ac:dyDescent="0.25">
      <c r="A49" s="9" t="s">
        <v>39</v>
      </c>
      <c r="B49" s="9" t="s">
        <v>1064</v>
      </c>
      <c r="C49" s="9" t="s">
        <v>1065</v>
      </c>
      <c r="D49" s="9" t="s">
        <v>1066</v>
      </c>
    </row>
    <row r="50" spans="1:4" x14ac:dyDescent="0.25">
      <c r="A50" s="9" t="s">
        <v>10</v>
      </c>
      <c r="B50" s="9" t="s">
        <v>1067</v>
      </c>
      <c r="C50" s="9" t="s">
        <v>1068</v>
      </c>
      <c r="D50" s="9" t="s">
        <v>1069</v>
      </c>
    </row>
    <row r="51" spans="1:4" ht="27" x14ac:dyDescent="0.25">
      <c r="A51" s="9" t="s">
        <v>20</v>
      </c>
      <c r="B51" s="9" t="s">
        <v>1070</v>
      </c>
      <c r="C51" s="9" t="s">
        <v>1071</v>
      </c>
      <c r="D51" s="9" t="s">
        <v>1072</v>
      </c>
    </row>
    <row r="52" spans="1:4" ht="27" x14ac:dyDescent="0.25">
      <c r="A52" s="9" t="s">
        <v>29</v>
      </c>
      <c r="B52" s="9" t="s">
        <v>1073</v>
      </c>
      <c r="C52" s="9" t="s">
        <v>1074</v>
      </c>
      <c r="D52" s="9" t="s">
        <v>1075</v>
      </c>
    </row>
    <row r="53" spans="1:4" ht="27" x14ac:dyDescent="0.25">
      <c r="A53" s="9" t="s">
        <v>36</v>
      </c>
      <c r="B53" s="9" t="s">
        <v>1076</v>
      </c>
      <c r="C53" s="9" t="s">
        <v>1077</v>
      </c>
      <c r="D53" s="9" t="s">
        <v>1078</v>
      </c>
    </row>
    <row r="54" spans="1:4" ht="27" x14ac:dyDescent="0.25">
      <c r="A54" s="9" t="s">
        <v>42</v>
      </c>
      <c r="B54" s="9" t="s">
        <v>1079</v>
      </c>
      <c r="C54" s="9" t="s">
        <v>1080</v>
      </c>
      <c r="D54" s="9" t="s">
        <v>1081</v>
      </c>
    </row>
    <row r="55" spans="1:4" ht="27" x14ac:dyDescent="0.25">
      <c r="A55" s="9" t="s">
        <v>43</v>
      </c>
      <c r="B55" s="9" t="s">
        <v>1082</v>
      </c>
      <c r="C55" s="9" t="s">
        <v>1083</v>
      </c>
      <c r="D55" s="9" t="s">
        <v>1084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3C1F-C1D5-4B0D-BD55-078B4C8FE519}">
  <sheetPr>
    <tabColor rgb="FF265272"/>
  </sheetPr>
  <dimension ref="A1:J10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20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E4" t="s">
        <v>29</v>
      </c>
      <c r="F4" t="s">
        <v>32</v>
      </c>
      <c r="G4" t="s">
        <v>33</v>
      </c>
      <c r="H4" t="s">
        <v>34</v>
      </c>
      <c r="J4" t="s">
        <v>35</v>
      </c>
    </row>
    <row r="5" spans="1:10" x14ac:dyDescent="0.25">
      <c r="A5" t="s">
        <v>36</v>
      </c>
      <c r="B5" t="s">
        <v>37</v>
      </c>
      <c r="E5" t="s">
        <v>36</v>
      </c>
      <c r="F5" t="s">
        <v>38</v>
      </c>
      <c r="G5" t="s">
        <v>39</v>
      </c>
      <c r="H5" t="s">
        <v>40</v>
      </c>
      <c r="J5" t="s">
        <v>41</v>
      </c>
    </row>
    <row r="6" spans="1:10" x14ac:dyDescent="0.25">
      <c r="A6" t="s">
        <v>42</v>
      </c>
      <c r="E6" t="s">
        <v>10</v>
      </c>
      <c r="F6" t="s">
        <v>43</v>
      </c>
      <c r="J6" t="s">
        <v>44</v>
      </c>
    </row>
    <row r="7" spans="1:10" x14ac:dyDescent="0.25">
      <c r="A7" t="s">
        <v>43</v>
      </c>
      <c r="J7" t="s">
        <v>45</v>
      </c>
    </row>
    <row r="8" spans="1:10" x14ac:dyDescent="0.25">
      <c r="J8" t="s">
        <v>46</v>
      </c>
    </row>
    <row r="9" spans="1:10" x14ac:dyDescent="0.25">
      <c r="J9" t="s">
        <v>47</v>
      </c>
    </row>
    <row r="10" spans="1:10" x14ac:dyDescent="0.25">
      <c r="J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V4 SQA Report</vt:lpstr>
      <vt:lpstr>Release Dashboard</vt:lpstr>
      <vt:lpstr>Master Checklist</vt:lpstr>
      <vt:lpstr>Assignment Matrix</vt:lpstr>
      <vt:lpstr>Defect Log</vt:lpstr>
      <vt:lpstr>Release Sign-off</vt:lpstr>
      <vt:lpstr>Runbook</vt:lpstr>
      <vt:lpstr>Lists</vt:lpstr>
      <vt:lpstr>AutomationOptions</vt:lpstr>
      <vt:lpstr>CheckOptions</vt:lpstr>
      <vt:lpstr>DecisionOptions</vt:lpstr>
      <vt:lpstr>DefectStatusOptions</vt:lpstr>
      <vt:lpstr>Runbook!Print_Area</vt:lpstr>
      <vt:lpstr>'V4 SQA Report'!Print_Area</vt:lpstr>
      <vt:lpstr>PriorityOptions</vt:lpstr>
      <vt:lpstr>RetestOptions</vt:lpstr>
      <vt:lpstr>ScopeOptions</vt:lpstr>
      <vt:lpstr>SeverityOptions</vt:lpstr>
      <vt:lpstr>StatusOptions</vt:lpstr>
      <vt:lpstr>TestTypeOptions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Ponkoj C Shill</dc:creator>
  <cp:lastModifiedBy>Ponkoj C Shill</cp:lastModifiedBy>
  <dcterms:created xsi:type="dcterms:W3CDTF">2026-07-30T02:34:25Z</dcterms:created>
  <dcterms:modified xsi:type="dcterms:W3CDTF">2026-08-04T09:12:58Z</dcterms:modified>
</cp:coreProperties>
</file>